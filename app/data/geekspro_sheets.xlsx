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38" sheetId="1" r:id="rId5"/>
    <sheet state="visible" name=" план " sheetId="2" r:id="rId6"/>
    <sheet state="visible" name="Лист37" sheetId="3" r:id="rId7"/>
    <sheet state="visible" name="отчеты" sheetId="4" r:id="rId8"/>
    <sheet state="visible" name="проекты" sheetId="5" r:id="rId9"/>
    <sheet state="visible" name=" (копия)" sheetId="6" r:id="rId10"/>
    <sheet state="visible" name="Лист35 (копия)" sheetId="7" r:id="rId11"/>
    <sheet state="visible" name="тимлиды" sheetId="8" r:id="rId12"/>
    <sheet state="visible" name="стажёры" sheetId="9" r:id="rId13"/>
    <sheet state="visible" name="собрании" sheetId="10" r:id="rId14"/>
    <sheet state="visible" name="Ведомость 13" sheetId="11" r:id="rId15"/>
    <sheet state="visible" name="Ресурсы проектов" sheetId="12" r:id="rId16"/>
    <sheet state="visible" name="Ведомость 12" sheetId="13" r:id="rId17"/>
    <sheet state="visible" name="черн-статистика" sheetId="14" r:id="rId18"/>
    <sheet state="visible" name="Справочник" sheetId="15" r:id="rId19"/>
    <sheet state="visible" name="Ведомость 11" sheetId="16" r:id="rId20"/>
    <sheet state="visible" name="BiClean" sheetId="17" r:id="rId21"/>
    <sheet state="visible" name="BeStyle" sheetId="18" r:id="rId22"/>
    <sheet state="visible" name="Окуу Китеби" sheetId="19" r:id="rId23"/>
    <sheet state="visible" name="Медскан" sheetId="20" r:id="rId24"/>
    <sheet state="visible" name="Встречи с заказчиком" sheetId="21" r:id="rId25"/>
    <sheet state="visible" name="Расписание встреч" sheetId="22" r:id="rId26"/>
    <sheet state="visible" name="Фронт" sheetId="23" r:id="rId27"/>
    <sheet state="visible" name="Дизайн" sheetId="24" r:id="rId28"/>
    <sheet state="visible" name="Беки " sheetId="25" r:id="rId29"/>
  </sheets>
  <definedNames>
    <definedName hidden="1" localSheetId="4" name="_xlnm._FilterDatabase">'проекты'!$I$1:$I$1010</definedName>
    <definedName hidden="1" localSheetId="5" name="_xlnm._FilterDatabase">' (копия)'!$H$1:$H$989</definedName>
    <definedName hidden="1" localSheetId="9" name="_xlnm._FilterDatabase">'собрании'!$C$1:$C$999</definedName>
    <definedName hidden="1" localSheetId="10" name="_xlnm._FilterDatabase">'Ведомость 13'!$A$1:$K$81</definedName>
    <definedName hidden="1" localSheetId="11" name="_xlnm._FilterDatabase">'Ресурсы проектов'!$L$1:$L$16</definedName>
    <definedName hidden="1" localSheetId="12" name="_xlnm._FilterDatabase">'Ведомость 12'!$A$1:$W$77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Учкун
Полароид</t>
      </text>
    </comment>
    <comment authorId="0" ref="D9">
      <text>
        <t xml:space="preserve">Олимпийская школа
Омур клиника
ОБА
"Ислам - медресе
(Абдүшүкүр Нарматов)"
Мин просвещения
Бистайл
</t>
      </text>
    </comment>
    <comment authorId="0" ref="D8">
      <text>
        <t xml:space="preserve">Гикс Про КЖ
ЛогоПарк
ПроМонтаж
Энактас КЖ
БиКлин
MedScan
OkuuKitebi
Абир Финанс</t>
      </text>
    </comment>
    <comment authorId="0" ref="E9">
      <text>
        <t xml:space="preserve">Гикс Про КЖ+
ПроМонтаж+
Энактас КЖ+
MedScan+
OkuuKitebi+
Абир Финанс+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
Нуралиев Ислам:-стажор болот.
23.03 бутту. Слияния 24.03.
</t>
      </text>
    </comment>
    <comment authorId="0" ref="T13">
      <text>
        <t xml:space="preserve">Кубаныч другой</t>
      </text>
    </comment>
    <comment authorId="0" ref="T9">
      <text>
        <t xml:space="preserve">+996505740470
номер</t>
      </text>
    </comment>
    <comment authorId="0" ref="D22">
      <text>
        <t xml:space="preserve">Проект сейчас в процессе обсуждения.
</t>
      </text>
    </comment>
    <comment authorId="0" ref="C18">
      <text>
        <t xml:space="preserve">дизайн бүткөн разработкада</t>
      </text>
    </comment>
    <comment authorId="0" ref="C16">
      <text>
        <t xml:space="preserve">дизайн клиент жактыра элек</t>
      </text>
    </comment>
    <comment authorId="0" ref="W3">
      <text>
        <t xml:space="preserve">05.03</t>
      </text>
    </comment>
    <comment authorId="0" ref="C12">
      <text>
        <t xml:space="preserve">буткон-заказчиктен сервер кутулуудо
</t>
      </text>
    </comment>
    <comment authorId="0" ref="D12">
      <text>
        <t xml:space="preserve">Ожидаем доступ к серверу.
Эмиль проверил?
</t>
      </text>
    </comment>
    <comment authorId="0" ref="C10">
      <text>
        <t xml:space="preserve">12.03 стейджинге чыкты.
фронт башатала элек. 
</t>
      </text>
    </comment>
    <comment authorId="0" ref="D10">
      <text>
        <t xml:space="preserve">Бэкенд - 
Дизайн ещё не подтвердили.
фронт - </t>
      </text>
    </comment>
    <comment authorId="0" ref="C6">
      <text>
        <t xml:space="preserve">дизайн изменения болуп жатат. </t>
      </text>
    </comment>
    <comment authorId="0" ref="C4">
      <text>
        <t xml:space="preserve">сервери бар
садик- Эрбол, Исслам.
23.03 башталды. 
25.06
</t>
      </text>
    </comment>
    <comment authorId="0" ref="C2">
      <text>
        <t xml:space="preserve">12.03-проект бутту - ответ ПМ куттуудобуз
Жооп бере элек-ПМ</t>
      </text>
    </comment>
    <comment authorId="0" ref="T16">
      <text>
        <t xml:space="preserve">номер
999653738 
</t>
      </text>
    </comment>
    <comment authorId="0" ref="D21">
      <text>
        <t xml:space="preserve">тз еще не поучили.</t>
      </text>
    </comment>
    <comment authorId="0" ref="C19">
      <text>
        <t xml:space="preserve">дизайн бар. тимлид флатер жок</t>
      </text>
    </comment>
    <comment authorId="0" ref="C17">
      <text>
        <t xml:space="preserve">дизайн. разработкада</t>
      </text>
    </comment>
    <comment authorId="0" ref="C15">
      <text>
        <t xml:space="preserve">дизайн бар. разработкада</t>
      </text>
    </comment>
    <comment authorId="0" ref="W2">
      <text>
        <t xml:space="preserve">05.03</t>
      </text>
    </comment>
    <comment authorId="0" ref="C13">
      <text>
        <t xml:space="preserve">мобилка</t>
      </text>
    </comment>
    <comment authorId="0" ref="D13">
      <text>
        <t xml:space="preserve">Дизайн находится в процессе разработки.
Жамалдин связался с ребятами и сказал, что подготовительные уроки не нужны.
</t>
      </text>
    </comment>
    <comment authorId="0" ref="C11">
      <text>
        <t xml:space="preserve">дизайн дестоп бүттү. адаптивкада
</t>
      </text>
    </comment>
    <comment authorId="0" ref="D11">
      <text>
        <t xml:space="preserve">Дизайн находится в процессе
фронт арх готово</t>
      </text>
    </comment>
    <comment authorId="0" ref="C9">
      <text>
        <t xml:space="preserve">тест
23.03фронту жок
</t>
      </text>
    </comment>
    <comment authorId="0" ref="D9">
      <text>
        <t xml:space="preserve">бэкенд даяр.- Нурсултан
фронт арх готово
</t>
      </text>
    </comment>
    <comment authorId="0" ref="C7">
      <text>
        <t xml:space="preserve">отмена</t>
      </text>
    </comment>
    <comment authorId="0" ref="C5">
      <text>
        <t xml:space="preserve">тест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Гикс Про КЖ</t>
      </text>
    </comment>
    <comment authorId="0" ref="G38">
      <text>
        <t xml:space="preserve">Энактас КЖ</t>
      </text>
    </comment>
    <comment authorId="0" ref="G3">
      <text>
        <t xml:space="preserve">гикс Про КЖ</t>
      </text>
    </comment>
    <comment authorId="0" ref="G34">
      <text>
        <t xml:space="preserve">ПроМонтаж</t>
      </text>
    </comment>
    <comment authorId="0" ref="G30">
      <text>
        <t xml:space="preserve">ПроМонтаж</t>
      </text>
    </comment>
    <comment authorId="0" ref="G26">
      <text>
        <t xml:space="preserve">ПроМонтаж</t>
      </text>
    </comment>
    <comment authorId="0" ref="G22">
      <text>
        <t xml:space="preserve">Логопарк</t>
      </text>
    </comment>
    <comment authorId="0" ref="G20">
      <text>
        <t xml:space="preserve">Логопарк</t>
      </text>
    </comment>
    <comment authorId="0" ref="G18">
      <text>
        <t xml:space="preserve">Логопарк</t>
      </text>
    </comment>
    <comment authorId="0" ref="G49">
      <text>
        <t xml:space="preserve"> @Nursultan2788</t>
      </text>
    </comment>
    <comment authorId="0" ref="G16">
      <text>
        <t xml:space="preserve">ЛогоПарк</t>
      </text>
    </comment>
    <comment authorId="0" ref="G47">
      <text>
        <t xml:space="preserve">Энактас</t>
      </text>
    </comment>
    <comment authorId="0" ref="G45">
      <text>
        <t xml:space="preserve">Энактас</t>
      </text>
    </comment>
    <comment authorId="0" ref="G12">
      <text>
        <t xml:space="preserve">Гикс Про КЖ
</t>
      </text>
    </comment>
    <comment authorId="0" ref="G43">
      <text>
        <t xml:space="preserve">Энактас</t>
      </text>
    </comment>
    <comment authorId="0" ref="G10">
      <text>
        <t xml:space="preserve">Гикс Про КЖ</t>
      </text>
    </comment>
    <comment authorId="0" ref="G41">
      <text>
        <t xml:space="preserve">Энактас КЖ</t>
      </text>
    </comment>
    <comment authorId="0" ref="G8">
      <text>
        <t xml:space="preserve">Гикс Про КЖ</t>
      </text>
    </comment>
    <comment authorId="0" ref="G39">
      <text>
        <t xml:space="preserve">Энактас КЖ</t>
      </text>
    </comment>
    <comment authorId="0" ref="G6">
      <text>
        <t xml:space="preserve">Гикс Про КЖ</t>
      </text>
    </comment>
    <comment authorId="0" ref="G37">
      <text>
        <t xml:space="preserve">Энактас КЖ</t>
      </text>
    </comment>
    <comment authorId="0" ref="G4">
      <text>
        <t xml:space="preserve">Гикс Про КЖ</t>
      </text>
    </comment>
    <comment authorId="0" ref="G33">
      <text>
        <t xml:space="preserve">ПроМонтаж
</t>
      </text>
    </comment>
    <comment authorId="0" ref="G31">
      <text>
        <t xml:space="preserve">ПроМонтаж</t>
      </text>
    </comment>
    <comment authorId="0" ref="G29">
      <text>
        <t xml:space="preserve">ПроМонтаж</t>
      </text>
    </comment>
    <comment authorId="0" ref="G27">
      <text>
        <t xml:space="preserve">ПроМонтаж</t>
      </text>
    </comment>
    <comment authorId="0" ref="G25">
      <text>
        <t xml:space="preserve">ПроМонтаж
</t>
      </text>
    </comment>
    <comment authorId="0" ref="G21">
      <text>
        <t xml:space="preserve">ЛогоПарк</t>
      </text>
    </comment>
    <comment authorId="0" ref="G19">
      <text>
        <t xml:space="preserve">ЛогоПарк
</t>
      </text>
    </comment>
    <comment authorId="0" ref="G50">
      <text>
        <t xml:space="preserve">@CyberPsychoZz</t>
      </text>
    </comment>
    <comment authorId="0" ref="G48">
      <text>
        <t xml:space="preserve">Энактас КЖ</t>
      </text>
    </comment>
    <comment authorId="0" ref="G15">
      <text>
        <t xml:space="preserve">ЛогоПарк</t>
      </text>
    </comment>
    <comment authorId="0" ref="G46">
      <text>
        <t xml:space="preserve">Энактас КЖ
требуется работа с ментором</t>
      </text>
    </comment>
    <comment authorId="0" ref="G44">
      <text>
        <t xml:space="preserve">Энактас КЖ
</t>
      </text>
    </comment>
    <comment authorId="0" ref="G11">
      <text>
        <t xml:space="preserve">Гикс Про КЖ</t>
      </text>
    </comment>
    <comment authorId="0" ref="G9">
      <text>
        <t xml:space="preserve">Гикс Про КЖ</t>
      </text>
    </comment>
    <comment authorId="0" ref="G40">
      <text>
        <t xml:space="preserve">Энактас КЖ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3">
      <text>
        <t xml:space="preserve">мобилка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3">
      <text>
        <t xml:space="preserve">Flugger, Mountain view
</t>
      </text>
    </comment>
  </commentList>
</comments>
</file>

<file path=xl/sharedStrings.xml><?xml version="1.0" encoding="utf-8"?>
<sst xmlns="http://schemas.openxmlformats.org/spreadsheetml/2006/main" count="3331" uniqueCount="889">
  <si>
    <t>Бишкек</t>
  </si>
  <si>
    <t>филиал</t>
  </si>
  <si>
    <t>№ группы</t>
  </si>
  <si>
    <t>Дата 
окончания
 обучения</t>
  </si>
  <si>
    <t>июнь - июль</t>
  </si>
  <si>
    <t>Количество 
обучающихся 
в группе</t>
  </si>
  <si>
    <t>Прогноз 
по переходу 
на стажировку</t>
  </si>
  <si>
    <t>Планируемое
 количество проектов</t>
  </si>
  <si>
    <t>13п</t>
  </si>
  <si>
    <t>12п</t>
  </si>
  <si>
    <t>активный</t>
  </si>
  <si>
    <t>прод</t>
  </si>
  <si>
    <t>июль</t>
  </si>
  <si>
    <t>май</t>
  </si>
  <si>
    <t>июнь</t>
  </si>
  <si>
    <t>PM</t>
  </si>
  <si>
    <t>MedScan</t>
  </si>
  <si>
    <t>№</t>
  </si>
  <si>
    <t>Баэль 70%
Кубаныч 30%</t>
  </si>
  <si>
    <t xml:space="preserve">Бишкекский </t>
  </si>
  <si>
    <t>месяц</t>
  </si>
  <si>
    <t>Проекты в разработке</t>
  </si>
  <si>
    <t>остаток</t>
  </si>
  <si>
    <t>аванс</t>
  </si>
  <si>
    <t>Количество проектов
 принятых заказчиком</t>
  </si>
  <si>
    <t>UX/UI</t>
  </si>
  <si>
    <t>Количество незавершенных проектов</t>
  </si>
  <si>
    <t xml:space="preserve">стажеры </t>
  </si>
  <si>
    <t>выпускники</t>
  </si>
  <si>
    <t>Внешние (Биш)</t>
  </si>
  <si>
    <t>Выбывшие из стажировки</t>
  </si>
  <si>
    <t>Внутренние собрания</t>
  </si>
  <si>
    <t>Ошский</t>
  </si>
  <si>
    <t>внутреннык собрании</t>
  </si>
  <si>
    <t>Внешние (Ош)</t>
  </si>
  <si>
    <t>Количество активных
 проектов</t>
  </si>
  <si>
    <t>Количество подписанных
 договоров на разработку</t>
  </si>
  <si>
    <t xml:space="preserve"> проектов, принятых 
заказчиком за 110 дней после 
подписание договора </t>
  </si>
  <si>
    <t>Проекты, переданные
 заказчику с просрочкой</t>
  </si>
  <si>
    <t>Backend</t>
  </si>
  <si>
    <t>прекращенные по 
инициативе исполнителя</t>
  </si>
  <si>
    <t>прекращенных
 по инициативе заказчика</t>
  </si>
  <si>
    <t>64-1,64-2</t>
  </si>
  <si>
    <t>Активные стажеры</t>
  </si>
  <si>
    <t>Название проекта</t>
  </si>
  <si>
    <t>Новые стажеры
(из  обшего числа)</t>
  </si>
  <si>
    <t>Успешно завершившие
 стажировку</t>
  </si>
  <si>
    <r>
      <rPr>
        <rFont val="Times New Roman"/>
        <color theme="1"/>
        <sz val="10.0"/>
      </rPr>
      <t xml:space="preserve">% стажёров, добавленных 
в Банк резюме </t>
    </r>
    <r>
      <rPr>
        <rFont val="Times New Roman"/>
        <i/>
        <color theme="1"/>
        <sz val="10.0"/>
      </rPr>
      <t>(из числа впервые
 проходящих стажировки)</t>
    </r>
  </si>
  <si>
    <t>Место 
нахождения
 заказчика</t>
  </si>
  <si>
    <t>Отчисленные</t>
  </si>
  <si>
    <t>Прекратившие</t>
  </si>
  <si>
    <t>Приостановившие</t>
  </si>
  <si>
    <t>Запланированные</t>
  </si>
  <si>
    <t>Тип проекта</t>
  </si>
  <si>
    <t xml:space="preserve">Проведенные </t>
  </si>
  <si>
    <t>Непроведенные</t>
  </si>
  <si>
    <t>% посещаемости
 собраний</t>
  </si>
  <si>
    <t>дата 
подписание
 договора</t>
  </si>
  <si>
    <t>% неприсутствия</t>
  </si>
  <si>
    <t>дата 
акт-прием 
передачи</t>
  </si>
  <si>
    <t>Длительность 
проекта</t>
  </si>
  <si>
    <t>Контроль сроков</t>
  </si>
  <si>
    <t>✅ Завершён</t>
  </si>
  <si>
    <t>🚀 Продакшен</t>
  </si>
  <si>
    <t>Frontend</t>
  </si>
  <si>
    <t>🔄 Доработка</t>
  </si>
  <si>
    <t>60-1,60-2</t>
  </si>
  <si>
    <t>🧪 Тестирование</t>
  </si>
  <si>
    <t>💻 Разработка</t>
  </si>
  <si>
    <t>🎨 Дизайн</t>
  </si>
  <si>
    <t>📄 ТЗ</t>
  </si>
  <si>
    <t>месяц 
завершение</t>
  </si>
  <si>
    <t>примечание</t>
  </si>
  <si>
    <t>Mobile</t>
  </si>
  <si>
    <t>Флаттер-03</t>
  </si>
  <si>
    <t>0-1</t>
  </si>
  <si>
    <t>14.1</t>
  </si>
  <si>
    <t xml:space="preserve">июль </t>
  </si>
  <si>
    <t>Testing</t>
  </si>
  <si>
    <t>-----------------------</t>
  </si>
  <si>
    <t>Т-32</t>
  </si>
  <si>
    <t>август</t>
  </si>
  <si>
    <t>14.2</t>
  </si>
  <si>
    <t>сентябрь</t>
  </si>
  <si>
    <t>14.3</t>
  </si>
  <si>
    <t>14.4</t>
  </si>
  <si>
    <t>октябрь</t>
  </si>
  <si>
    <t>14.5</t>
  </si>
  <si>
    <t>14.6</t>
  </si>
  <si>
    <t>ноябрь</t>
  </si>
  <si>
    <t>37-1</t>
  </si>
  <si>
    <t>14.7</t>
  </si>
  <si>
    <t>декабрь</t>
  </si>
  <si>
    <t>13.1</t>
  </si>
  <si>
    <t>Олимпийская школа</t>
  </si>
  <si>
    <t>🌐 Веб-сайт</t>
  </si>
  <si>
    <t>🟡  Риск задержки</t>
  </si>
  <si>
    <t>38-1</t>
  </si>
  <si>
    <t>13.2</t>
  </si>
  <si>
    <t>Омур клиника</t>
  </si>
  <si>
    <t>Ош</t>
  </si>
  <si>
    <t>13.3</t>
  </si>
  <si>
    <t>ОБА</t>
  </si>
  <si>
    <t>🟠  Отставание</t>
  </si>
  <si>
    <t>13.4</t>
  </si>
  <si>
    <t>Ислам - медресе
(Абдүшүкүр Нарматов)</t>
  </si>
  <si>
    <t>🟢  По графику</t>
  </si>
  <si>
    <t>13.5</t>
  </si>
  <si>
    <t>Мин просвещения</t>
  </si>
  <si>
    <t>13.6</t>
  </si>
  <si>
    <t>Учкун</t>
  </si>
  <si>
    <t>13.7</t>
  </si>
  <si>
    <t>Полароид</t>
  </si>
  <si>
    <t>12.1</t>
  </si>
  <si>
    <t>Гикс Про КЖ</t>
  </si>
  <si>
    <t>12.2</t>
  </si>
  <si>
    <t>ЛогоПарк</t>
  </si>
  <si>
    <t>🚫 Отменён</t>
  </si>
  <si>
    <t>12.3</t>
  </si>
  <si>
    <t>ПроМонтаж</t>
  </si>
  <si>
    <t>12.4</t>
  </si>
  <si>
    <t>Энактас КЖ</t>
  </si>
  <si>
    <t>12.5</t>
  </si>
  <si>
    <t>БиКлин</t>
  </si>
  <si>
    <t>📱 Моб- приложение</t>
  </si>
  <si>
    <t>11.1</t>
  </si>
  <si>
    <t>🔴  Просрочен</t>
  </si>
  <si>
    <t>апрель</t>
  </si>
  <si>
    <t>11.2</t>
  </si>
  <si>
    <t>OkuuKitebi</t>
  </si>
  <si>
    <t>11.3</t>
  </si>
  <si>
    <t>BeStyle</t>
  </si>
  <si>
    <t>11.4</t>
  </si>
  <si>
    <t>NBKR</t>
  </si>
  <si>
    <t>март</t>
  </si>
  <si>
    <t>11.5</t>
  </si>
  <si>
    <t>EkiAl</t>
  </si>
  <si>
    <t>❌ Клиент отказался</t>
  </si>
  <si>
    <t>10.8</t>
  </si>
  <si>
    <t>АДДК-Коледж</t>
  </si>
  <si>
    <t>февраль</t>
  </si>
  <si>
    <t>10.9</t>
  </si>
  <si>
    <t>АДДК-академия</t>
  </si>
  <si>
    <t>10.10</t>
  </si>
  <si>
    <t>АДДК - Садик</t>
  </si>
  <si>
    <t>10.11</t>
  </si>
  <si>
    <t>АДДК - мектеп</t>
  </si>
  <si>
    <t>10.1</t>
  </si>
  <si>
    <t>technowomen</t>
  </si>
  <si>
    <t>10.2</t>
  </si>
  <si>
    <t xml:space="preserve">Место 
</t>
  </si>
  <si>
    <t>Кыргыз экспорт</t>
  </si>
  <si>
    <t>старт</t>
  </si>
  <si>
    <t>конец</t>
  </si>
  <si>
    <t>10.3</t>
  </si>
  <si>
    <t>happybaby</t>
  </si>
  <si>
    <t>10.4</t>
  </si>
  <si>
    <t>Абир Финанс</t>
  </si>
  <si>
    <t>10</t>
  </si>
  <si>
    <t>10.5</t>
  </si>
  <si>
    <t>USTAT</t>
  </si>
  <si>
    <t>⏸️ Приостановлен</t>
  </si>
  <si>
    <t>10.6</t>
  </si>
  <si>
    <t>БАТ-МУ</t>
  </si>
  <si>
    <t>10.7</t>
  </si>
  <si>
    <t>Кок-Бел</t>
  </si>
  <si>
    <t>11</t>
  </si>
  <si>
    <t>Этап разработки</t>
  </si>
  <si>
    <t>Бишкекский 
филиал</t>
  </si>
  <si>
    <t>Внешние
 стажёры(Биш)</t>
  </si>
  <si>
    <t>Ошский 
филиал</t>
  </si>
  <si>
    <t>Внешние 
стажёры(Ош)</t>
  </si>
  <si>
    <t>всего</t>
  </si>
  <si>
    <t xml:space="preserve">1-проекте </t>
  </si>
  <si>
    <t>Выбывшие из
 стажировки</t>
  </si>
  <si>
    <t>12</t>
  </si>
  <si>
    <t>13</t>
  </si>
  <si>
    <t>Национальный парк 
«Кыргыз-Ата»</t>
  </si>
  <si>
    <t>Магазин 
хозяйственных товаров</t>
  </si>
  <si>
    <t>Место 
нахождения заказчика</t>
  </si>
  <si>
    <t>Жумабек</t>
  </si>
  <si>
    <t>Алишер</t>
  </si>
  <si>
    <t>Ислам</t>
  </si>
  <si>
    <t>Бексултан</t>
  </si>
  <si>
    <t>Билол</t>
  </si>
  <si>
    <t>Саидахмат</t>
  </si>
  <si>
    <t>Эрбол</t>
  </si>
  <si>
    <t>Бекназар</t>
  </si>
  <si>
    <t>Ях</t>
  </si>
  <si>
    <t>Кубанычбек</t>
  </si>
  <si>
    <t>Кубанычбек/Ислам</t>
  </si>
  <si>
    <t>Абдукарим</t>
  </si>
  <si>
    <t>Байэл</t>
  </si>
  <si>
    <t>этап</t>
  </si>
  <si>
    <t>Бишкекский филиал</t>
  </si>
  <si>
    <t>Внешние стажёры(Биш)</t>
  </si>
  <si>
    <t>Ошский филиал</t>
  </si>
  <si>
    <t>Внешние стажёры(Ош)</t>
  </si>
  <si>
    <t>Всего 
стажёров</t>
  </si>
  <si>
    <t>1й проект</t>
  </si>
  <si>
    <t>завершили</t>
  </si>
  <si>
    <t>Добавлен в 
Банк резюме</t>
  </si>
  <si>
    <t>-</t>
  </si>
  <si>
    <t>9.1</t>
  </si>
  <si>
    <t>9.2</t>
  </si>
  <si>
    <t>9.3</t>
  </si>
  <si>
    <t>9.4</t>
  </si>
  <si>
    <t>9.5</t>
  </si>
  <si>
    <t>9.6</t>
  </si>
  <si>
    <t>9.7</t>
  </si>
  <si>
    <t>8.1</t>
  </si>
  <si>
    <t>8.2</t>
  </si>
  <si>
    <t>8.3</t>
  </si>
  <si>
    <t>8.4</t>
  </si>
  <si>
    <t>8.5</t>
  </si>
  <si>
    <t>8.6</t>
  </si>
  <si>
    <t>8.7</t>
  </si>
  <si>
    <t>дата</t>
  </si>
  <si>
    <t>дни</t>
  </si>
  <si>
    <t xml:space="preserve">этап проекта </t>
  </si>
  <si>
    <t>Тимлид</t>
  </si>
  <si>
    <t>проекты</t>
  </si>
  <si>
    <t>количество
стажоров</t>
  </si>
  <si>
    <t>Присутствовали</t>
  </si>
  <si>
    <t>Отсутствовали</t>
  </si>
  <si>
    <t>Примечание</t>
  </si>
  <si>
    <t>пн</t>
  </si>
  <si>
    <t>вт</t>
  </si>
  <si>
    <t>ср</t>
  </si>
  <si>
    <t>чт</t>
  </si>
  <si>
    <t>пт</t>
  </si>
  <si>
    <t>сб</t>
  </si>
  <si>
    <t>вс</t>
  </si>
  <si>
    <t>поток</t>
  </si>
  <si>
    <t>Дата старта
 стажировки</t>
  </si>
  <si>
    <t xml:space="preserve"> окончания 
стажировки</t>
  </si>
  <si>
    <t>направление</t>
  </si>
  <si>
    <t>название-проекта</t>
  </si>
  <si>
    <t>ФИО</t>
  </si>
  <si>
    <t>статус</t>
  </si>
  <si>
    <t>Канал 
поступления</t>
  </si>
  <si>
    <t>Очередность
 проекта</t>
  </si>
  <si>
    <t>Банк резюме</t>
  </si>
  <si>
    <t>Телефон</t>
  </si>
  <si>
    <t>NDA</t>
  </si>
  <si>
    <t>Телеграм</t>
  </si>
  <si>
    <t>Почта</t>
  </si>
  <si>
    <t>JIRA</t>
  </si>
  <si>
    <t>GIT</t>
  </si>
  <si>
    <t>Discord</t>
  </si>
  <si>
    <t>Проекты
 стажёра</t>
  </si>
  <si>
    <t>Проекты 
стажёра</t>
  </si>
  <si>
    <t>Ислам - медресе(А.Нарматов)</t>
  </si>
  <si>
    <t>Айдана</t>
  </si>
  <si>
    <t>🟢 Активный</t>
  </si>
  <si>
    <t>---------------</t>
  </si>
  <si>
    <t>@craccol</t>
  </si>
  <si>
    <t>Усен Бектемиров</t>
  </si>
  <si>
    <t>@hhydrocone</t>
  </si>
  <si>
    <t>Алимбек кызы Гулиза</t>
  </si>
  <si>
    <t>@renddtr 995196715</t>
  </si>
  <si>
    <t>Курбанбаев Искендер Байышович</t>
  </si>
  <si>
    <t>@eu_4roboss</t>
  </si>
  <si>
    <t>Раатбек Керимов</t>
  </si>
  <si>
    <t>700550032 @raat_kerimov</t>
  </si>
  <si>
    <t>Амантурова Фатима</t>
  </si>
  <si>
    <t>@HidekoLiones +996 505 893399</t>
  </si>
  <si>
    <t>Мирвахидов Тохир</t>
  </si>
  <si>
    <t>502146086 @mirvahidov_t</t>
  </si>
  <si>
    <t>Тыныбеков Эмир</t>
  </si>
  <si>
    <t>709 122 747 @Yusp1kR</t>
  </si>
  <si>
    <t>Жумабаев Абай</t>
  </si>
  <si>
    <t>220 541 318 @scabbard_999</t>
  </si>
  <si>
    <t>Адиев Нурсултан</t>
  </si>
  <si>
    <t>@nursultanad</t>
  </si>
  <si>
    <t>Азизулло Султанов</t>
  </si>
  <si>
    <t>@sultannnow</t>
  </si>
  <si>
    <t>Касымжанов Касым</t>
  </si>
  <si>
    <t>@Kasym0611</t>
  </si>
  <si>
    <t>13.0</t>
  </si>
  <si>
    <t>Шаршеналы кызы Айгерим</t>
  </si>
  <si>
    <t>@IIxexeII</t>
  </si>
  <si>
    <t>Ишенкулов Нурболот</t>
  </si>
  <si>
    <t>@Nursweggg</t>
  </si>
  <si>
    <t>Урбанович Рафаэль</t>
  </si>
  <si>
    <t>@wa1kerr</t>
  </si>
  <si>
    <t xml:space="preserve"> Рысбек кызы Раяна</t>
  </si>
  <si>
    <t xml:space="preserve">@iloveumar </t>
  </si>
  <si>
    <t>Абдылдаева Алия</t>
  </si>
  <si>
    <t>@a1imai</t>
  </si>
  <si>
    <t>Исабаева Фатима</t>
  </si>
  <si>
    <t>@dory_xw  0709324666</t>
  </si>
  <si>
    <t>Зундуева Курманжан</t>
  </si>
  <si>
    <t>@vertsssww</t>
  </si>
  <si>
    <t xml:space="preserve">Азимов Байэл </t>
  </si>
  <si>
    <t>@Bayelenko</t>
  </si>
  <si>
    <t>Олег</t>
  </si>
  <si>
    <t>@Oleg_Pro312</t>
  </si>
  <si>
    <t xml:space="preserve">Мурадылжанов Абубакр </t>
  </si>
  <si>
    <t>555212293 @Abubakr_jr</t>
  </si>
  <si>
    <t>Нурали уулу Ислам</t>
  </si>
  <si>
    <t>Жигитекова Назик(Райана) второй проект</t>
  </si>
  <si>
    <t>2й проект</t>
  </si>
  <si>
    <t>Шактыбеков Даулет</t>
  </si>
  <si>
    <t>https://t.me/winnnqq</t>
  </si>
  <si>
    <t>Закирова Ассоль</t>
  </si>
  <si>
    <t>@zakir0vaa04</t>
  </si>
  <si>
    <t>Осоркулова Амина</t>
  </si>
  <si>
    <t>@awillovv</t>
  </si>
  <si>
    <t>Белеков Азамат</t>
  </si>
  <si>
    <t>@azabvs</t>
  </si>
  <si>
    <t>Кангельдиев Тимур</t>
  </si>
  <si>
    <t>@TimurKangeldiev</t>
  </si>
  <si>
    <t>Абдыкапар уулу Улукбек</t>
  </si>
  <si>
    <t>@ulukbek_0307 996 501 425538</t>
  </si>
  <si>
    <t>Ават</t>
  </si>
  <si>
    <t>@kannisy</t>
  </si>
  <si>
    <t>Бекбашев Айбек</t>
  </si>
  <si>
    <t>Айдаров Сабыр</t>
  </si>
  <si>
    <t>@sa6yx</t>
  </si>
  <si>
    <t>Джеенбекова Малика</t>
  </si>
  <si>
    <t>@mikoshh11</t>
  </si>
  <si>
    <t>Эсенова Нурайым</t>
  </si>
  <si>
    <t>@nuraiym205</t>
  </si>
  <si>
    <t>Тынчтыкбекова Айзель</t>
  </si>
  <si>
    <t>709019138 @Grace0368</t>
  </si>
  <si>
    <t>Алапаев Умар</t>
  </si>
  <si>
    <t>@Iloverayka</t>
  </si>
  <si>
    <t>Решетун Данил</t>
  </si>
  <si>
    <t>@del_Rr  +996702284724</t>
  </si>
  <si>
    <t>Аширматкулов Нурислам</t>
  </si>
  <si>
    <t>@user5721</t>
  </si>
  <si>
    <t>Аскар Арсенов - 0550980039</t>
  </si>
  <si>
    <t xml:space="preserve">@skrrsnv </t>
  </si>
  <si>
    <t>Когай Максим</t>
  </si>
  <si>
    <t xml:space="preserve">@kogujsha </t>
  </si>
  <si>
    <t>Атанбаева Элиза (второй проект)</t>
  </si>
  <si>
    <t>@eliza72_32</t>
  </si>
  <si>
    <t>Зарыпбеков Калысбек</t>
  </si>
  <si>
    <t>@xyzwerttt</t>
  </si>
  <si>
    <t>Исмаил Исраилов</t>
  </si>
  <si>
    <t xml:space="preserve">@Israilov_007 556958222 </t>
  </si>
  <si>
    <t>Аяна</t>
  </si>
  <si>
    <t>@kenxxl</t>
  </si>
  <si>
    <t>Киктева Ариана</t>
  </si>
  <si>
    <t>@RootSlayer 996555995744</t>
  </si>
  <si>
    <t>Жамбул уулу Искендер</t>
  </si>
  <si>
    <t>@TootYap</t>
  </si>
  <si>
    <t>Бекболотова Айнарка</t>
  </si>
  <si>
    <t>@n_Aika</t>
  </si>
  <si>
    <t>Мамасаков Артур</t>
  </si>
  <si>
    <t>996 709 632597</t>
  </si>
  <si>
    <t>Кузьмин Антон</t>
  </si>
  <si>
    <t>https://t.me/antonkuzmin_131</t>
  </si>
  <si>
    <t>Зуев Мирослав</t>
  </si>
  <si>
    <t>@Logenerr</t>
  </si>
  <si>
    <t>Алтыбаев Алинур</t>
  </si>
  <si>
    <t>@wiinx7</t>
  </si>
  <si>
    <t>Турсунжанов Акрам</t>
  </si>
  <si>
    <t>@Rasy20ak</t>
  </si>
  <si>
    <t>Алтынбекова Дилназ</t>
  </si>
  <si>
    <t>@krolikchan</t>
  </si>
  <si>
    <t>Руслан Бекболотов</t>
  </si>
  <si>
    <t>@RuslanBekdev</t>
  </si>
  <si>
    <t>Джабоева Мариям</t>
  </si>
  <si>
    <t>@mari_dzh7</t>
  </si>
  <si>
    <t>Беренбаева Анара</t>
  </si>
  <si>
    <t>@aman0vna7</t>
  </si>
  <si>
    <t>Хайткулов Азирет</t>
  </si>
  <si>
    <t>@Aziret1008</t>
  </si>
  <si>
    <t>Тулекова Виктория</t>
  </si>
  <si>
    <t xml:space="preserve">  @ikigaitory 554155732</t>
  </si>
  <si>
    <t>Алтынай</t>
  </si>
  <si>
    <t>@merganovaa</t>
  </si>
  <si>
    <t>Сопиев Алманбет</t>
  </si>
  <si>
    <t>Палароид</t>
  </si>
  <si>
    <t>Кириленко Ольга</t>
  </si>
  <si>
    <t>@jbfyjj</t>
  </si>
  <si>
    <t>Пак Анастасия</t>
  </si>
  <si>
    <t>@nayeon1eee</t>
  </si>
  <si>
    <t>Чабдарова Нурпери</t>
  </si>
  <si>
    <t>@Nur_nchabdarova</t>
  </si>
  <si>
    <t>Эсенбаева Амина</t>
  </si>
  <si>
    <t>@Dakisthen 777 003696</t>
  </si>
  <si>
    <t>Абдуллаев Мелис(Второй проект)</t>
  </si>
  <si>
    <t>@Meeellliiis +996 552 115150</t>
  </si>
  <si>
    <t>Нурзат</t>
  </si>
  <si>
    <t>🚪 Прекратил стажировку</t>
  </si>
  <si>
    <t>@nurikooa</t>
  </si>
  <si>
    <t>Ибрагимов Артур</t>
  </si>
  <si>
    <t>@arthuribragim13</t>
  </si>
  <si>
    <t>wfk</t>
  </si>
  <si>
    <t>Темирбекова Жанат</t>
  </si>
  <si>
    <t>@zhanattll</t>
  </si>
  <si>
    <t>Абдилахатова Дилзамзам</t>
  </si>
  <si>
    <t>999 191325 @DIlekua</t>
  </si>
  <si>
    <t>Даяна Сабыралиева</t>
  </si>
  <si>
    <t>0501 644 171</t>
  </si>
  <si>
    <t>Анарбекова Канышай</t>
  </si>
  <si>
    <t>220 519 224</t>
  </si>
  <si>
    <t>Баатырбеков Ибрахим</t>
  </si>
  <si>
    <t>556 901 980 @ibrakhim_0303</t>
  </si>
  <si>
    <t>Умутай</t>
  </si>
  <si>
    <t>@wsvxpa</t>
  </si>
  <si>
    <t>Жакыпова Гулфина второй проект</t>
  </si>
  <si>
    <t>Таалайбеков Нурсултан</t>
  </si>
  <si>
    <t>----------------</t>
  </si>
  <si>
    <t>Эсенбекова Азиза</t>
  </si>
  <si>
    <t>-------</t>
  </si>
  <si>
    <t>-----------------</t>
  </si>
  <si>
    <t>Проект</t>
  </si>
  <si>
    <t>Общий срок
 проекта</t>
  </si>
  <si>
    <t>Договор</t>
  </si>
  <si>
    <t>ТЗ</t>
  </si>
  <si>
    <t>Брендбук</t>
  </si>
  <si>
    <t>Дизайн</t>
  </si>
  <si>
    <t>стеджинг</t>
  </si>
  <si>
    <t>продакшн</t>
  </si>
  <si>
    <t>Резюме</t>
  </si>
  <si>
    <t>Gitlab</t>
  </si>
  <si>
    <t>Дискорд</t>
  </si>
  <si>
    <t>Jira</t>
  </si>
  <si>
    <t>Встреча 
тимлидов</t>
  </si>
  <si>
    <t>организаторы 
собрании</t>
  </si>
  <si>
    <t>Project 
Manager</t>
  </si>
  <si>
    <t>фронтенд</t>
  </si>
  <si>
    <t>Flutter</t>
  </si>
  <si>
    <t>QA</t>
  </si>
  <si>
    <t>DevOps
-инженер</t>
  </si>
  <si>
    <t>дизайн</t>
  </si>
  <si>
    <t xml:space="preserve">technowoman.test.com.kg </t>
  </si>
  <si>
    <t xml:space="preserve">доступа нет
</t>
  </si>
  <si>
    <t>https://gitlab.geeks.kg/technowoman</t>
  </si>
  <si>
    <t>Салтанат</t>
  </si>
  <si>
    <t>Эрбол
Сайдакмат</t>
  </si>
  <si>
    <t>Айназик</t>
  </si>
  <si>
    <t>Нурсултан</t>
  </si>
  <si>
    <t>kyrgyz.geekspro.kg</t>
  </si>
  <si>
    <t xml:space="preserve">доступ алды.
</t>
  </si>
  <si>
    <t>https://gitlab.geeks.kg/kyrgyzexport</t>
  </si>
  <si>
    <t>12.0</t>
  </si>
  <si>
    <t>Айзирек</t>
  </si>
  <si>
    <t>Бакытбекова Адэль</t>
  </si>
  <si>
    <t>-----</t>
  </si>
  <si>
    <t>Аманкулов Чынгызхан</t>
  </si>
  <si>
    <t xml:space="preserve"> 502 624 333</t>
  </si>
  <si>
    <t>happy baby.geekspro.kg</t>
  </si>
  <si>
    <t>Адылбеков  Элдияр</t>
  </si>
  <si>
    <t>доступа нет
студиодон алат</t>
  </si>
  <si>
    <t>https://gitlab.geeks.kg/happy-baby</t>
  </si>
  <si>
    <t>Насиров Бэкастан-Ош</t>
  </si>
  <si>
    <t>Перизат</t>
  </si>
  <si>
    <t>Адинай</t>
  </si>
  <si>
    <t>Калдарова Айназик</t>
  </si>
  <si>
    <t>Насиза Имран</t>
  </si>
  <si>
    <t>Нартажиева Назима</t>
  </si>
  <si>
    <t>Кенжебеков Кутман</t>
  </si>
  <si>
    <t>abiyir.geekspro.kg</t>
  </si>
  <si>
    <t>Акимканова Асель</t>
  </si>
  <si>
    <t>сервер не подходит</t>
  </si>
  <si>
    <t>https://gitlab.geeks.kg/abiyirfinance</t>
  </si>
  <si>
    <t>Даниел Жолдошев(онлайн)</t>
  </si>
  <si>
    <t>Бурулай</t>
  </si>
  <si>
    <t>Паншер Арафат</t>
  </si>
  <si>
    <t>???????????</t>
  </si>
  <si>
    <t>Камбаров Данияр</t>
  </si>
  <si>
    <t xml:space="preserve"> </t>
  </si>
  <si>
    <t>Тешебаев Эламан внешка</t>
  </si>
  <si>
    <t>Арууке</t>
  </si>
  <si>
    <t>Тоокебаева Эльмира</t>
  </si>
  <si>
    <t>220 371254</t>
  </si>
  <si>
    <t>не вышел в прод. проект на стейдже остался</t>
  </si>
  <si>
    <t>Нургазиев Кутман - Ош</t>
  </si>
  <si>
    <t>Черняга Виктория внешка</t>
  </si>
  <si>
    <t>Алек</t>
  </si>
  <si>
    <t>https://bsu.geekspro.kg/</t>
  </si>
  <si>
    <t>Бакеев Бектур</t>
  </si>
  <si>
    <t>название</t>
  </si>
  <si>
    <t>@bugfxr</t>
  </si>
  <si>
    <t>Байгазакова Аида</t>
  </si>
  <si>
    <t>https://gitlab.geeks.kg/batken-state-university</t>
  </si>
  <si>
    <t>всего стаж.</t>
  </si>
  <si>
    <t>банк резюме</t>
  </si>
  <si>
    <t>статусы:</t>
  </si>
  <si>
    <t>Асанбекова Сайкал</t>
  </si>
  <si>
    <t>555512105    @lakiassaikal</t>
  </si>
  <si>
    <t>Батырбекова Бермет</t>
  </si>
  <si>
    <r>
      <rPr>
        <rFont val="Times New Roman"/>
        <b/>
        <color rgb="FFFF0000"/>
        <sz val="10.0"/>
      </rPr>
      <t>19.02-</t>
    </r>
    <r>
      <rPr>
        <rFont val="Times New Roman"/>
        <b/>
        <color rgb="FF000000"/>
        <sz val="10.0"/>
      </rPr>
      <t>31.03</t>
    </r>
    <r>
      <rPr>
        <rFont val="Times New Roman"/>
        <b/>
        <color rgb="FFFF0000"/>
        <sz val="10.0"/>
      </rPr>
      <t>.-05.04</t>
    </r>
  </si>
  <si>
    <t>Икрамова Айгерим</t>
  </si>
  <si>
    <t>Сулайманов Даниел внешка</t>
  </si>
  <si>
    <t>Исаева Канышай</t>
  </si>
  <si>
    <t>https://medscan.geekspro.kg</t>
  </si>
  <si>
    <t>999300138 / @Kanya_East</t>
  </si>
  <si>
    <t>Калиев Нурканат</t>
  </si>
  <si>
    <t>@HIOSURO</t>
  </si>
  <si>
    <t>сдан</t>
  </si>
  <si>
    <t>ProMontage</t>
  </si>
  <si>
    <t>Искендер - Ош</t>
  </si>
  <si>
    <t>?</t>
  </si>
  <si>
    <t>девопс-практика-слава-внутренный продажа</t>
  </si>
  <si>
    <t>@Iskenderlll</t>
  </si>
  <si>
    <t>Айкен</t>
  </si>
  <si>
    <t>Азамат</t>
  </si>
  <si>
    <t>Пчелинцев Станислав</t>
  </si>
  <si>
    <t>Умар
Бекназар</t>
  </si>
  <si>
    <t>Адина</t>
  </si>
  <si>
    <t>Баэль</t>
  </si>
  <si>
    <t>старты гикспро</t>
  </si>
  <si>
    <t>@Sosavodd</t>
  </si>
  <si>
    <t>домен</t>
  </si>
  <si>
    <t>Казанцева Елена</t>
  </si>
  <si>
    <r>
      <rPr>
        <rFont val="Times New Roman"/>
        <b/>
        <color theme="1"/>
        <sz val="10.0"/>
      </rPr>
      <t>01.11.25-31.03.-</t>
    </r>
    <r>
      <rPr>
        <rFont val="Times New Roman"/>
        <b/>
        <color rgb="FFFF0000"/>
        <sz val="10.0"/>
      </rPr>
      <t>15.04</t>
    </r>
  </si>
  <si>
    <t>онлайн  -демо дей-пр.эфир</t>
  </si>
  <si>
    <t>@elhel_51</t>
  </si>
  <si>
    <t>На паузе</t>
  </si>
  <si>
    <t xml:space="preserve">мобилный проект </t>
  </si>
  <si>
    <t>Клиент отказался</t>
  </si>
  <si>
    <t>Турумбекова Мираида</t>
  </si>
  <si>
    <t>стр-план</t>
  </si>
  <si>
    <t>Рысбай кызы Айганыш</t>
  </si>
  <si>
    <t>20:00:00 пн собр с пм</t>
  </si>
  <si>
    <t>Бекболотов Нур</t>
  </si>
  <si>
    <t>https://okuukitebi.geekspro.kg/</t>
  </si>
  <si>
    <t>@nurxdev</t>
  </si>
  <si>
    <t>видео-моушн</t>
  </si>
  <si>
    <t>Кульчуков Далер</t>
  </si>
  <si>
    <t>https://okuukitebi.edu.kg/</t>
  </si>
  <si>
    <t>статусы проектов</t>
  </si>
  <si>
    <t>702 006213 @reducer02</t>
  </si>
  <si>
    <t>кол.студентов</t>
  </si>
  <si>
    <t>старт-завершение проекты</t>
  </si>
  <si>
    <t>команда получила проект БиКлин</t>
  </si>
  <si>
    <t>инфо-повот</t>
  </si>
  <si>
    <t>Кубаныч</t>
  </si>
  <si>
    <t>Кочербаев Адилет</t>
  </si>
  <si>
    <t xml:space="preserve">гикс кж. инстограмм инфо </t>
  </si>
  <si>
    <t>05.01-30.04.26</t>
  </si>
  <si>
    <t>Бекеев Турат внешка</t>
  </si>
  <si>
    <t>Жейренбаева Атайым внешка</t>
  </si>
  <si>
    <t>Токторбеков Максат</t>
  </si>
  <si>
    <t>https://bestyle.geekspro.kg/</t>
  </si>
  <si>
    <t>Рахатова Алтынай</t>
  </si>
  <si>
    <t xml:space="preserve">серификаттары </t>
  </si>
  <si>
    <t>Луфтуллаева Венера</t>
  </si>
  <si>
    <t>@Venichcs</t>
  </si>
  <si>
    <t>Эркинай</t>
  </si>
  <si>
    <t>Мардон - Ош</t>
  </si>
  <si>
    <t>____-21.02.26</t>
  </si>
  <si>
    <t>https://nbkr.test.com.kg/</t>
  </si>
  <si>
    <t>Проект отклонен</t>
  </si>
  <si>
    <t>встреча с смм специалисты Асель</t>
  </si>
  <si>
    <t>Мицуков Артём</t>
  </si>
  <si>
    <t>30.03 чыгат протко.</t>
  </si>
  <si>
    <t>Науменко Анастасия</t>
  </si>
  <si>
    <t>Гамзаева Альфия</t>
  </si>
  <si>
    <t>стажор менен аяктоо каерде</t>
  </si>
  <si>
    <t>Эмиль</t>
  </si>
  <si>
    <t>Акжол у Рамазан</t>
  </si>
  <si>
    <t>21.11.25-30.04.2026</t>
  </si>
  <si>
    <t>Магомед Исмаилов</t>
  </si>
  <si>
    <t>@ismailovvvvv_m</t>
  </si>
  <si>
    <t>ИИ смм Асель</t>
  </si>
  <si>
    <t>Матеев Улар</t>
  </si>
  <si>
    <t xml:space="preserve"> в разработке</t>
  </si>
  <si>
    <t>стажор -стейджингди 
тушунуш керек</t>
  </si>
  <si>
    <t xml:space="preserve">Энактас КЖ	</t>
  </si>
  <si>
    <t>Авазалиев Нурсултан - Ош</t>
  </si>
  <si>
    <t>22.07-03.08</t>
  </si>
  <si>
    <t xml:space="preserve">Энактас КЖ        </t>
  </si>
  <si>
    <t>Топчуев Алихан - Ош</t>
  </si>
  <si>
    <t>Дунлаза Рауф</t>
  </si>
  <si>
    <t>Дайырбекова Мираида</t>
  </si>
  <si>
    <t>Имран</t>
  </si>
  <si>
    <t>Жамалодин</t>
  </si>
  <si>
    <t>собраные девопс</t>
  </si>
  <si>
    <t>500 267183 @egizovam</t>
  </si>
  <si>
    <t>Халбекова Айгерим</t>
  </si>
  <si>
    <t>GeeksPro</t>
  </si>
  <si>
    <t>ОШ</t>
  </si>
  <si>
    <t>09.03.2026-31.05.26</t>
  </si>
  <si>
    <t xml:space="preserve">Тагаев Бексултан </t>
  </si>
  <si>
    <t>Есть</t>
  </si>
  <si>
    <t>GeeksPro 02.04.26</t>
  </si>
  <si>
    <t>Махамадалиева Гулназик</t>
  </si>
  <si>
    <t>779 719809 @nazix00</t>
  </si>
  <si>
    <t>Атай Кайырдинов</t>
  </si>
  <si>
    <t>996 778 400484 @Someonefine</t>
  </si>
  <si>
    <t>Сабиралиев Анарбек</t>
  </si>
  <si>
    <t>Дунлаза Сумая</t>
  </si>
  <si>
    <t>220149513 @tthe_ds</t>
  </si>
  <si>
    <t>Касенов Назар</t>
  </si>
  <si>
    <t>778798799 @ciaaaok</t>
  </si>
  <si>
    <t>Абдикаарова Сайкал</t>
  </si>
  <si>
    <t>@sa1kalka 0704417698</t>
  </si>
  <si>
    <t>Адылов Сармат</t>
  </si>
  <si>
    <t>@SarmaAd0</t>
  </si>
  <si>
    <t>Кумонов Кайыпбек</t>
  </si>
  <si>
    <t>ПроМонтаж 02.04.2026</t>
  </si>
  <si>
    <t>Бахридинова Саидахон</t>
  </si>
  <si>
    <t>Адэль</t>
  </si>
  <si>
    <t>@Saida1ts</t>
  </si>
  <si>
    <t>Өмүр ОШ</t>
  </si>
  <si>
    <t>Жыргалбаев Ильяз</t>
  </si>
  <si>
    <t>@iliaz0605</t>
  </si>
  <si>
    <t>LogoPark</t>
  </si>
  <si>
    <t>Эркиналы кызы Алсу</t>
  </si>
  <si>
    <t>@Alsu_Er</t>
  </si>
  <si>
    <t>be clean</t>
  </si>
  <si>
    <t>Амир Бакеев</t>
  </si>
  <si>
    <t>@amiirBakee  705828423</t>
  </si>
  <si>
    <t>Жумабаев Амантай</t>
  </si>
  <si>
    <t>@Amantai_07</t>
  </si>
  <si>
    <t xml:space="preserve"> Азатбеков Кутман</t>
  </si>
  <si>
    <t>@kutman1029</t>
  </si>
  <si>
    <t>11.0-12.0</t>
  </si>
  <si>
    <t>Герасько Никита</t>
  </si>
  <si>
    <t>Чолпон</t>
  </si>
  <si>
    <t>Видади???</t>
  </si>
  <si>
    <t>Айтбаев Тимур</t>
  </si>
  <si>
    <t>09.03.2026-30.05.26</t>
  </si>
  <si>
    <t>996 700 112355 @tttimur02</t>
  </si>
  <si>
    <t>Айгерим</t>
  </si>
  <si>
    <t>Enactus</t>
  </si>
  <si>
    <t>09.03.2026-06.05.26</t>
  </si>
  <si>
    <t>Адилет</t>
  </si>
  <si>
    <t>BiClean</t>
  </si>
  <si>
    <t>Умай</t>
  </si>
  <si>
    <t>место полож.</t>
  </si>
  <si>
    <t>Участники</t>
  </si>
  <si>
    <t>тел.номер</t>
  </si>
  <si>
    <t>телеграммы</t>
  </si>
  <si>
    <t>э.почты</t>
  </si>
  <si>
    <t>Мураталиев Дастан</t>
  </si>
  <si>
    <t xml:space="preserve">руководитель </t>
  </si>
  <si>
    <t>КИТ форум</t>
  </si>
  <si>
    <t>Саимбетов Нурсултан</t>
  </si>
  <si>
    <t>DevOps-инженер</t>
  </si>
  <si>
    <t>Анабел</t>
  </si>
  <si>
    <t>Project Manager</t>
  </si>
  <si>
    <t>Олимпийский резерв</t>
  </si>
  <si>
    <t>Сабиржанов Жамолдин</t>
  </si>
  <si>
    <t>Flatter</t>
  </si>
  <si>
    <t>Курманбеков Эрбол</t>
  </si>
  <si>
    <t>Мийзамбеков Баэль</t>
  </si>
  <si>
    <t>Талантбек уулу Саидахмад</t>
  </si>
  <si>
    <t>QА</t>
  </si>
  <si>
    <t>телеграмм</t>
  </si>
  <si>
    <t>Палароид_Н</t>
  </si>
  <si>
    <t>Салиев Жумабек</t>
  </si>
  <si>
    <t>Исакова Кудбухон</t>
  </si>
  <si>
    <t>Салия</t>
  </si>
  <si>
    <t>нет проекта ЭкиАл</t>
  </si>
  <si>
    <t>Направление</t>
  </si>
  <si>
    <t>Номер телефона</t>
  </si>
  <si>
    <t>Телеграмм</t>
  </si>
  <si>
    <t>Оплата</t>
  </si>
  <si>
    <t>Комментарии</t>
  </si>
  <si>
    <t>Иминжан уулу Мардон</t>
  </si>
  <si>
    <t>@Mari_programm</t>
  </si>
  <si>
    <t>бп</t>
  </si>
  <si>
    <t>есть</t>
  </si>
  <si>
    <t>Чынберди уулу Бекастан</t>
  </si>
  <si>
    <t>@beka_stan</t>
  </si>
  <si>
    <t xml:space="preserve">Нуралиев Ислам </t>
  </si>
  <si>
    <t>@L_WIII</t>
  </si>
  <si>
    <t>Абдикалилов Ислам</t>
  </si>
  <si>
    <t>996 501 155095</t>
  </si>
  <si>
    <t>@Abdikalilov_Islam</t>
  </si>
  <si>
    <t>ДЖоробаев Билолдин</t>
  </si>
  <si>
    <t>бэкенд</t>
  </si>
  <si>
    <t>@Someonefine    +996 778 400484</t>
  </si>
  <si>
    <t>Арстанбеков Ильхам</t>
  </si>
  <si>
    <t>@iarstanbekov</t>
  </si>
  <si>
    <t>ilham.arstan@gmail.com</t>
  </si>
  <si>
    <t>добавлен</t>
  </si>
  <si>
    <t>Марасулова Айзира</t>
  </si>
  <si>
    <t>Асан уулу Мавлидин</t>
  </si>
  <si>
    <t>@Asanovv1ch</t>
  </si>
  <si>
    <t>Черванев Рамзан</t>
  </si>
  <si>
    <t>@rmzbjj</t>
  </si>
  <si>
    <t>Нарынбеков Артур</t>
  </si>
  <si>
    <t>@lissaboncr7</t>
  </si>
  <si>
    <t>Абдыгапар уулу Абдыкалык</t>
  </si>
  <si>
    <t>нет никнейма</t>
  </si>
  <si>
    <t>Омурзаков Байэмир</t>
  </si>
  <si>
    <t>0555422842</t>
  </si>
  <si>
    <t>baemir.omurzak0v@mail.ru</t>
  </si>
  <si>
    <t>baemir_omurzak0v</t>
  </si>
  <si>
    <t>Доолотбеков Султан</t>
  </si>
  <si>
    <t>559 484 874</t>
  </si>
  <si>
    <t>@s_doolotbekov</t>
  </si>
  <si>
    <t>Талипов Азамат</t>
  </si>
  <si>
    <t>@talazaa</t>
  </si>
  <si>
    <t xml:space="preserve">                      </t>
  </si>
  <si>
    <t>Илья Игольников</t>
  </si>
  <si>
    <t>@Ilya2_17</t>
  </si>
  <si>
    <t>Кошойбаев Искандер</t>
  </si>
  <si>
    <t xml:space="preserve"> 555 194109</t>
  </si>
  <si>
    <t>Токтаалиев Дияр</t>
  </si>
  <si>
    <t>@d1ccaaa</t>
  </si>
  <si>
    <t>Асангулова Айжан</t>
  </si>
  <si>
    <t>708 154 521</t>
  </si>
  <si>
    <t xml:space="preserve">Таалайбек уулу Байэли </t>
  </si>
  <si>
    <t>@wiasslo</t>
  </si>
  <si>
    <t>Ст.тимлид диз</t>
  </si>
  <si>
    <t>Бейшеналиева Алия</t>
  </si>
  <si>
    <t>@scarrley</t>
  </si>
  <si>
    <t>Камбарбеков Азамат</t>
  </si>
  <si>
    <t>@Azkmbw</t>
  </si>
  <si>
    <t>Ст.тимлид фронт</t>
  </si>
  <si>
    <t>Ст. тимлид бэкенд</t>
  </si>
  <si>
    <t>@del_Rr</t>
  </si>
  <si>
    <t>Исмаилов Алибек</t>
  </si>
  <si>
    <t>@jjfnnnn1t</t>
  </si>
  <si>
    <t>alibekismailov223@gmail.com</t>
  </si>
  <si>
    <t xml:space="preserve">                            </t>
  </si>
  <si>
    <t>Талантбек кызы Сезим</t>
  </si>
  <si>
    <t>@sezim_talantbek</t>
  </si>
  <si>
    <t>sezim240298m21@mail.ru</t>
  </si>
  <si>
    <t>Мамбетжанова Жазайым</t>
  </si>
  <si>
    <t>@Zhazaiym03</t>
  </si>
  <si>
    <t>mambetzhanovazhazaiym@gmail.com</t>
  </si>
  <si>
    <t>Абдылдаева Саида</t>
  </si>
  <si>
    <t>@a770s</t>
  </si>
  <si>
    <t>Кулукеева Бегимай</t>
  </si>
  <si>
    <t>нет юзернейма</t>
  </si>
  <si>
    <t>bkulukeeva1@gmail.com</t>
  </si>
  <si>
    <t>Рахимов Атай</t>
  </si>
  <si>
    <t>@User_number10</t>
  </si>
  <si>
    <t>genij8901@gmail.com</t>
  </si>
  <si>
    <t>Алтынай Джыргалбекова</t>
  </si>
  <si>
    <t>@urmattovas</t>
  </si>
  <si>
    <t>altunai2009@icloud.com</t>
  </si>
  <si>
    <t>Кочкорбай уулу Айсултан</t>
  </si>
  <si>
    <t xml:space="preserve"> 555 782 189</t>
  </si>
  <si>
    <t>@DiamondDogs5</t>
  </si>
  <si>
    <t>broassassin932@gmail.com</t>
  </si>
  <si>
    <t>Нурсултан Исаев</t>
  </si>
  <si>
    <t xml:space="preserve">@isaevv_zzz </t>
  </si>
  <si>
    <t>aibeknurel07@gmail.com</t>
  </si>
  <si>
    <t>Бекназар Узбеков</t>
  </si>
  <si>
    <t>999 906 710</t>
  </si>
  <si>
    <t>@JailBreak077</t>
  </si>
  <si>
    <t>tsstark225@gmail.com</t>
  </si>
  <si>
    <t>Уктам Тентиев</t>
  </si>
  <si>
    <t>@quazsc</t>
  </si>
  <si>
    <t>messitopgoat@gmail.com</t>
  </si>
  <si>
    <t xml:space="preserve">Тажибаева Райхан </t>
  </si>
  <si>
    <t>708 896 964</t>
  </si>
  <si>
    <t>@basilbasil_06</t>
  </si>
  <si>
    <t>tazhibaeva.raikhan@gmail.com</t>
  </si>
  <si>
    <t xml:space="preserve">Муслим Садыков
</t>
  </si>
  <si>
    <t xml:space="preserve"> 509 357 643</t>
  </si>
  <si>
    <t>@muslim9876543212</t>
  </si>
  <si>
    <t>m4413626@gmail.com</t>
  </si>
  <si>
    <t>Окуу китеби</t>
  </si>
  <si>
    <t>Адилет Жаныбек уулу</t>
  </si>
  <si>
    <t>703 545 316</t>
  </si>
  <si>
    <t>@Adiscary</t>
  </si>
  <si>
    <t>@tthe_ds</t>
  </si>
  <si>
    <t>Бектенов Арсен</t>
  </si>
  <si>
    <t>@arseni_be</t>
  </si>
  <si>
    <t xml:space="preserve">Сагынбаев Амантур </t>
  </si>
  <si>
    <t>@Amansss3838</t>
  </si>
  <si>
    <t>Элиза Атанбаева</t>
  </si>
  <si>
    <t>Жигитекова Назик</t>
  </si>
  <si>
    <t>7 911 746-39-50</t>
  </si>
  <si>
    <t xml:space="preserve">Рыскулова Жибек </t>
  </si>
  <si>
    <t>@zh1kaa</t>
  </si>
  <si>
    <t>Эламан Жумабеков</t>
  </si>
  <si>
    <t>@ElamanDev</t>
  </si>
  <si>
    <t>Темирбекова Эльмира</t>
  </si>
  <si>
    <t>557 369 613</t>
  </si>
  <si>
    <t>995 557 369 613</t>
  </si>
  <si>
    <t>Матисаков Нурсултан</t>
  </si>
  <si>
    <t>@Nam_ra_00</t>
  </si>
  <si>
    <t>Медскан</t>
  </si>
  <si>
    <t>Садыкова Диора</t>
  </si>
  <si>
    <t>@minttear6</t>
  </si>
  <si>
    <t>sadykovadiora@mail.ru</t>
  </si>
  <si>
    <t>sadykova_diora</t>
  </si>
  <si>
    <t>Абдуллаев Мелис</t>
  </si>
  <si>
    <t>996 552 115150</t>
  </si>
  <si>
    <t>@Meeellliiis</t>
  </si>
  <si>
    <t>Melis Abdullaev</t>
  </si>
  <si>
    <t>Исаев Нурсултан</t>
  </si>
  <si>
    <t>@isaevv_zzz</t>
  </si>
  <si>
    <t>nursultan_isaev</t>
  </si>
  <si>
    <t>Асан Акжол</t>
  </si>
  <si>
    <t>@pascal1356</t>
  </si>
  <si>
    <t>akjolasan75@gmail.com</t>
  </si>
  <si>
    <t>asan_akjol</t>
  </si>
  <si>
    <t>Кубанычбеков Амантур</t>
  </si>
  <si>
    <t>@amanturdev_7</t>
  </si>
  <si>
    <t>kubanycbekovamantur2@gmail.com</t>
  </si>
  <si>
    <t>kubanycbekov_amantur</t>
  </si>
  <si>
    <t>Данияр Кенжебеков</t>
  </si>
  <si>
    <t>@AnEnterpreneur</t>
  </si>
  <si>
    <t>kenjebekov.daniyar.1409@gmail.com</t>
  </si>
  <si>
    <t>kenjebekov_daniyar</t>
  </si>
  <si>
    <t>Джыргалбекова Алтынай</t>
  </si>
  <si>
    <t>@Someonefine</t>
  </si>
  <si>
    <t>Проекты</t>
  </si>
  <si>
    <t>Расписания менторов</t>
  </si>
  <si>
    <t xml:space="preserve">Егор Frontend </t>
  </si>
  <si>
    <t xml:space="preserve">Арзыбек Backend </t>
  </si>
  <si>
    <t xml:space="preserve"> Ux/Ui Айгерим</t>
  </si>
  <si>
    <t>Батма ПМ</t>
  </si>
  <si>
    <t>Алина QA</t>
  </si>
  <si>
    <t>Нурсултан iOS</t>
  </si>
  <si>
    <t>Пн</t>
  </si>
  <si>
    <t>Вт</t>
  </si>
  <si>
    <t>Вторник в 17:00</t>
  </si>
  <si>
    <t>Ср</t>
  </si>
  <si>
    <t>Среда в 17:00</t>
  </si>
  <si>
    <t>Чт</t>
  </si>
  <si>
    <t>Пт</t>
  </si>
  <si>
    <t>Сб</t>
  </si>
  <si>
    <t>Даты предзащит 25%</t>
  </si>
  <si>
    <t>факт даты защиты</t>
  </si>
  <si>
    <t>Android</t>
  </si>
  <si>
    <t>IOS</t>
  </si>
  <si>
    <t>Test</t>
  </si>
  <si>
    <t>итого ср.показ.</t>
  </si>
  <si>
    <t>Список участников :</t>
  </si>
  <si>
    <t>Даты предзащит 50%</t>
  </si>
  <si>
    <t>дата :</t>
  </si>
  <si>
    <t>факт дата защиты</t>
  </si>
  <si>
    <t>Манчеллаев Владислав</t>
  </si>
  <si>
    <t>Бакиров Даниэль</t>
  </si>
  <si>
    <t>Джантелиев Адилхан</t>
  </si>
  <si>
    <t>Мурсалиев Нурсултан</t>
  </si>
  <si>
    <t>Токтоматов Айтенир</t>
  </si>
  <si>
    <t>Тентимишов Азамат</t>
  </si>
  <si>
    <t>Джеенбекова Сакина</t>
  </si>
  <si>
    <t>Орозбеков Жаныбек</t>
  </si>
  <si>
    <t>Усенканов Саади</t>
  </si>
  <si>
    <t xml:space="preserve">Конушбек уулу Эмир </t>
  </si>
  <si>
    <t xml:space="preserve">	Айдана Курбанбекова
</t>
  </si>
  <si>
    <t>Кайыпова Салкын</t>
  </si>
  <si>
    <t xml:space="preserve">Амина Кыйрабаева </t>
  </si>
  <si>
    <t>Даты предзащит 75%</t>
  </si>
  <si>
    <t>Список участников:</t>
  </si>
  <si>
    <t>дата:</t>
  </si>
  <si>
    <t>Дивазов Фархад</t>
  </si>
  <si>
    <t>Сасыков Улан</t>
  </si>
  <si>
    <t xml:space="preserve">Алиаскарова Аяна
</t>
  </si>
  <si>
    <t xml:space="preserve">Алдыракманова Айбийке
</t>
  </si>
  <si>
    <t>Юрьев Иван</t>
  </si>
  <si>
    <t>Раимбекова Айя</t>
  </si>
  <si>
    <t xml:space="preserve">Жумаев Нурислам
</t>
  </si>
  <si>
    <t xml:space="preserve">Анарбекова Канышай
</t>
  </si>
  <si>
    <t xml:space="preserve">Талантбекова Ринне
</t>
  </si>
  <si>
    <t>Шаршеева Жибек</t>
  </si>
  <si>
    <r>
      <rPr>
        <rFont val="Georgia"/>
        <color theme="1"/>
      </rPr>
      <t xml:space="preserve">Арстанбеков Ильхам </t>
    </r>
    <r>
      <rPr>
        <rFont val="Georgia"/>
        <color rgb="FFFF0000"/>
      </rPr>
      <t>!</t>
    </r>
  </si>
  <si>
    <t>Эсенгулова Зарина</t>
  </si>
  <si>
    <t>Көкүлбаев Бекмырза</t>
  </si>
  <si>
    <t>Турдалиева Алема</t>
  </si>
  <si>
    <r>
      <rPr>
        <rFont val="Georgia"/>
        <color theme="1"/>
      </rPr>
      <t xml:space="preserve">Камбарбеков Азамат </t>
    </r>
    <r>
      <rPr>
        <rFont val="Georgia"/>
        <color rgb="FFFF0000"/>
      </rPr>
      <t>!</t>
    </r>
  </si>
  <si>
    <t>Яйха Егана</t>
  </si>
  <si>
    <t>Жумакадырова Аина</t>
  </si>
  <si>
    <t>Даты предзащит  100%</t>
  </si>
  <si>
    <t>Окенов Адиль</t>
  </si>
  <si>
    <t>Мавлянов Мухаммадсодик</t>
  </si>
  <si>
    <t>Список студентов :</t>
  </si>
  <si>
    <t xml:space="preserve">Нурланов Арген
</t>
  </si>
  <si>
    <t xml:space="preserve">Юбуров Амир
</t>
  </si>
  <si>
    <t>Исмаев Селим</t>
  </si>
  <si>
    <t>Юлдашев Диорбек</t>
  </si>
  <si>
    <t xml:space="preserve">Эсенбеков Тимур
</t>
  </si>
  <si>
    <t xml:space="preserve">Заиров Умар
</t>
  </si>
  <si>
    <t>Бекназар Болотов</t>
  </si>
  <si>
    <t>Курманов Тилек</t>
  </si>
  <si>
    <t>Нарымбаев Ильдан</t>
  </si>
  <si>
    <t>МК по Soft Skills</t>
  </si>
  <si>
    <t xml:space="preserve">Бекбоева Адина </t>
  </si>
  <si>
    <t>Тураров Жандар</t>
  </si>
  <si>
    <t xml:space="preserve">Орозалиев Кылымбек </t>
  </si>
  <si>
    <t xml:space="preserve">Салихар Амир </t>
  </si>
  <si>
    <t>Абдымаликов Нурлис</t>
  </si>
  <si>
    <t>Тыныбеков Ислам</t>
  </si>
  <si>
    <t>Аскатова Арууке</t>
  </si>
  <si>
    <t>Ламар Аманзай</t>
  </si>
  <si>
    <t>Дата</t>
  </si>
  <si>
    <t>Джаанбаев Омурбек</t>
  </si>
  <si>
    <t>Асилбеков Эмир</t>
  </si>
  <si>
    <t xml:space="preserve">	Дмитрий Горохов</t>
  </si>
  <si>
    <t>Кенжебек Кызы Адинай</t>
  </si>
  <si>
    <t>Ишенбеков Эржан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</si>
</sst>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.mm.yy"/>
    <numFmt numFmtId="165" formatCode="dd.mm"/>
    <numFmt numFmtId="166" formatCode="dd.MM."/>
    <numFmt numFmtId="167" formatCode="d.m"/>
    <numFmt numFmtId="168" formatCode="dd.mm.yyyy"/>
    <numFmt numFmtId="169" formatCode="d.m.yyyy h:mm"/>
    <numFmt numFmtId="170" formatCode="dd.mm.yyyy h:mm"/>
  </numFmts>
  <fonts count="85">
    <font>
      <sz val="10.0"/>
      <color rgb="FF000000"/>
      <name val="Arial"/>
      <scheme val="minor"/>
    </font>
    <font>
      <sz val="10.0"/>
      <color theme="1"/>
      <name val="Times New Roman"/>
    </font>
    <font>
      <color theme="1"/>
      <name val="Arial"/>
      <scheme val="minor"/>
    </font>
    <font>
      <b/>
      <color theme="1"/>
      <name val="Times New Roman"/>
    </font>
    <font>
      <sz val="10.0"/>
      <color rgb="FF1F1F1F"/>
      <name val="Times New Roman"/>
    </font>
    <font>
      <i/>
      <color theme="1"/>
      <name val="Times New Roman"/>
    </font>
    <font/>
    <font>
      <i/>
      <color theme="1"/>
      <name val="Arial"/>
      <scheme val="minor"/>
    </font>
    <font>
      <b/>
      <i/>
      <color theme="1"/>
      <name val="Times New Roman"/>
    </font>
    <font>
      <i/>
      <sz val="10.0"/>
      <color theme="1"/>
      <name val="Times New Roman"/>
    </font>
    <font>
      <color theme="1"/>
      <name val="Times New Roman"/>
    </font>
    <font>
      <b/>
      <sz val="10.0"/>
      <color theme="1"/>
      <name val="Times New Roman"/>
    </font>
    <font>
      <b/>
      <i/>
      <sz val="10.0"/>
      <color theme="1"/>
      <name val="Times New Roman"/>
    </font>
    <font>
      <i/>
      <sz val="8.0"/>
      <color theme="1"/>
      <name val="Times New Roman"/>
    </font>
    <font>
      <sz val="10.0"/>
      <color theme="1"/>
      <name val="Arial"/>
      <scheme val="minor"/>
    </font>
    <font>
      <sz val="8.0"/>
      <color theme="1"/>
      <name val="Times New Roman"/>
    </font>
    <font>
      <b/>
      <color theme="1"/>
      <name val="Arial"/>
      <scheme val="minor"/>
    </font>
    <font>
      <sz val="8.0"/>
      <color theme="1"/>
      <name val="Arial"/>
      <scheme val="minor"/>
    </font>
    <font>
      <sz val="11.0"/>
      <color theme="1"/>
      <name val="Times New Roman"/>
    </font>
    <font>
      <color theme="1"/>
      <name val="Georgia"/>
    </font>
    <font>
      <color theme="1"/>
      <name val="Arial"/>
    </font>
    <font>
      <u/>
      <color rgb="FF0000FF"/>
      <name val="Georgia"/>
    </font>
    <font>
      <color rgb="FF000000"/>
      <name val="Georgia"/>
    </font>
    <font>
      <color rgb="FF0E111A"/>
      <name val="Georgia"/>
    </font>
    <font>
      <u/>
      <color rgb="FF0000FF"/>
      <name val="Georgia"/>
    </font>
    <font>
      <b/>
      <u/>
      <sz val="10.0"/>
      <color rgb="FF0000FF"/>
      <name val="Times New Roman"/>
    </font>
    <font>
      <b/>
      <sz val="10.0"/>
      <color rgb="FFFF0000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u/>
      <color rgb="FF0000FF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i/>
      <sz val="6.0"/>
      <color theme="1"/>
      <name val="Arial"/>
      <scheme val="minor"/>
    </font>
    <font>
      <u/>
      <sz val="10.0"/>
      <color rgb="FF0000FF"/>
      <name val="Times New Roman"/>
    </font>
    <font>
      <sz val="5.0"/>
      <color theme="1"/>
      <name val="Arial"/>
      <scheme val="minor"/>
    </font>
    <font>
      <u/>
      <sz val="10.0"/>
      <color rgb="FF0000FF"/>
      <name val="Times New Roman"/>
    </font>
    <font>
      <i/>
      <sz val="8.0"/>
      <color theme="1"/>
      <name val="Arial"/>
      <scheme val="minor"/>
    </font>
    <font>
      <u/>
      <sz val="10.0"/>
      <color rgb="FF0000FF"/>
      <name val="Times New Roman"/>
    </font>
    <font>
      <b/>
      <i/>
      <sz val="8.0"/>
      <color theme="1"/>
      <name val="Arial"/>
      <scheme val="minor"/>
    </font>
    <font>
      <b/>
      <u/>
      <sz val="10.0"/>
      <color rgb="FF0000FF"/>
      <name val="Times New Roman"/>
    </font>
    <font>
      <b/>
      <color theme="1"/>
      <name val="Arial"/>
    </font>
    <font>
      <b/>
      <u/>
      <sz val="10.0"/>
      <color rgb="FF0000FF"/>
      <name val="Times New Roman"/>
    </font>
    <font>
      <i/>
      <sz val="7.0"/>
      <color theme="1"/>
      <name val="Arial"/>
      <scheme val="minor"/>
    </font>
    <font>
      <b/>
      <u/>
      <sz val="10.0"/>
      <color rgb="FF0000FF"/>
      <name val="Times New Roman"/>
    </font>
    <font>
      <b/>
      <u/>
      <sz val="10.0"/>
      <color rgb="FF0000FF"/>
      <name val="Times New Roman"/>
    </font>
    <font>
      <sz val="7.0"/>
      <color theme="1"/>
      <name val="Arial"/>
      <scheme val="minor"/>
    </font>
    <font>
      <sz val="6.0"/>
      <color theme="1"/>
      <name val="Arial"/>
      <scheme val="minor"/>
    </font>
    <font>
      <b/>
      <strike/>
      <u/>
      <sz val="10.0"/>
      <color rgb="FF0000FF"/>
      <name val="Times New Roman"/>
    </font>
    <font>
      <b/>
      <u/>
      <sz val="10.0"/>
      <color rgb="FF0000FF"/>
      <name val="Times New Roman"/>
    </font>
    <font>
      <i/>
      <sz val="5.0"/>
      <color theme="1"/>
      <name val="Arial"/>
      <scheme val="minor"/>
    </font>
    <font>
      <b/>
      <u/>
      <sz val="10.0"/>
      <color rgb="FF0000FF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b/>
      <u/>
      <sz val="10.0"/>
      <color rgb="FF0000FF"/>
      <name val="Times New Roman"/>
    </font>
    <font>
      <color rgb="FFFFFFFF"/>
      <name val="Arial"/>
      <scheme val="minor"/>
    </font>
    <font>
      <sz val="10.0"/>
      <color rgb="FFFF0000"/>
      <name val="Times New Roman"/>
    </font>
    <font>
      <u/>
      <color rgb="FF0000FF"/>
    </font>
    <font>
      <b/>
      <u/>
      <sz val="10.0"/>
      <color rgb="FF0000FF"/>
      <name val="Times New Roman"/>
    </font>
    <font>
      <b/>
      <u/>
      <sz val="10.0"/>
      <color rgb="FF0000FF"/>
      <name val="Times New Roman"/>
    </font>
    <font>
      <u/>
      <sz val="10.0"/>
      <color rgb="FF0000FF"/>
      <name val="Times New Roman"/>
    </font>
    <font>
      <u/>
      <color rgb="FF0000FF"/>
    </font>
    <font>
      <b/>
      <sz val="11.0"/>
      <color theme="1"/>
      <name val="Times New Roman"/>
    </font>
    <font>
      <sz val="11.0"/>
      <color theme="1"/>
      <name val="Arial"/>
    </font>
    <font>
      <sz val="9.0"/>
      <color theme="1"/>
      <name val="Times New Roman"/>
    </font>
    <font>
      <b/>
      <sz val="9.0"/>
      <color theme="1"/>
      <name val="Times New Roman"/>
    </font>
    <font>
      <b/>
      <sz val="11.0"/>
      <color theme="1"/>
      <name val="Roboto Serif"/>
    </font>
    <font>
      <sz val="11.0"/>
      <color theme="1"/>
      <name val="Roboto Serif"/>
    </font>
    <font>
      <color rgb="FF000000"/>
      <name val="System-ui"/>
    </font>
    <font>
      <sz val="11.0"/>
      <color rgb="FF000000"/>
      <name val="Roboto Serif"/>
    </font>
    <font>
      <b/>
      <sz val="13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0.0"/>
      <color theme="1"/>
      <name val="Arial"/>
      <scheme val="minor"/>
    </font>
    <font>
      <u/>
      <color theme="1"/>
      <name val="Arial"/>
    </font>
    <font>
      <u/>
      <color rgb="FF1155CC"/>
      <name val="Georgia"/>
    </font>
    <font>
      <u/>
      <color theme="1"/>
      <name val="Arial"/>
      <scheme val="minor"/>
    </font>
    <font>
      <u/>
      <color rgb="FF1155CC"/>
      <name val="Arial"/>
    </font>
    <font>
      <sz val="11.0"/>
      <color rgb="FF172B4D"/>
      <name val="-apple-system"/>
    </font>
    <font>
      <color rgb="FF000000"/>
      <name val="Arial"/>
      <scheme val="minor"/>
    </font>
    <font>
      <b/>
      <color theme="1"/>
      <name val="Roboto"/>
    </font>
  </fonts>
  <fills count="2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8E7CC3"/>
        <bgColor rgb="FF8E7CC3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B7B7B7"/>
        <bgColor rgb="FFB7B7B7"/>
      </patternFill>
    </fill>
    <fill>
      <patternFill patternType="solid">
        <fgColor rgb="FF3C78D8"/>
        <bgColor rgb="FF3C78D8"/>
      </patternFill>
    </fill>
    <fill>
      <patternFill patternType="solid">
        <fgColor rgb="FF38761D"/>
        <bgColor rgb="FF38761D"/>
      </patternFill>
    </fill>
    <fill>
      <patternFill patternType="solid">
        <fgColor rgb="FF1155CC"/>
        <bgColor rgb="FF1155CC"/>
      </patternFill>
    </fill>
    <fill>
      <patternFill patternType="solid">
        <fgColor rgb="FFF0F0F0"/>
        <bgColor rgb="FFF0F0F0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2" numFmtId="0" xfId="0" applyFill="1" applyFont="1"/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0" fontId="2" numFmtId="0" xfId="0" applyBorder="1" applyFont="1"/>
    <xf borderId="0" fillId="3" fontId="1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0" fillId="3" fontId="4" numFmtId="0" xfId="0" applyAlignment="1" applyFont="1">
      <alignment horizontal="center" vertical="center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3" fillId="0" fontId="1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readingOrder="0"/>
    </xf>
    <xf borderId="4" fillId="0" fontId="6" numFmtId="0" xfId="0" applyBorder="1" applyFont="1"/>
    <xf borderId="5" fillId="0" fontId="6" numFmtId="0" xfId="0" applyBorder="1" applyFont="1"/>
    <xf borderId="1" fillId="0" fontId="2" numFmtId="0" xfId="0" applyAlignment="1" applyBorder="1" applyFont="1">
      <alignment horizontal="center" readingOrder="0"/>
    </xf>
    <xf borderId="0" fillId="0" fontId="7" numFmtId="0" xfId="0" applyFont="1"/>
    <xf borderId="3" fillId="5" fontId="4" numFmtId="0" xfId="0" applyAlignment="1" applyBorder="1" applyFill="1" applyFont="1">
      <alignment horizontal="center" vertical="center"/>
    </xf>
    <xf borderId="1" fillId="0" fontId="2" numFmtId="165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1" fillId="6" fontId="2" numFmtId="0" xfId="0" applyBorder="1" applyFill="1" applyFont="1"/>
    <xf borderId="6" fillId="0" fontId="6" numFmtId="0" xfId="0" applyBorder="1" applyFont="1"/>
    <xf borderId="1" fillId="0" fontId="1" numFmtId="0" xfId="0" applyAlignment="1" applyBorder="1" applyFont="1">
      <alignment horizontal="center" vertical="center"/>
    </xf>
    <xf borderId="7" fillId="0" fontId="6" numFmtId="0" xfId="0" applyBorder="1" applyFont="1"/>
    <xf borderId="1" fillId="0" fontId="8" numFmtId="49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1" fillId="7" fontId="2" numFmtId="0" xfId="0" applyBorder="1" applyFill="1" applyFont="1"/>
    <xf borderId="0" fillId="0" fontId="1" numFmtId="0" xfId="0" applyAlignment="1" applyFont="1">
      <alignment readingOrder="0"/>
    </xf>
    <xf borderId="1" fillId="2" fontId="2" numFmtId="0" xfId="0" applyBorder="1" applyFont="1"/>
    <xf borderId="1" fillId="0" fontId="1" numFmtId="0" xfId="0" applyAlignment="1" applyBorder="1" applyFont="1">
      <alignment vertical="bottom"/>
    </xf>
    <xf borderId="1" fillId="0" fontId="10" numFmtId="0" xfId="0" applyAlignment="1" applyBorder="1" applyFont="1">
      <alignment readingOrder="0" vertical="center"/>
    </xf>
    <xf borderId="0" fillId="0" fontId="1" numFmtId="0" xfId="0" applyAlignment="1" applyFont="1">
      <alignment vertical="bottom"/>
    </xf>
    <xf borderId="1" fillId="0" fontId="11" numFmtId="0" xfId="0" applyAlignment="1" applyBorder="1" applyFont="1">
      <alignment readingOrder="0" vertical="bottom"/>
    </xf>
    <xf borderId="0" fillId="0" fontId="8" numFmtId="0" xfId="0" applyAlignment="1" applyFont="1">
      <alignment horizontal="center" vertical="center"/>
    </xf>
    <xf borderId="0" fillId="0" fontId="11" numFmtId="0" xfId="0" applyAlignment="1" applyFont="1">
      <alignment vertical="bottom"/>
    </xf>
    <xf borderId="1" fillId="0" fontId="11" numFmtId="0" xfId="0" applyAlignment="1" applyBorder="1" applyFont="1">
      <alignment vertical="bottom"/>
    </xf>
    <xf borderId="1" fillId="8" fontId="10" numFmtId="49" xfId="0" applyAlignment="1" applyBorder="1" applyFill="1" applyFont="1" applyNumberFormat="1">
      <alignment horizontal="center" vertical="center"/>
    </xf>
    <xf borderId="1" fillId="0" fontId="12" numFmtId="0" xfId="0" applyAlignment="1" applyBorder="1" applyFont="1">
      <alignment readingOrder="0" vertical="bottom"/>
    </xf>
    <xf borderId="0" fillId="0" fontId="11" numFmtId="0" xfId="0" applyFont="1"/>
    <xf borderId="1" fillId="8" fontId="13" numFmtId="0" xfId="0" applyAlignment="1" applyBorder="1" applyFont="1">
      <alignment horizontal="center" readingOrder="0" vertical="center"/>
    </xf>
    <xf borderId="1" fillId="0" fontId="11" numFmtId="0" xfId="0" applyBorder="1" applyFont="1"/>
    <xf borderId="1" fillId="0" fontId="12" numFmtId="0" xfId="0" applyAlignment="1" applyBorder="1" applyFont="1">
      <alignment vertical="bottom"/>
    </xf>
    <xf borderId="2" fillId="0" fontId="2" numFmtId="0" xfId="0" applyAlignment="1" applyBorder="1" applyFont="1">
      <alignment horizontal="right" readingOrder="0"/>
    </xf>
    <xf borderId="0" fillId="0" fontId="1" numFmtId="0" xfId="0" applyFont="1"/>
    <xf borderId="0" fillId="0" fontId="10" numFmtId="0" xfId="0" applyAlignment="1" applyFont="1">
      <alignment vertical="center"/>
    </xf>
    <xf borderId="1" fillId="0" fontId="10" numFmtId="49" xfId="0" applyAlignment="1" applyBorder="1" applyFont="1" applyNumberForma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vertical="center"/>
    </xf>
    <xf borderId="1" fillId="0" fontId="1" numFmtId="0" xfId="0" applyAlignment="1" applyBorder="1" applyFont="1">
      <alignment readingOrder="0"/>
    </xf>
    <xf borderId="1" fillId="0" fontId="12" numFmtId="0" xfId="0" applyBorder="1" applyFont="1"/>
    <xf borderId="1" fillId="0" fontId="10" numFmtId="0" xfId="0" applyAlignment="1" applyBorder="1" applyFont="1">
      <alignment vertical="center"/>
    </xf>
    <xf borderId="1" fillId="0" fontId="10" numFmtId="165" xfId="0" applyAlignment="1" applyBorder="1" applyFont="1" applyNumberFormat="1">
      <alignment horizontal="center" readingOrder="0" vertical="center"/>
    </xf>
    <xf borderId="0" fillId="0" fontId="2" numFmtId="0" xfId="0" applyFont="1"/>
    <xf borderId="0" fillId="0" fontId="14" numFmtId="0" xfId="0" applyFont="1"/>
    <xf borderId="1" fillId="2" fontId="10" numFmtId="0" xfId="0" applyAlignment="1" applyBorder="1" applyFont="1">
      <alignment vertical="center"/>
    </xf>
    <xf borderId="1" fillId="0" fontId="10" numFmtId="166" xfId="0" applyAlignment="1" applyBorder="1" applyFont="1" applyNumberFormat="1">
      <alignment horizontal="center" readingOrder="0" vertical="center"/>
    </xf>
    <xf borderId="1" fillId="8" fontId="10" numFmtId="0" xfId="0" applyAlignment="1" applyBorder="1" applyFont="1">
      <alignment vertical="center"/>
    </xf>
    <xf borderId="1" fillId="8" fontId="10" numFmtId="0" xfId="0" applyAlignment="1" applyBorder="1" applyFont="1">
      <alignment horizontal="center" vertical="center"/>
    </xf>
    <xf borderId="1" fillId="9" fontId="2" numFmtId="0" xfId="0" applyBorder="1" applyFill="1" applyFont="1"/>
    <xf borderId="1" fillId="9" fontId="3" numFmtId="0" xfId="0" applyAlignment="1" applyBorder="1" applyFont="1">
      <alignment readingOrder="0" vertical="center"/>
    </xf>
    <xf borderId="1" fillId="0" fontId="10" numFmtId="165" xfId="0" applyAlignment="1" applyBorder="1" applyFont="1" applyNumberFormat="1">
      <alignment horizontal="center" vertical="center"/>
    </xf>
    <xf borderId="1" fillId="8" fontId="13" numFmtId="49" xfId="0" applyAlignment="1" applyBorder="1" applyFont="1" applyNumberFormat="1">
      <alignment horizontal="center" vertical="center"/>
    </xf>
    <xf borderId="1" fillId="0" fontId="10" numFmtId="164" xfId="0" applyAlignment="1" applyBorder="1" applyFont="1" applyNumberFormat="1">
      <alignment horizontal="center" readingOrder="0" vertical="center"/>
    </xf>
    <xf borderId="1" fillId="10" fontId="10" numFmtId="0" xfId="0" applyAlignment="1" applyBorder="1" applyFill="1" applyFont="1">
      <alignment horizontal="center" vertical="center"/>
    </xf>
    <xf borderId="1" fillId="10" fontId="10" numFmtId="0" xfId="0" applyAlignment="1" applyBorder="1" applyFont="1">
      <alignment vertical="center"/>
    </xf>
    <xf borderId="1" fillId="9" fontId="10" numFmtId="165" xfId="0" applyAlignment="1" applyBorder="1" applyFont="1" applyNumberFormat="1">
      <alignment horizontal="center" readingOrder="0" vertical="center"/>
    </xf>
    <xf borderId="1" fillId="9" fontId="10" numFmtId="167" xfId="0" applyAlignment="1" applyBorder="1" applyFont="1" applyNumberFormat="1">
      <alignment horizontal="center" readingOrder="0" vertical="center"/>
    </xf>
    <xf borderId="1" fillId="9" fontId="10" numFmtId="0" xfId="0" applyAlignment="1" applyBorder="1" applyFont="1">
      <alignment horizontal="center" vertical="center"/>
    </xf>
    <xf borderId="1" fillId="9" fontId="10" numFmtId="0" xfId="0" applyAlignment="1" applyBorder="1" applyFont="1">
      <alignment vertical="center"/>
    </xf>
    <xf borderId="1" fillId="0" fontId="15" numFmtId="0" xfId="0" applyAlignment="1" applyBorder="1" applyFont="1">
      <alignment vertical="bottom"/>
    </xf>
    <xf borderId="1" fillId="0" fontId="15" numFmtId="168" xfId="0" applyAlignment="1" applyBorder="1" applyFont="1" applyNumberFormat="1">
      <alignment horizontal="center" vertical="bottom"/>
    </xf>
    <xf borderId="1" fillId="0" fontId="15" numFmtId="168" xfId="0" applyAlignment="1" applyBorder="1" applyFont="1" applyNumberFormat="1">
      <alignment vertical="bottom"/>
    </xf>
    <xf borderId="1" fillId="0" fontId="15" numFmtId="168" xfId="0" applyAlignment="1" applyBorder="1" applyFont="1" applyNumberFormat="1">
      <alignment horizontal="center" readingOrder="0" vertical="bottom"/>
    </xf>
    <xf borderId="1" fillId="0" fontId="10" numFmtId="168" xfId="0" applyAlignment="1" applyBorder="1" applyFont="1" applyNumberFormat="1">
      <alignment horizontal="center" readingOrder="0" vertical="center"/>
    </xf>
    <xf borderId="1" fillId="9" fontId="10" numFmtId="0" xfId="0" applyAlignment="1" applyBorder="1" applyFont="1">
      <alignment readingOrder="0" vertical="center"/>
    </xf>
    <xf borderId="1" fillId="6" fontId="10" numFmtId="0" xfId="0" applyAlignment="1" applyBorder="1" applyFont="1">
      <alignment vertical="center"/>
    </xf>
    <xf borderId="1" fillId="0" fontId="15" numFmtId="166" xfId="0" applyAlignment="1" applyBorder="1" applyFont="1" applyNumberFormat="1">
      <alignment horizontal="center" readingOrder="0" vertical="bottom"/>
    </xf>
    <xf borderId="0" fillId="0" fontId="10" numFmtId="49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0" fillId="2" fontId="10" numFmtId="0" xfId="0" applyAlignment="1" applyFont="1">
      <alignment vertical="center"/>
    </xf>
    <xf borderId="0" fillId="0" fontId="10" numFmtId="0" xfId="0" applyAlignment="1" applyFont="1">
      <alignment horizontal="center" readingOrder="0" vertical="center"/>
    </xf>
    <xf borderId="1" fillId="10" fontId="10" numFmtId="166" xfId="0" applyAlignment="1" applyBorder="1" applyFont="1" applyNumberFormat="1">
      <alignment horizontal="center" vertical="center"/>
    </xf>
    <xf borderId="1" fillId="0" fontId="15" numFmtId="166" xfId="0" applyAlignment="1" applyBorder="1" applyFont="1" applyNumberFormat="1">
      <alignment horizontal="center" vertical="bottom"/>
    </xf>
    <xf borderId="1" fillId="0" fontId="8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10" fontId="10" numFmtId="166" xfId="0" applyAlignment="1" applyBorder="1" applyFont="1" applyNumberFormat="1">
      <alignment horizontal="center" readingOrder="0" vertical="center"/>
    </xf>
    <xf borderId="1" fillId="2" fontId="10" numFmtId="0" xfId="0" applyAlignment="1" applyBorder="1" applyFont="1">
      <alignment horizontal="center" readingOrder="0" vertical="center"/>
    </xf>
    <xf borderId="1" fillId="0" fontId="10" numFmtId="166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9" fontId="2" numFmtId="0" xfId="0" applyAlignment="1" applyBorder="1" applyFont="1">
      <alignment horizontal="center" readingOrder="0"/>
    </xf>
    <xf borderId="1" fillId="9" fontId="2" numFmtId="0" xfId="0" applyAlignment="1" applyBorder="1" applyFont="1">
      <alignment horizontal="center"/>
    </xf>
    <xf borderId="1" fillId="0" fontId="10" numFmtId="49" xfId="0" applyBorder="1" applyFont="1" applyNumberFormat="1"/>
    <xf borderId="1" fillId="0" fontId="10" numFmtId="0" xfId="0" applyAlignment="1" applyBorder="1" applyFont="1">
      <alignment horizontal="center"/>
    </xf>
    <xf borderId="1" fillId="0" fontId="8" numFmtId="0" xfId="0" applyAlignment="1" applyBorder="1" applyFont="1">
      <alignment readingOrder="0"/>
    </xf>
    <xf borderId="1" fillId="0" fontId="10" numFmtId="49" xfId="0" applyAlignment="1" applyBorder="1" applyFont="1" applyNumberFormat="1">
      <alignment horizontal="center" readingOrder="0" vertical="top"/>
    </xf>
    <xf borderId="1" fillId="0" fontId="10" numFmtId="0" xfId="0" applyAlignment="1" applyBorder="1" applyFont="1">
      <alignment horizontal="center" vertical="top"/>
    </xf>
    <xf borderId="0" fillId="0" fontId="10" numFmtId="0" xfId="0" applyAlignment="1" applyFont="1">
      <alignment horizontal="center" vertical="top"/>
    </xf>
    <xf borderId="1" fillId="0" fontId="5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center" readingOrder="0" shrinkToFit="0" vertical="bottom" wrapText="1"/>
    </xf>
    <xf borderId="1" fillId="0" fontId="10" numFmtId="0" xfId="0" applyAlignment="1" applyBorder="1" applyFont="1">
      <alignment horizontal="center" readingOrder="0"/>
    </xf>
    <xf borderId="1" fillId="8" fontId="10" numFmtId="49" xfId="0" applyBorder="1" applyFont="1" applyNumberFormat="1"/>
    <xf borderId="1" fillId="8" fontId="10" numFmtId="0" xfId="0" applyBorder="1" applyFont="1"/>
    <xf borderId="0" fillId="0" fontId="10" numFmtId="0" xfId="0" applyFont="1"/>
    <xf borderId="1" fillId="8" fontId="5" numFmtId="0" xfId="0" applyAlignment="1" applyBorder="1" applyFont="1">
      <alignment horizontal="center"/>
    </xf>
    <xf borderId="0" fillId="8" fontId="10" numFmtId="0" xfId="0" applyFont="1"/>
    <xf borderId="1" fillId="0" fontId="10" numFmtId="0" xfId="0" applyBorder="1" applyFont="1"/>
    <xf borderId="1" fillId="0" fontId="5" numFmtId="0" xfId="0" applyAlignment="1" applyBorder="1" applyFont="1">
      <alignment horizontal="center"/>
    </xf>
    <xf borderId="1" fillId="0" fontId="10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1" fillId="9" fontId="5" numFmtId="0" xfId="0" applyAlignment="1" applyBorder="1" applyFont="1">
      <alignment horizontal="center" readingOrder="0"/>
    </xf>
    <xf borderId="1" fillId="9" fontId="5" numFmtId="0" xfId="0" applyAlignment="1" applyBorder="1" applyFont="1">
      <alignment horizontal="center"/>
    </xf>
    <xf borderId="1" fillId="0" fontId="10" numFmtId="49" xfId="0" applyAlignment="1" applyBorder="1" applyFont="1" applyNumberFormat="1">
      <alignment readingOrder="0"/>
    </xf>
    <xf borderId="0" fillId="0" fontId="5" numFmtId="0" xfId="0" applyAlignment="1" applyFont="1">
      <alignment horizontal="center"/>
    </xf>
    <xf borderId="1" fillId="0" fontId="16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2" numFmtId="166" xfId="0" applyAlignment="1" applyBorder="1" applyFont="1" applyNumberFormat="1">
      <alignment horizontal="center" readingOrder="0"/>
    </xf>
    <xf borderId="1" fillId="0" fontId="2" numFmtId="10" xfId="0" applyBorder="1" applyFont="1" applyNumberFormat="1"/>
    <xf borderId="1" fillId="8" fontId="17" numFmtId="0" xfId="0" applyAlignment="1" applyBorder="1" applyFont="1">
      <alignment horizontal="center" readingOrder="0"/>
    </xf>
    <xf borderId="1" fillId="8" fontId="17" numFmtId="166" xfId="0" applyAlignment="1" applyBorder="1" applyFont="1" applyNumberFormat="1">
      <alignment horizontal="center" readingOrder="0"/>
    </xf>
    <xf borderId="1" fillId="8" fontId="17" numFmtId="0" xfId="0" applyBorder="1" applyFont="1"/>
    <xf borderId="1" fillId="8" fontId="17" numFmtId="0" xfId="0" applyAlignment="1" applyBorder="1" applyFont="1">
      <alignment horizontal="center"/>
    </xf>
    <xf borderId="1" fillId="8" fontId="17" numFmtId="10" xfId="0" applyBorder="1" applyFont="1" applyNumberFormat="1"/>
    <xf borderId="0" fillId="0" fontId="17" numFmtId="0" xfId="0" applyFont="1"/>
    <xf borderId="1" fillId="8" fontId="17" numFmtId="0" xfId="0" applyAlignment="1" applyBorder="1" applyFont="1">
      <alignment readingOrder="0"/>
    </xf>
    <xf borderId="0" fillId="8" fontId="2" numFmtId="0" xfId="0" applyFont="1"/>
    <xf borderId="4" fillId="11" fontId="18" numFmtId="0" xfId="0" applyAlignment="1" applyBorder="1" applyFill="1" applyFont="1">
      <alignment horizontal="center" readingOrder="0" vertical="bottom"/>
    </xf>
    <xf borderId="1" fillId="11" fontId="18" numFmtId="0" xfId="0" applyAlignment="1" applyBorder="1" applyFont="1">
      <alignment horizontal="center" readingOrder="0"/>
    </xf>
    <xf borderId="4" fillId="11" fontId="18" numFmtId="0" xfId="0" applyAlignment="1" applyBorder="1" applyFont="1">
      <alignment horizontal="center" readingOrder="0"/>
    </xf>
    <xf borderId="4" fillId="11" fontId="18" numFmtId="0" xfId="0" applyAlignment="1" applyBorder="1" applyFont="1">
      <alignment horizontal="center" vertical="bottom"/>
    </xf>
    <xf borderId="1" fillId="0" fontId="16" numFmtId="0" xfId="0" applyAlignment="1" applyBorder="1" applyFont="1">
      <alignment horizontal="center" readingOrder="0"/>
    </xf>
    <xf borderId="1" fillId="8" fontId="19" numFmtId="0" xfId="0" applyAlignment="1" applyBorder="1" applyFont="1">
      <alignment horizontal="center" readingOrder="0" vertical="bottom"/>
    </xf>
    <xf borderId="1" fillId="0" fontId="20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left" readingOrder="0"/>
    </xf>
    <xf borderId="0" fillId="0" fontId="19" numFmtId="0" xfId="0" applyAlignment="1" applyFont="1">
      <alignment horizontal="center" readingOrder="0" shrinkToFit="0" vertical="bottom" wrapText="1"/>
    </xf>
    <xf borderId="1" fillId="0" fontId="20" numFmtId="0" xfId="0" applyAlignment="1" applyBorder="1" applyFont="1">
      <alignment vertical="bottom"/>
    </xf>
    <xf borderId="1" fillId="8" fontId="2" numFmtId="0" xfId="0" applyAlignment="1" applyBorder="1" applyFont="1">
      <alignment readingOrder="0"/>
    </xf>
    <xf borderId="8" fillId="8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1" fillId="6" fontId="2" numFmtId="0" xfId="0" applyAlignment="1" applyBorder="1" applyFont="1">
      <alignment readingOrder="0"/>
    </xf>
    <xf borderId="1" fillId="0" fontId="20" numFmtId="164" xfId="0" applyAlignment="1" applyBorder="1" applyFont="1" applyNumberFormat="1">
      <alignment horizontal="right" vertical="bottom"/>
    </xf>
    <xf borderId="1" fillId="8" fontId="20" numFmtId="0" xfId="0" applyAlignment="1" applyBorder="1" applyFont="1">
      <alignment horizontal="center" shrinkToFit="0" vertical="bottom" wrapText="1"/>
    </xf>
    <xf borderId="1" fillId="5" fontId="20" numFmtId="0" xfId="0" applyAlignment="1" applyBorder="1" applyFont="1">
      <alignment horizontal="left" shrinkToFit="0" vertical="bottom" wrapText="1"/>
    </xf>
    <xf borderId="1" fillId="8" fontId="19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horizontal="left" readingOrder="0"/>
    </xf>
    <xf borderId="0" fillId="8" fontId="19" numFmtId="0" xfId="0" applyAlignment="1" applyFont="1">
      <alignment horizontal="center" readingOrder="0" shrinkToFit="0" vertical="bottom" wrapText="1"/>
    </xf>
    <xf borderId="1" fillId="5" fontId="19" numFmtId="0" xfId="0" applyAlignment="1" applyBorder="1" applyFont="1">
      <alignment horizontal="left" readingOrder="0" shrinkToFit="0" vertical="bottom" wrapText="1"/>
    </xf>
    <xf borderId="1" fillId="8" fontId="2" numFmtId="0" xfId="0" applyAlignment="1" applyBorder="1" applyFont="1">
      <alignment horizontal="center" readingOrder="0"/>
    </xf>
    <xf borderId="1" fillId="0" fontId="19" numFmtId="0" xfId="0" applyAlignment="1" applyBorder="1" applyFont="1">
      <alignment horizontal="center" readingOrder="0" shrinkToFit="0" vertical="bottom" wrapText="1"/>
    </xf>
    <xf borderId="1" fillId="0" fontId="16" numFmtId="165" xfId="0" applyAlignment="1" applyBorder="1" applyFont="1" applyNumberFormat="1">
      <alignment horizontal="center" readingOrder="0"/>
    </xf>
    <xf borderId="1" fillId="5" fontId="19" numFmtId="0" xfId="0" applyAlignment="1" applyBorder="1" applyFont="1">
      <alignment horizontal="center" readingOrder="0" shrinkToFit="0" vertical="bottom" wrapText="1"/>
    </xf>
    <xf borderId="1" fillId="5" fontId="19" numFmtId="0" xfId="0" applyAlignment="1" applyBorder="1" applyFont="1">
      <alignment horizontal="center" readingOrder="0" vertical="bottom"/>
    </xf>
    <xf borderId="1" fillId="0" fontId="19" numFmtId="0" xfId="0" applyAlignment="1" applyBorder="1" applyFont="1">
      <alignment horizontal="center" shrinkToFit="0" vertical="bottom" wrapText="1"/>
    </xf>
    <xf borderId="1" fillId="5" fontId="21" numFmtId="0" xfId="0" applyAlignment="1" applyBorder="1" applyFont="1">
      <alignment horizontal="center" readingOrder="0" shrinkToFit="0" vertical="bottom" wrapText="1"/>
    </xf>
    <xf borderId="1" fillId="0" fontId="19" numFmtId="0" xfId="0" applyAlignment="1" applyBorder="1" applyFont="1">
      <alignment readingOrder="0" vertical="bottom"/>
    </xf>
    <xf borderId="9" fillId="8" fontId="19" numFmtId="0" xfId="0" applyAlignment="1" applyBorder="1" applyFont="1">
      <alignment horizontal="center" readingOrder="0" shrinkToFit="0" vertical="bottom" wrapText="1"/>
    </xf>
    <xf borderId="1" fillId="0" fontId="2" numFmtId="0" xfId="0" applyBorder="1" applyFont="1"/>
    <xf borderId="1" fillId="0" fontId="20" numFmtId="0" xfId="0" applyAlignment="1" applyBorder="1" applyFont="1">
      <alignment vertical="bottom"/>
    </xf>
    <xf borderId="1" fillId="0" fontId="22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left" readingOrder="0" shrinkToFit="0" vertical="bottom" wrapText="1"/>
    </xf>
    <xf borderId="1" fillId="8" fontId="22" numFmtId="0" xfId="0" applyAlignment="1" applyBorder="1" applyFont="1">
      <alignment horizontal="center" vertical="bottom"/>
    </xf>
    <xf borderId="1" fillId="8" fontId="19" numFmtId="0" xfId="0" applyAlignment="1" applyBorder="1" applyFont="1">
      <alignment horizontal="center" vertical="bottom"/>
    </xf>
    <xf borderId="1" fillId="8" fontId="20" numFmtId="0" xfId="0" applyAlignment="1" applyBorder="1" applyFont="1">
      <alignment horizontal="center" vertical="bottom"/>
    </xf>
    <xf borderId="0" fillId="0" fontId="20" numFmtId="0" xfId="0" applyAlignment="1" applyFont="1">
      <alignment horizontal="left" vertical="bottom"/>
    </xf>
    <xf borderId="1" fillId="0" fontId="20" numFmtId="0" xfId="0" applyAlignment="1" applyBorder="1" applyFont="1">
      <alignment horizontal="left" vertical="bottom"/>
    </xf>
    <xf borderId="1" fillId="6" fontId="19" numFmtId="0" xfId="0" applyAlignment="1" applyBorder="1" applyFont="1">
      <alignment horizontal="center" readingOrder="0" shrinkToFit="0" vertical="bottom" wrapText="1"/>
    </xf>
    <xf borderId="1" fillId="8" fontId="23" numFmtId="0" xfId="0" applyAlignment="1" applyBorder="1" applyFont="1">
      <alignment horizontal="center" vertical="bottom"/>
    </xf>
    <xf borderId="0" fillId="0" fontId="20" numFmtId="0" xfId="0" applyAlignment="1" applyFont="1">
      <alignment readingOrder="0" vertical="bottom"/>
    </xf>
    <xf borderId="1" fillId="5" fontId="24" numFmtId="0" xfId="0" applyAlignment="1" applyBorder="1" applyFont="1">
      <alignment horizontal="left" readingOrder="0" shrinkToFit="0" vertical="bottom" wrapText="1"/>
    </xf>
    <xf borderId="0" fillId="8" fontId="2" numFmtId="0" xfId="0" applyAlignment="1" applyFont="1">
      <alignment readingOrder="0"/>
    </xf>
    <xf borderId="0" fillId="0" fontId="20" numFmtId="0" xfId="0" applyAlignment="1" applyFont="1">
      <alignment vertical="bottom"/>
    </xf>
    <xf borderId="1" fillId="5" fontId="10" numFmtId="0" xfId="0" applyAlignment="1" applyBorder="1" applyFont="1">
      <alignment horizontal="center" readingOrder="0" shrinkToFit="0" vertical="bottom" wrapText="1"/>
    </xf>
    <xf borderId="8" fillId="5" fontId="10" numFmtId="0" xfId="0" applyAlignment="1" applyBorder="1" applyFont="1">
      <alignment horizontal="center" shrinkToFit="0" vertical="bottom" wrapText="1"/>
    </xf>
    <xf borderId="8" fillId="0" fontId="19" numFmtId="0" xfId="0" applyAlignment="1" applyBorder="1" applyFont="1">
      <alignment horizontal="center" readingOrder="0" shrinkToFit="0" vertical="bottom" wrapText="1"/>
    </xf>
    <xf borderId="1" fillId="9" fontId="2" numFmtId="0" xfId="0" applyAlignment="1" applyBorder="1" applyFont="1">
      <alignment readingOrder="0"/>
    </xf>
    <xf borderId="0" fillId="9" fontId="2" numFmtId="0" xfId="0" applyAlignment="1" applyFont="1">
      <alignment readingOrder="0"/>
    </xf>
    <xf borderId="1" fillId="0" fontId="20" numFmtId="0" xfId="0" applyBorder="1" applyFont="1"/>
    <xf borderId="1" fillId="5" fontId="20" numFmtId="0" xfId="0" applyAlignment="1" applyBorder="1" applyFont="1">
      <alignment horizontal="center" readingOrder="0"/>
    </xf>
    <xf borderId="1" fillId="5" fontId="20" numFmtId="0" xfId="0" applyAlignment="1" applyBorder="1" applyFont="1">
      <alignment horizontal="center" readingOrder="0" shrinkToFit="0" vertical="bottom" wrapText="1"/>
    </xf>
    <xf borderId="1" fillId="5" fontId="19" numFmtId="0" xfId="0" applyAlignment="1" applyBorder="1" applyFont="1">
      <alignment horizontal="center" shrinkToFit="0" vertical="bottom" wrapText="1"/>
    </xf>
    <xf borderId="0" fillId="0" fontId="10" numFmtId="0" xfId="0" applyAlignment="1" applyFont="1">
      <alignment horizontal="center"/>
    </xf>
    <xf borderId="7" fillId="10" fontId="1" numFmtId="0" xfId="0" applyAlignment="1" applyBorder="1" applyFont="1">
      <alignment horizontal="center" readingOrder="0" shrinkToFit="0" vertical="center" wrapText="1"/>
    </xf>
    <xf borderId="8" fillId="8" fontId="11" numFmtId="0" xfId="0" applyAlignment="1" applyBorder="1" applyFont="1">
      <alignment horizontal="center" readingOrder="0" shrinkToFit="0" vertical="center" wrapText="1"/>
    </xf>
    <xf borderId="9" fillId="8" fontId="11" numFmtId="0" xfId="0" applyAlignment="1" applyBorder="1" applyFont="1">
      <alignment horizontal="center" shrinkToFit="0" vertical="center" wrapText="1"/>
    </xf>
    <xf borderId="1" fillId="8" fontId="11" numFmtId="0" xfId="0" applyAlignment="1" applyBorder="1" applyFont="1">
      <alignment horizontal="center" shrinkToFit="0" vertical="center" wrapText="1"/>
    </xf>
    <xf borderId="1" fillId="8" fontId="1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0" fillId="2" fontId="11" numFmtId="0" xfId="0" applyAlignment="1" applyFont="1">
      <alignment horizontal="center" readingOrder="0" vertical="center"/>
    </xf>
    <xf borderId="1" fillId="2" fontId="11" numFmtId="0" xfId="0" applyAlignment="1" applyBorder="1" applyFont="1">
      <alignment horizontal="center" readingOrder="0" vertical="center"/>
    </xf>
    <xf borderId="1" fillId="12" fontId="11" numFmtId="0" xfId="0" applyAlignment="1" applyBorder="1" applyFill="1" applyFont="1">
      <alignment horizontal="center" readingOrder="0" vertical="center"/>
    </xf>
    <xf borderId="1" fillId="13" fontId="11" numFmtId="0" xfId="0" applyAlignment="1" applyBorder="1" applyFill="1" applyFont="1">
      <alignment horizontal="center" readingOrder="0" vertical="center"/>
    </xf>
    <xf borderId="3" fillId="13" fontId="25" numFmtId="0" xfId="0" applyAlignment="1" applyBorder="1" applyFont="1">
      <alignment horizontal="center" readingOrder="0" vertical="center"/>
    </xf>
    <xf borderId="1" fillId="10" fontId="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1" fillId="2" fontId="11" numFmtId="0" xfId="0" applyAlignment="1" applyBorder="1" applyFont="1">
      <alignment readingOrder="0" shrinkToFit="0" vertical="bottom" wrapText="1"/>
    </xf>
    <xf borderId="1" fillId="0" fontId="26" numFmtId="164" xfId="0" applyAlignment="1" applyBorder="1" applyFont="1" applyNumberFormat="1">
      <alignment readingOrder="0" shrinkToFit="0" vertical="bottom" wrapText="1"/>
    </xf>
    <xf borderId="1" fillId="9" fontId="1" numFmtId="0" xfId="0" applyAlignment="1" applyBorder="1" applyFont="1">
      <alignment shrinkToFit="0" vertical="bottom" wrapText="1"/>
    </xf>
    <xf borderId="1" fillId="2" fontId="27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2" fontId="28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1" fillId="2" fontId="29" numFmtId="0" xfId="0" applyAlignment="1" applyBorder="1" applyFont="1">
      <alignment readingOrder="0" shrinkToFit="0" vertical="bottom" wrapText="1"/>
    </xf>
    <xf borderId="1" fillId="0" fontId="30" numFmtId="0" xfId="0" applyAlignment="1" applyBorder="1" applyFont="1">
      <alignment readingOrder="0" vertical="bottom"/>
    </xf>
    <xf borderId="1" fillId="0" fontId="9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14" fontId="11" numFmtId="0" xfId="0" applyAlignment="1" applyBorder="1" applyFill="1" applyFont="1">
      <alignment readingOrder="0" shrinkToFit="0" vertical="bottom" wrapText="1"/>
    </xf>
    <xf borderId="1" fillId="2" fontId="1" numFmtId="0" xfId="0" applyAlignment="1" applyBorder="1" applyFont="1">
      <alignment shrinkToFit="0" vertical="bottom" wrapText="1"/>
    </xf>
    <xf borderId="4" fillId="11" fontId="1" numFmtId="0" xfId="0" applyAlignment="1" applyBorder="1" applyFont="1">
      <alignment horizontal="center" readingOrder="0" vertical="bottom"/>
    </xf>
    <xf borderId="1" fillId="11" fontId="1" numFmtId="0" xfId="0" applyAlignment="1" applyBorder="1" applyFont="1">
      <alignment horizontal="center" readingOrder="0"/>
    </xf>
    <xf borderId="4" fillId="11" fontId="1" numFmtId="0" xfId="0" applyAlignment="1" applyBorder="1" applyFont="1">
      <alignment horizontal="center" readingOrder="0"/>
    </xf>
    <xf borderId="4" fillId="11" fontId="1" numFmtId="0" xfId="0" applyAlignment="1" applyBorder="1" applyFont="1">
      <alignment horizontal="center" vertical="bottom"/>
    </xf>
    <xf borderId="0" fillId="2" fontId="31" numFmtId="0" xfId="0" applyAlignment="1" applyFont="1">
      <alignment readingOrder="0" shrinkToFit="0" wrapText="1"/>
    </xf>
    <xf borderId="1" fillId="12" fontId="2" numFmtId="164" xfId="0" applyAlignment="1" applyBorder="1" applyFont="1" applyNumberFormat="1">
      <alignment readingOrder="0"/>
    </xf>
    <xf borderId="1" fillId="8" fontId="19" numFmtId="0" xfId="0" applyAlignment="1" applyBorder="1" applyFont="1">
      <alignment horizontal="center" shrinkToFit="0" vertical="bottom" wrapText="1"/>
    </xf>
    <xf borderId="1" fillId="8" fontId="19" numFmtId="0" xfId="0" applyAlignment="1" applyBorder="1" applyFont="1">
      <alignment horizontal="center" shrinkToFit="0" vertical="bottom" wrapText="1"/>
    </xf>
    <xf borderId="1" fillId="2" fontId="20" numFmtId="0" xfId="0" applyAlignment="1" applyBorder="1" applyFont="1">
      <alignment horizontal="center" vertical="bottom"/>
    </xf>
    <xf borderId="1" fillId="2" fontId="1" numFmtId="0" xfId="0" applyAlignment="1" applyBorder="1" applyFont="1">
      <alignment readingOrder="0" shrinkToFit="0" vertical="bottom" wrapText="1"/>
    </xf>
    <xf borderId="1" fillId="0" fontId="32" numFmtId="0" xfId="0" applyAlignment="1" applyBorder="1" applyFont="1">
      <alignment readingOrder="0" shrinkToFit="0" vertical="bottom" wrapText="1"/>
    </xf>
    <xf borderId="0" fillId="2" fontId="33" numFmtId="0" xfId="0" applyAlignment="1" applyFont="1">
      <alignment horizontal="center" readingOrder="0" shrinkToFit="0" vertical="center" wrapText="1"/>
    </xf>
    <xf borderId="1" fillId="8" fontId="19" numFmtId="0" xfId="0" applyAlignment="1" applyBorder="1" applyFont="1">
      <alignment horizontal="center" vertical="bottom"/>
    </xf>
    <xf borderId="0" fillId="0" fontId="19" numFmtId="0" xfId="0" applyAlignment="1" applyFont="1">
      <alignment horizontal="center" shrinkToFit="0" vertical="bottom" wrapText="1"/>
    </xf>
    <xf borderId="1" fillId="2" fontId="34" numFmtId="0" xfId="0" applyAlignment="1" applyBorder="1" applyFont="1">
      <alignment readingOrder="0" vertical="bottom"/>
    </xf>
    <xf borderId="1" fillId="9" fontId="11" numFmtId="0" xfId="0" applyAlignment="1" applyBorder="1" applyFont="1">
      <alignment readingOrder="0" shrinkToFit="0" vertical="bottom" wrapText="1"/>
    </xf>
    <xf borderId="1" fillId="4" fontId="2" numFmtId="164" xfId="0" applyAlignment="1" applyBorder="1" applyFont="1" applyNumberFormat="1">
      <alignment readingOrder="0"/>
    </xf>
    <xf borderId="1" fillId="9" fontId="1" numFmtId="0" xfId="0" applyAlignment="1" applyBorder="1" applyFont="1">
      <alignment horizontal="center" shrinkToFit="0" vertical="center" wrapText="1"/>
    </xf>
    <xf borderId="1" fillId="9" fontId="35" numFmtId="0" xfId="0" applyAlignment="1" applyBorder="1" applyFont="1">
      <alignment readingOrder="0" vertical="bottom"/>
    </xf>
    <xf borderId="1" fillId="15" fontId="1" numFmtId="0" xfId="0" applyAlignment="1" applyBorder="1" applyFill="1" applyFont="1">
      <alignment horizontal="center" readingOrder="0" shrinkToFit="0" vertical="center" wrapText="1"/>
    </xf>
    <xf borderId="1" fillId="15" fontId="1" numFmtId="0" xfId="0" applyAlignment="1" applyBorder="1" applyFont="1">
      <alignment readingOrder="0" shrinkToFit="0" vertical="center" wrapText="1"/>
    </xf>
    <xf borderId="1" fillId="15" fontId="9" numFmtId="0" xfId="0" applyAlignment="1" applyBorder="1" applyFont="1">
      <alignment readingOrder="0" shrinkToFit="0" vertical="center" wrapText="1"/>
    </xf>
    <xf borderId="1" fillId="15" fontId="1" numFmtId="0" xfId="0" applyAlignment="1" applyBorder="1" applyFont="1">
      <alignment shrinkToFit="0" vertical="center" wrapText="1"/>
    </xf>
    <xf borderId="1" fillId="2" fontId="20" numFmtId="0" xfId="0" applyAlignment="1" applyBorder="1" applyFont="1">
      <alignment horizontal="center" readingOrder="0" vertical="bottom"/>
    </xf>
    <xf borderId="1" fillId="15" fontId="36" numFmtId="0" xfId="0" applyAlignment="1" applyBorder="1" applyFont="1">
      <alignment readingOrder="0" shrinkToFit="0" vertical="center" wrapText="1"/>
    </xf>
    <xf borderId="0" fillId="5" fontId="19" numFmtId="0" xfId="0" applyAlignment="1" applyFont="1">
      <alignment horizontal="center" shrinkToFit="0" vertical="bottom" wrapText="1"/>
    </xf>
    <xf borderId="0" fillId="10" fontId="2" numFmtId="0" xfId="0" applyAlignment="1" applyFont="1">
      <alignment horizontal="center"/>
    </xf>
    <xf borderId="0" fillId="0" fontId="37" numFmtId="0" xfId="0" applyAlignment="1" applyFont="1">
      <alignment horizontal="center" readingOrder="0"/>
    </xf>
    <xf borderId="1" fillId="15" fontId="38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vertical="bottom"/>
    </xf>
    <xf borderId="1" fillId="15" fontId="1" numFmtId="0" xfId="0" applyAlignment="1" applyBorder="1" applyFont="1">
      <alignment horizontal="center" shrinkToFit="0" vertical="center" wrapText="1"/>
    </xf>
    <xf borderId="1" fillId="10" fontId="2" numFmtId="0" xfId="0" applyAlignment="1" applyBorder="1" applyFont="1">
      <alignment horizontal="center" readingOrder="0"/>
    </xf>
    <xf borderId="0" fillId="0" fontId="39" numFmtId="0" xfId="0" applyFont="1"/>
    <xf borderId="1" fillId="15" fontId="40" numFmtId="0" xfId="0" applyAlignment="1" applyBorder="1" applyFont="1">
      <alignment readingOrder="0" shrinkToFit="0" vertical="center" wrapText="1"/>
    </xf>
    <xf borderId="0" fillId="8" fontId="41" numFmtId="0" xfId="0" applyAlignment="1" applyFont="1">
      <alignment horizontal="center"/>
    </xf>
    <xf borderId="0" fillId="15" fontId="1" numFmtId="0" xfId="0" applyAlignment="1" applyFont="1">
      <alignment vertical="center"/>
    </xf>
    <xf borderId="1" fillId="15" fontId="1" numFmtId="0" xfId="0" applyAlignment="1" applyBorder="1" applyFont="1">
      <alignment vertical="center"/>
    </xf>
    <xf borderId="1" fillId="15" fontId="42" numFmtId="0" xfId="0" applyAlignment="1" applyBorder="1" applyFont="1">
      <alignment vertical="center"/>
    </xf>
    <xf borderId="1" fillId="15" fontId="9" numFmtId="0" xfId="0" applyAlignment="1" applyBorder="1" applyFont="1">
      <alignment readingOrder="0" vertical="center"/>
    </xf>
    <xf borderId="0" fillId="8" fontId="43" numFmtId="0" xfId="0" applyAlignment="1" applyFont="1">
      <alignment horizontal="center" readingOrder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8" fontId="43" numFmtId="0" xfId="0" applyAlignment="1" applyFont="1">
      <alignment horizontal="center"/>
    </xf>
    <xf borderId="1" fillId="0" fontId="11" numFmtId="0" xfId="0" applyAlignment="1" applyBorder="1" applyFont="1">
      <alignment horizontal="center" readingOrder="0" shrinkToFit="0" wrapText="1"/>
    </xf>
    <xf borderId="1" fillId="2" fontId="11" numFmtId="0" xfId="0" applyAlignment="1" applyBorder="1" applyFont="1">
      <alignment horizontal="center" readingOrder="0" shrinkToFit="0" wrapText="1"/>
    </xf>
    <xf borderId="0" fillId="10" fontId="41" numFmtId="0" xfId="0" applyAlignment="1" applyFont="1">
      <alignment horizontal="center"/>
    </xf>
    <xf borderId="1" fillId="16" fontId="2" numFmtId="164" xfId="0" applyAlignment="1" applyBorder="1" applyFill="1" applyFont="1" applyNumberFormat="1">
      <alignment readingOrder="0"/>
    </xf>
    <xf borderId="1" fillId="0" fontId="26" numFmtId="0" xfId="0" applyAlignment="1" applyBorder="1" applyFont="1">
      <alignment horizontal="center" readingOrder="0" shrinkToFit="0" wrapText="1"/>
    </xf>
    <xf borderId="0" fillId="0" fontId="41" numFmtId="0" xfId="0" applyAlignment="1" applyFont="1">
      <alignment horizontal="center"/>
    </xf>
    <xf borderId="1" fillId="9" fontId="11" numFmtId="0" xfId="0" applyAlignment="1" applyBorder="1" applyFont="1">
      <alignment horizontal="center" shrinkToFit="0" vertical="bottom" wrapText="1"/>
    </xf>
    <xf borderId="0" fillId="8" fontId="41" numFmtId="0" xfId="0" applyAlignment="1" applyFont="1">
      <alignment horizontal="center" readingOrder="0"/>
    </xf>
    <xf borderId="1" fillId="2" fontId="44" numFmtId="0" xfId="0" applyAlignment="1" applyBorder="1" applyFont="1">
      <alignment horizontal="center" readingOrder="0" shrinkToFit="0" vertical="bottom" wrapText="1"/>
    </xf>
    <xf borderId="1" fillId="0" fontId="11" numFmtId="0" xfId="0" applyAlignment="1" applyBorder="1" applyFont="1">
      <alignment horizontal="center" readingOrder="0" shrinkToFit="0" vertical="bottom" wrapText="1"/>
    </xf>
    <xf borderId="0" fillId="8" fontId="45" numFmtId="0" xfId="0" applyAlignment="1" applyFont="1">
      <alignment horizontal="center" vertical="bottom"/>
    </xf>
    <xf borderId="0" fillId="8" fontId="20" numFmtId="0" xfId="0" applyAlignment="1" applyFont="1">
      <alignment horizontal="center" vertical="bottom"/>
    </xf>
    <xf borderId="0" fillId="10" fontId="20" numFmtId="0" xfId="0" applyAlignment="1" applyFont="1">
      <alignment horizontal="center" vertical="bottom"/>
    </xf>
    <xf borderId="1" fillId="0" fontId="19" numFmtId="0" xfId="0" applyAlignment="1" applyBorder="1" applyFont="1">
      <alignment vertical="bottom"/>
    </xf>
    <xf borderId="1" fillId="0" fontId="2" numFmtId="167" xfId="0" applyAlignment="1" applyBorder="1" applyFont="1" applyNumberFormat="1">
      <alignment horizontal="center" readingOrder="0"/>
    </xf>
    <xf borderId="1" fillId="2" fontId="46" numFmtId="0" xfId="0" applyAlignment="1" applyBorder="1" applyFont="1">
      <alignment horizontal="center" readingOrder="0" shrinkToFit="0" vertical="center" wrapText="1"/>
    </xf>
    <xf borderId="1" fillId="9" fontId="11" numFmtId="0" xfId="0" applyAlignment="1" applyBorder="1" applyFont="1">
      <alignment horizontal="center" readingOrder="0" shrinkToFit="0" vertical="bottom" wrapText="1"/>
    </xf>
    <xf borderId="1" fillId="0" fontId="11" numFmtId="0" xfId="0" applyAlignment="1" applyBorder="1" applyFont="1">
      <alignment horizontal="center" readingOrder="0" shrinkToFit="0" vertical="bottom" wrapText="1"/>
    </xf>
    <xf borderId="1" fillId="10" fontId="2" numFmtId="0" xfId="0" applyAlignment="1" applyBorder="1" applyFont="1">
      <alignment horizontal="center"/>
    </xf>
    <xf borderId="1" fillId="9" fontId="1" numFmtId="0" xfId="0" applyAlignment="1" applyBorder="1" applyFont="1">
      <alignment vertical="bottom"/>
    </xf>
    <xf borderId="0" fillId="0" fontId="2" numFmtId="168" xfId="0" applyAlignment="1" applyFont="1" applyNumberFormat="1">
      <alignment readingOrder="0"/>
    </xf>
    <xf borderId="1" fillId="0" fontId="7" numFmtId="0" xfId="0" applyAlignment="1" applyBorder="1" applyFont="1">
      <alignment readingOrder="0"/>
    </xf>
    <xf borderId="1" fillId="10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readingOrder="0" vertical="bottom"/>
    </xf>
    <xf borderId="1" fillId="0" fontId="9" numFmtId="0" xfId="0" applyAlignment="1" applyBorder="1" applyFont="1">
      <alignment vertical="bottom"/>
    </xf>
    <xf borderId="0" fillId="0" fontId="37" numFmtId="0" xfId="0" applyAlignment="1" applyFont="1">
      <alignment readingOrder="0"/>
    </xf>
    <xf borderId="7" fillId="0" fontId="11" numFmtId="0" xfId="0" applyAlignment="1" applyBorder="1" applyFont="1">
      <alignment horizontal="center" readingOrder="0" shrinkToFit="0" wrapText="1"/>
    </xf>
    <xf borderId="0" fillId="0" fontId="41" numFmtId="0" xfId="0" applyAlignment="1" applyFont="1">
      <alignment readingOrder="0"/>
    </xf>
    <xf borderId="1" fillId="0" fontId="11" numFmtId="0" xfId="0" applyAlignment="1" applyBorder="1" applyFont="1">
      <alignment horizontal="center" shrinkToFit="0" vertical="bottom" wrapText="1"/>
    </xf>
    <xf borderId="0" fillId="0" fontId="47" numFmtId="0" xfId="0" applyAlignment="1" applyFont="1">
      <alignment readingOrder="0"/>
    </xf>
    <xf borderId="1" fillId="4" fontId="48" numFmtId="0" xfId="0" applyAlignment="1" applyBorder="1" applyFont="1">
      <alignment horizontal="center" readingOrder="0" shrinkToFit="0" vertical="bottom" wrapText="1"/>
    </xf>
    <xf borderId="1" fillId="2" fontId="49" numFmtId="0" xfId="0" applyAlignment="1" applyBorder="1" applyFont="1">
      <alignment horizontal="center" readingOrder="0" shrinkToFit="0" vertical="center" wrapText="1"/>
    </xf>
    <xf borderId="0" fillId="0" fontId="50" numFmtId="0" xfId="0" applyAlignment="1" applyFont="1">
      <alignment readingOrder="0"/>
    </xf>
    <xf borderId="0" fillId="0" fontId="51" numFmtId="0" xfId="0" applyAlignment="1" applyFont="1">
      <alignment readingOrder="0"/>
    </xf>
    <xf borderId="1" fillId="2" fontId="52" numFmtId="0" xfId="0" applyAlignment="1" applyBorder="1" applyFont="1">
      <alignment horizontal="center" readingOrder="0" shrinkToFit="0" vertical="bottom" wrapText="1"/>
    </xf>
    <xf borderId="0" fillId="0" fontId="17" numFmtId="0" xfId="0" applyAlignment="1" applyFont="1">
      <alignment readingOrder="0"/>
    </xf>
    <xf borderId="0" fillId="8" fontId="2" numFmtId="0" xfId="0" applyAlignment="1" applyFont="1">
      <alignment horizontal="center"/>
    </xf>
    <xf borderId="1" fillId="9" fontId="1" numFmtId="0" xfId="0" applyAlignment="1" applyBorder="1" applyFont="1">
      <alignment readingOrder="0" vertical="bottom"/>
    </xf>
    <xf borderId="1" fillId="2" fontId="2" numFmtId="164" xfId="0" applyAlignment="1" applyBorder="1" applyFont="1" applyNumberFormat="1">
      <alignment readingOrder="0"/>
    </xf>
    <xf borderId="0" fillId="8" fontId="16" numFmtId="0" xfId="0" applyAlignment="1" applyFont="1">
      <alignment horizontal="center"/>
    </xf>
    <xf borderId="1" fillId="0" fontId="53" numFmtId="0" xfId="0" applyAlignment="1" applyBorder="1" applyFont="1">
      <alignment readingOrder="0" vertical="bottom"/>
    </xf>
    <xf borderId="0" fillId="0" fontId="39" numFmtId="0" xfId="0" applyAlignment="1" applyFont="1">
      <alignment readingOrder="0"/>
    </xf>
    <xf borderId="7" fillId="8" fontId="11" numFmtId="0" xfId="0" applyAlignment="1" applyBorder="1" applyFont="1">
      <alignment horizontal="center" readingOrder="0" shrinkToFit="0" wrapText="1"/>
    </xf>
    <xf borderId="1" fillId="9" fontId="11" numFmtId="0" xfId="0" applyAlignment="1" applyBorder="1" applyFont="1">
      <alignment horizontal="center" readingOrder="0" shrinkToFit="0" vertical="bottom" wrapText="1"/>
    </xf>
    <xf borderId="1" fillId="5" fontId="19" numFmtId="0" xfId="0" applyAlignment="1" applyBorder="1" applyFont="1">
      <alignment horizontal="center" vertical="bottom"/>
    </xf>
    <xf borderId="1" fillId="0" fontId="1" numFmtId="0" xfId="0" applyAlignment="1" applyBorder="1" applyFont="1">
      <alignment readingOrder="0" vertical="bottom"/>
    </xf>
    <xf borderId="1" fillId="2" fontId="19" numFmtId="0" xfId="0" applyAlignment="1" applyBorder="1" applyFont="1">
      <alignment horizontal="center" readingOrder="0" shrinkToFit="0" vertical="bottom" wrapText="1"/>
    </xf>
    <xf borderId="0" fillId="8" fontId="19" numFmtId="0" xfId="0" applyAlignment="1" applyFont="1">
      <alignment horizontal="center" shrinkToFit="0" vertical="bottom" wrapText="1"/>
    </xf>
    <xf borderId="0" fillId="0" fontId="54" numFmtId="0" xfId="0" applyAlignment="1" applyFont="1">
      <alignment horizontal="center" readingOrder="0"/>
    </xf>
    <xf borderId="1" fillId="17" fontId="1" numFmtId="0" xfId="0" applyAlignment="1" applyBorder="1" applyFill="1" applyFont="1">
      <alignment horizontal="center" readingOrder="0" shrinkToFit="0" vertical="bottom" wrapText="1"/>
    </xf>
    <xf borderId="7" fillId="17" fontId="11" numFmtId="0" xfId="0" applyAlignment="1" applyBorder="1" applyFont="1">
      <alignment horizontal="center" readingOrder="0" shrinkToFit="0" wrapText="1"/>
    </xf>
    <xf borderId="1" fillId="17" fontId="11" numFmtId="0" xfId="0" applyAlignment="1" applyBorder="1" applyFont="1">
      <alignment horizontal="center" readingOrder="0" shrinkToFit="0" wrapText="1"/>
    </xf>
    <xf borderId="1" fillId="6" fontId="19" numFmtId="0" xfId="0" applyAlignment="1" applyBorder="1" applyFont="1">
      <alignment horizontal="center" vertical="bottom"/>
    </xf>
    <xf borderId="1" fillId="17" fontId="11" numFmtId="0" xfId="0" applyAlignment="1" applyBorder="1" applyFont="1">
      <alignment horizontal="center" readingOrder="0" shrinkToFit="0" vertical="bottom" wrapText="1"/>
    </xf>
    <xf borderId="1" fillId="17" fontId="55" numFmtId="0" xfId="0" applyAlignment="1" applyBorder="1" applyFont="1">
      <alignment horizontal="center" readingOrder="0" shrinkToFit="0" vertical="bottom" wrapText="1"/>
    </xf>
    <xf borderId="1" fillId="17" fontId="11" numFmtId="0" xfId="0" applyAlignment="1" applyBorder="1" applyFont="1">
      <alignment horizontal="center" shrinkToFit="0" vertical="bottom" wrapText="1"/>
    </xf>
    <xf borderId="1" fillId="2" fontId="20" numFmtId="0" xfId="0" applyAlignment="1" applyBorder="1" applyFont="1">
      <alignment vertical="bottom"/>
    </xf>
    <xf borderId="1" fillId="17" fontId="11" numFmtId="0" xfId="0" applyAlignment="1" applyBorder="1" applyFont="1">
      <alignment horizontal="center" shrinkToFit="0" vertical="center" wrapText="1"/>
    </xf>
    <xf borderId="0" fillId="17" fontId="1" numFmtId="0" xfId="0" applyAlignment="1" applyFont="1">
      <alignment vertical="bottom"/>
    </xf>
    <xf borderId="1" fillId="17" fontId="1" numFmtId="0" xfId="0" applyAlignment="1" applyBorder="1" applyFont="1">
      <alignment readingOrder="0" vertical="bottom"/>
    </xf>
    <xf borderId="1" fillId="17" fontId="56" numFmtId="0" xfId="0" applyAlignment="1" applyBorder="1" applyFont="1">
      <alignment readingOrder="0" vertical="bottom"/>
    </xf>
    <xf borderId="1" fillId="17" fontId="1" numFmtId="0" xfId="0" applyAlignment="1" applyBorder="1" applyFont="1">
      <alignment vertical="bottom"/>
    </xf>
    <xf borderId="1" fillId="17" fontId="7" numFmtId="0" xfId="0" applyAlignment="1" applyBorder="1" applyFont="1">
      <alignment readingOrder="0"/>
    </xf>
    <xf borderId="1" fillId="0" fontId="19" numFmtId="0" xfId="0" applyAlignment="1" applyBorder="1" applyFont="1">
      <alignment horizontal="center" vertical="bottom"/>
    </xf>
    <xf borderId="1" fillId="17" fontId="1" numFmtId="0" xfId="0" applyAlignment="1" applyBorder="1" applyFont="1">
      <alignment readingOrder="0" vertical="bottom"/>
    </xf>
    <xf borderId="1" fillId="17" fontId="9" numFmtId="0" xfId="0" applyAlignment="1" applyBorder="1" applyFont="1">
      <alignment readingOrder="0" vertical="bottom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readingOrder="0" shrinkToFit="0" wrapText="1"/>
    </xf>
    <xf borderId="1" fillId="2" fontId="1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1" fillId="0" fontId="57" numFmtId="0" xfId="0" applyAlignment="1" applyBorder="1" applyFont="1">
      <alignment horizontal="center" readingOrder="0" shrinkToFit="0" vertical="bottom" wrapText="1"/>
    </xf>
    <xf borderId="8" fillId="5" fontId="20" numFmtId="0" xfId="0" applyAlignment="1" applyBorder="1" applyFont="1">
      <alignment horizontal="center" shrinkToFit="0" vertical="bottom" wrapText="1"/>
    </xf>
    <xf borderId="1" fillId="9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shrinkToFit="0" vertical="bottom" wrapText="1"/>
    </xf>
    <xf borderId="8" fillId="5" fontId="20" numFmtId="0" xfId="0" applyAlignment="1" applyBorder="1" applyFont="1">
      <alignment horizontal="center" readingOrder="0" shrinkToFit="0" vertical="bottom" wrapText="1"/>
    </xf>
    <xf borderId="8" fillId="5" fontId="20" numFmtId="0" xfId="0" applyAlignment="1" applyBorder="1" applyFont="1">
      <alignment horizontal="center" shrinkToFit="0" vertical="bottom" wrapText="1"/>
    </xf>
    <xf borderId="1" fillId="2" fontId="58" numFmtId="0" xfId="0" applyAlignment="1" applyBorder="1" applyFont="1">
      <alignment readingOrder="0" shrinkToFit="0" vertical="bottom" wrapText="1"/>
    </xf>
    <xf borderId="1" fillId="9" fontId="20" numFmtId="0" xfId="0" applyAlignment="1" applyBorder="1" applyFont="1">
      <alignment horizontal="center" readingOrder="0" shrinkToFit="0" vertical="bottom" wrapText="1"/>
    </xf>
    <xf borderId="1" fillId="2" fontId="2" numFmtId="0" xfId="0" applyAlignment="1" applyBorder="1" applyFont="1">
      <alignment horizontal="center" readingOrder="0"/>
    </xf>
    <xf borderId="1" fillId="9" fontId="19" numFmtId="0" xfId="0" applyAlignment="1" applyBorder="1" applyFont="1">
      <alignment horizontal="center" vertical="bottom"/>
    </xf>
    <xf borderId="1" fillId="9" fontId="19" numFmtId="0" xfId="0" applyAlignment="1" applyBorder="1" applyFont="1">
      <alignment horizontal="center" shrinkToFit="0" vertical="bottom" wrapText="1"/>
    </xf>
    <xf borderId="1" fillId="7" fontId="59" numFmtId="164" xfId="0" applyAlignment="1" applyBorder="1" applyFont="1" applyNumberFormat="1">
      <alignment readingOrder="0"/>
    </xf>
    <xf borderId="1" fillId="2" fontId="2" numFmtId="0" xfId="0" applyAlignment="1" applyBorder="1" applyFont="1">
      <alignment horizontal="center"/>
    </xf>
    <xf borderId="1" fillId="0" fontId="60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left" readingOrder="0" vertical="bottom"/>
    </xf>
    <xf borderId="1" fillId="9" fontId="1" numFmtId="165" xfId="0" applyAlignment="1" applyBorder="1" applyFont="1" applyNumberFormat="1">
      <alignment readingOrder="0" shrinkToFit="0" wrapText="1"/>
    </xf>
    <xf borderId="1" fillId="6" fontId="2" numFmtId="164" xfId="0" applyAlignment="1" applyBorder="1" applyFont="1" applyNumberFormat="1">
      <alignment readingOrder="0"/>
    </xf>
    <xf borderId="1" fillId="6" fontId="2" numFmtId="0" xfId="0" applyAlignment="1" applyBorder="1" applyFont="1">
      <alignment horizontal="center" readingOrder="0"/>
    </xf>
    <xf borderId="1" fillId="2" fontId="61" numFmtId="0" xfId="0" applyAlignment="1" applyBorder="1" applyFont="1">
      <alignment readingOrder="0"/>
    </xf>
    <xf borderId="1" fillId="0" fontId="11" numFmtId="0" xfId="0" applyAlignment="1" applyBorder="1" applyFont="1">
      <alignment horizontal="center" readingOrder="0" vertical="bottom"/>
    </xf>
    <xf borderId="1" fillId="9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2" fontId="62" numFmtId="0" xfId="0" applyAlignment="1" applyBorder="1" applyFont="1">
      <alignment horizontal="center" readingOrder="0" vertical="bottom"/>
    </xf>
    <xf borderId="1" fillId="0" fontId="63" numFmtId="0" xfId="0" applyAlignment="1" applyBorder="1" applyFont="1">
      <alignment horizontal="center" readingOrder="0" shrinkToFit="0" vertical="bottom" wrapText="1"/>
    </xf>
    <xf borderId="1" fillId="0" fontId="11" numFmtId="0" xfId="0" applyAlignment="1" applyBorder="1" applyFont="1">
      <alignment horizontal="center" shrinkToFit="0" vertical="center" wrapText="1"/>
    </xf>
    <xf borderId="1" fillId="10" fontId="1" numFmtId="0" xfId="0" applyAlignment="1" applyBorder="1" applyFont="1">
      <alignment vertical="bottom"/>
    </xf>
    <xf borderId="1" fillId="0" fontId="1" numFmtId="0" xfId="0" applyBorder="1" applyFont="1"/>
    <xf borderId="1" fillId="0" fontId="1" numFmtId="0" xfId="0" applyAlignment="1" applyBorder="1" applyFont="1">
      <alignment horizontal="center" readingOrder="0" vertical="bottom"/>
    </xf>
    <xf borderId="1" fillId="0" fontId="64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shrinkToFit="0" vertical="center" wrapText="1"/>
    </xf>
    <xf borderId="1" fillId="10" fontId="2" numFmtId="0" xfId="0" applyAlignment="1" applyBorder="1" applyFont="1">
      <alignment readingOrder="0"/>
    </xf>
    <xf borderId="0" fillId="0" fontId="1" numFmtId="0" xfId="0" applyAlignment="1" applyFont="1">
      <alignment readingOrder="0" vertical="bottom"/>
    </xf>
    <xf borderId="1" fillId="0" fontId="65" numFmtId="0" xfId="0" applyAlignment="1" applyBorder="1" applyFont="1">
      <alignment readingOrder="0"/>
    </xf>
    <xf borderId="1" fillId="0" fontId="45" numFmtId="0" xfId="0" applyAlignment="1" applyBorder="1" applyFont="1">
      <alignment horizontal="center" vertical="bottom"/>
    </xf>
    <xf borderId="1" fillId="0" fontId="45" numFmtId="0" xfId="0" applyAlignment="1" applyBorder="1" applyFont="1">
      <alignment vertical="bottom"/>
    </xf>
    <xf borderId="1" fillId="0" fontId="66" numFmtId="0" xfId="0" applyAlignment="1" applyBorder="1" applyFont="1">
      <alignment horizontal="center" vertical="bottom"/>
    </xf>
    <xf borderId="1" fillId="0" fontId="67" numFmtId="0" xfId="0" applyAlignment="1" applyBorder="1" applyFont="1">
      <alignment horizontal="center" vertical="bottom"/>
    </xf>
    <xf borderId="1" fillId="0" fontId="20" numFmtId="0" xfId="0" applyAlignment="1" applyBorder="1" applyFont="1">
      <alignment horizontal="center" readingOrder="0" vertical="bottom"/>
    </xf>
    <xf borderId="0" fillId="0" fontId="1" numFmtId="0" xfId="0" applyAlignment="1" applyFont="1">
      <alignment vertical="center"/>
    </xf>
    <xf borderId="1" fillId="0" fontId="68" numFmtId="0" xfId="0" applyAlignment="1" applyBorder="1" applyFont="1">
      <alignment horizontal="center" readingOrder="0"/>
    </xf>
    <xf borderId="4" fillId="11" fontId="69" numFmtId="0" xfId="0" applyAlignment="1" applyBorder="1" applyFont="1">
      <alignment horizontal="center" readingOrder="0" vertical="bottom"/>
    </xf>
    <xf borderId="1" fillId="11" fontId="69" numFmtId="0" xfId="0" applyAlignment="1" applyBorder="1" applyFont="1">
      <alignment horizontal="center" readingOrder="0"/>
    </xf>
    <xf borderId="4" fillId="11" fontId="69" numFmtId="0" xfId="0" applyAlignment="1" applyBorder="1" applyFont="1">
      <alignment horizontal="center" readingOrder="0"/>
    </xf>
    <xf borderId="4" fillId="11" fontId="68" numFmtId="0" xfId="0" applyAlignment="1" applyBorder="1" applyFont="1">
      <alignment horizontal="center" readingOrder="0" vertical="bottom"/>
    </xf>
    <xf borderId="4" fillId="11" fontId="68" numFmtId="0" xfId="0" applyAlignment="1" applyBorder="1" applyFont="1">
      <alignment horizontal="center" vertical="bottom"/>
    </xf>
    <xf borderId="0" fillId="0" fontId="68" numFmtId="0" xfId="0" applyFont="1"/>
    <xf borderId="1" fillId="8" fontId="20" numFmtId="0" xfId="0" applyAlignment="1" applyBorder="1" applyFont="1">
      <alignment horizontal="center" shrinkToFit="0" vertical="bottom" wrapText="1"/>
    </xf>
    <xf borderId="1" fillId="8" fontId="20" numFmtId="0" xfId="0" applyAlignment="1" applyBorder="1" applyFont="1">
      <alignment horizontal="center" readingOrder="0" vertical="bottom"/>
    </xf>
    <xf borderId="1" fillId="11" fontId="70" numFmtId="0" xfId="0" applyAlignment="1" applyBorder="1" applyFont="1">
      <alignment horizontal="center" readingOrder="0"/>
    </xf>
    <xf borderId="4" fillId="11" fontId="70" numFmtId="0" xfId="0" applyAlignment="1" applyBorder="1" applyFont="1">
      <alignment horizontal="center" readingOrder="0"/>
    </xf>
    <xf borderId="4" fillId="11" fontId="70" numFmtId="0" xfId="0" applyAlignment="1" applyBorder="1" applyFont="1">
      <alignment horizontal="center" readingOrder="0" vertical="bottom"/>
    </xf>
    <xf borderId="4" fillId="11" fontId="71" numFmtId="0" xfId="0" applyAlignment="1" applyBorder="1" applyFont="1">
      <alignment horizontal="center" vertical="bottom"/>
    </xf>
    <xf borderId="4" fillId="5" fontId="45" numFmtId="0" xfId="0" applyAlignment="1" applyBorder="1" applyFont="1">
      <alignment readingOrder="0" vertical="bottom"/>
    </xf>
    <xf borderId="7" fillId="16" fontId="70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center" vertical="bottom"/>
    </xf>
    <xf borderId="1" fillId="8" fontId="19" numFmtId="0" xfId="0" applyAlignment="1" applyBorder="1" applyFont="1">
      <alignment vertical="bottom"/>
    </xf>
    <xf borderId="1" fillId="0" fontId="19" numFmtId="0" xfId="0" applyAlignment="1" applyBorder="1" applyFont="1">
      <alignment vertical="bottom"/>
    </xf>
    <xf borderId="1" fillId="0" fontId="71" numFmtId="0" xfId="0" applyAlignment="1" applyBorder="1" applyFont="1">
      <alignment horizontal="center" readingOrder="0" vertical="bottom"/>
    </xf>
    <xf borderId="1" fillId="0" fontId="71" numFmtId="0" xfId="0" applyAlignment="1" applyBorder="1" applyFont="1">
      <alignment horizontal="center" vertical="bottom"/>
    </xf>
    <xf borderId="1" fillId="9" fontId="71" numFmtId="0" xfId="0" applyAlignment="1" applyBorder="1" applyFont="1">
      <alignment horizontal="center" readingOrder="0" vertical="bottom"/>
    </xf>
    <xf borderId="1" fillId="9" fontId="71" numFmtId="0" xfId="0" applyAlignment="1" applyBorder="1" applyFont="1">
      <alignment horizontal="center" readingOrder="0"/>
    </xf>
    <xf borderId="7" fillId="18" fontId="70" numFmtId="0" xfId="0" applyAlignment="1" applyBorder="1" applyFill="1" applyFont="1">
      <alignment horizontal="center" vertical="bottom"/>
    </xf>
    <xf borderId="1" fillId="0" fontId="19" numFmtId="0" xfId="0" applyAlignment="1" applyBorder="1" applyFont="1">
      <alignment horizontal="center" shrinkToFit="0" vertical="bottom" wrapText="1"/>
    </xf>
    <xf borderId="1" fillId="0" fontId="71" numFmtId="0" xfId="0" applyAlignment="1" applyBorder="1" applyFont="1">
      <alignment horizontal="center" readingOrder="0"/>
    </xf>
    <xf borderId="1" fillId="0" fontId="71" numFmtId="0" xfId="0" applyAlignment="1" applyBorder="1" applyFont="1">
      <alignment horizontal="center"/>
    </xf>
    <xf borderId="1" fillId="0" fontId="71" numFmtId="0" xfId="0" applyAlignment="1" applyBorder="1" applyFont="1">
      <alignment horizontal="center" vertical="bottom"/>
    </xf>
    <xf borderId="1" fillId="8" fontId="71" numFmtId="0" xfId="0" applyAlignment="1" applyBorder="1" applyFont="1">
      <alignment horizontal="center" readingOrder="0" vertical="bottom"/>
    </xf>
    <xf borderId="1" fillId="8" fontId="20" numFmtId="0" xfId="0" applyAlignment="1" applyBorder="1" applyFont="1">
      <alignment horizontal="center" readingOrder="0" shrinkToFit="0" vertical="bottom" wrapText="1"/>
    </xf>
    <xf borderId="8" fillId="0" fontId="71" numFmtId="0" xfId="0" applyAlignment="1" applyBorder="1" applyFont="1">
      <alignment horizontal="center" vertical="bottom"/>
    </xf>
    <xf borderId="8" fillId="0" fontId="20" numFmtId="0" xfId="0" applyAlignment="1" applyBorder="1" applyFont="1">
      <alignment vertical="bottom"/>
    </xf>
    <xf borderId="0" fillId="8" fontId="22" numFmtId="0" xfId="0" applyAlignment="1" applyFont="1">
      <alignment horizontal="center" vertical="bottom"/>
    </xf>
    <xf quotePrefix="1" borderId="0" fillId="0" fontId="19" numFmtId="0" xfId="0" applyAlignment="1" applyFont="1">
      <alignment horizontal="center" vertical="bottom"/>
    </xf>
    <xf borderId="7" fillId="19" fontId="70" numFmtId="0" xfId="0" applyAlignment="1" applyBorder="1" applyFill="1" applyFont="1">
      <alignment horizontal="center" readingOrder="0" vertical="bottom"/>
    </xf>
    <xf borderId="1" fillId="8" fontId="2" numFmtId="0" xfId="0" applyAlignment="1" applyBorder="1" applyFont="1">
      <alignment horizontal="center" readingOrder="0" shrinkToFit="0" wrapText="1"/>
    </xf>
    <xf borderId="0" fillId="5" fontId="72" numFmtId="0" xfId="0" applyAlignment="1" applyFont="1">
      <alignment readingOrder="0" shrinkToFit="0" wrapText="0"/>
    </xf>
    <xf borderId="1" fillId="8" fontId="71" numFmtId="0" xfId="0" applyAlignment="1" applyBorder="1" applyFont="1">
      <alignment horizontal="center" readingOrder="0"/>
    </xf>
    <xf borderId="1" fillId="0" fontId="73" numFmtId="0" xfId="0" applyAlignment="1" applyBorder="1" applyFont="1">
      <alignment horizontal="center" readingOrder="0" vertical="bottom"/>
    </xf>
    <xf borderId="8" fillId="0" fontId="71" numFmtId="0" xfId="0" applyAlignment="1" applyBorder="1" applyFont="1">
      <alignment horizontal="center" readingOrder="0" vertical="bottom"/>
    </xf>
    <xf borderId="7" fillId="0" fontId="70" numFmtId="0" xfId="0" applyAlignment="1" applyBorder="1" applyFont="1">
      <alignment horizontal="center" readingOrder="0" vertical="bottom"/>
    </xf>
    <xf borderId="1" fillId="4" fontId="70" numFmtId="0" xfId="0" applyAlignment="1" applyBorder="1" applyFont="1">
      <alignment horizontal="center" vertical="bottom"/>
    </xf>
    <xf borderId="2" fillId="16" fontId="45" numFmtId="0" xfId="0" applyAlignment="1" applyBorder="1" applyFont="1">
      <alignment horizontal="center"/>
    </xf>
    <xf borderId="1" fillId="0" fontId="20" numFmtId="0" xfId="0" applyAlignment="1" applyBorder="1" applyFont="1">
      <alignment horizontal="center" readingOrder="0"/>
    </xf>
    <xf borderId="1" fillId="0" fontId="20" numFmtId="0" xfId="0" applyAlignment="1" applyBorder="1" applyFont="1">
      <alignment readingOrder="0" shrinkToFit="0" vertical="bottom" wrapText="1"/>
    </xf>
    <xf borderId="2" fillId="8" fontId="45" numFmtId="0" xfId="0" applyAlignment="1" applyBorder="1" applyFont="1">
      <alignment horizontal="center"/>
    </xf>
    <xf borderId="2" fillId="20" fontId="45" numFmtId="0" xfId="0" applyAlignment="1" applyBorder="1" applyFill="1" applyFont="1">
      <alignment horizontal="center"/>
    </xf>
    <xf borderId="7" fillId="9" fontId="70" numFmtId="0" xfId="0" applyAlignment="1" applyBorder="1" applyFont="1">
      <alignment horizontal="center" vertical="bottom"/>
    </xf>
    <xf borderId="1" fillId="9" fontId="19" numFmtId="0" xfId="0" applyAlignment="1" applyBorder="1" applyFont="1">
      <alignment horizontal="center" vertical="bottom"/>
    </xf>
    <xf borderId="1" fillId="9" fontId="71" numFmtId="0" xfId="0" applyAlignment="1" applyBorder="1" applyFont="1">
      <alignment horizontal="center" vertical="bottom"/>
    </xf>
    <xf borderId="1" fillId="9" fontId="20" numFmtId="0" xfId="0" applyAlignment="1" applyBorder="1" applyFont="1">
      <alignment readingOrder="0" vertical="bottom"/>
    </xf>
    <xf borderId="0" fillId="9" fontId="20" numFmtId="0" xfId="0" applyAlignment="1" applyFont="1">
      <alignment vertical="bottom"/>
    </xf>
    <xf borderId="7" fillId="9" fontId="45" numFmtId="0" xfId="0" applyAlignment="1" applyBorder="1" applyFont="1">
      <alignment horizontal="center" readingOrder="0" vertical="bottom"/>
    </xf>
    <xf borderId="1" fillId="9" fontId="19" numFmtId="0" xfId="0" applyAlignment="1" applyBorder="1" applyFont="1">
      <alignment horizontal="center" shrinkToFit="0" vertical="bottom" wrapText="1"/>
    </xf>
    <xf borderId="1" fillId="9" fontId="20" numFmtId="0" xfId="0" applyAlignment="1" applyBorder="1" applyFont="1">
      <alignment horizontal="center" shrinkToFit="0" vertical="bottom" wrapText="1"/>
    </xf>
    <xf borderId="0" fillId="9" fontId="19" numFmtId="0" xfId="0" applyAlignment="1" applyFont="1">
      <alignment horizontal="center" shrinkToFit="0" vertical="bottom" wrapText="1"/>
    </xf>
    <xf borderId="1" fillId="11" fontId="74" numFmtId="0" xfId="0" applyAlignment="1" applyBorder="1" applyFont="1">
      <alignment horizontal="center" readingOrder="0"/>
    </xf>
    <xf borderId="4" fillId="11" fontId="75" numFmtId="0" xfId="0" applyAlignment="1" applyBorder="1" applyFont="1">
      <alignment horizontal="center" readingOrder="0"/>
    </xf>
    <xf borderId="1" fillId="11" fontId="75" numFmtId="0" xfId="0" applyAlignment="1" applyBorder="1" applyFont="1">
      <alignment horizontal="center" readingOrder="0"/>
    </xf>
    <xf borderId="4" fillId="11" fontId="76" numFmtId="0" xfId="0" applyAlignment="1" applyBorder="1" applyFont="1">
      <alignment horizontal="center" readingOrder="0"/>
    </xf>
    <xf borderId="4" fillId="11" fontId="45" numFmtId="0" xfId="0" applyAlignment="1" applyBorder="1" applyFont="1">
      <alignment horizontal="center" readingOrder="0" vertical="bottom"/>
    </xf>
    <xf borderId="4" fillId="11" fontId="20" numFmtId="0" xfId="0" applyAlignment="1" applyBorder="1" applyFont="1">
      <alignment vertical="bottom"/>
    </xf>
    <xf borderId="7" fillId="16" fontId="77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readingOrder="0" vertical="bottom"/>
    </xf>
    <xf borderId="4" fillId="0" fontId="20" numFmtId="0" xfId="0" applyAlignment="1" applyBorder="1" applyFont="1">
      <alignment vertical="bottom"/>
    </xf>
    <xf borderId="7" fillId="16" fontId="45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shrinkToFit="0" wrapText="1"/>
    </xf>
    <xf borderId="1" fillId="0" fontId="78" numFmtId="0" xfId="0" applyAlignment="1" applyBorder="1" applyFont="1">
      <alignment readingOrder="0" vertical="bottom"/>
    </xf>
    <xf borderId="7" fillId="18" fontId="45" numFmtId="0" xfId="0" applyAlignment="1" applyBorder="1" applyFont="1">
      <alignment horizontal="center" vertical="bottom"/>
    </xf>
    <xf borderId="1" fillId="8" fontId="19" numFmtId="49" xfId="0" applyAlignment="1" applyBorder="1" applyFont="1" applyNumberFormat="1">
      <alignment horizontal="center" shrinkToFit="0" vertical="bottom" wrapText="1"/>
    </xf>
    <xf borderId="7" fillId="18" fontId="45" numFmtId="0" xfId="0" applyAlignment="1" applyBorder="1" applyFont="1">
      <alignment horizontal="center" readingOrder="0" vertical="bottom"/>
    </xf>
    <xf borderId="1" fillId="0" fontId="79" numFmtId="0" xfId="0" applyAlignment="1" applyBorder="1" applyFont="1">
      <alignment horizontal="center" readingOrder="0" shrinkToFit="0" vertical="bottom" wrapText="1"/>
    </xf>
    <xf borderId="7" fillId="8" fontId="45" numFmtId="0" xfId="0" applyAlignment="1" applyBorder="1" applyFont="1">
      <alignment horizontal="center" readingOrder="0" vertical="bottom"/>
    </xf>
    <xf borderId="1" fillId="0" fontId="80" numFmtId="0" xfId="0" applyAlignment="1" applyBorder="1" applyFont="1">
      <alignment readingOrder="0"/>
    </xf>
    <xf borderId="0" fillId="8" fontId="19" numFmtId="0" xfId="0" applyAlignment="1" applyFont="1">
      <alignment horizontal="center" shrinkToFit="0" vertical="bottom" wrapText="1"/>
    </xf>
    <xf borderId="1" fillId="4" fontId="45" numFmtId="0" xfId="0" applyAlignment="1" applyBorder="1" applyFont="1">
      <alignment horizontal="center" vertical="bottom"/>
    </xf>
    <xf borderId="1" fillId="8" fontId="81" numFmtId="0" xfId="0" applyAlignment="1" applyBorder="1" applyFont="1">
      <alignment readingOrder="0" vertical="bottom"/>
    </xf>
    <xf borderId="1" fillId="8" fontId="20" numFmtId="0" xfId="0" applyAlignment="1" applyBorder="1" applyFont="1">
      <alignment horizontal="center" readingOrder="0"/>
    </xf>
    <xf borderId="0" fillId="0" fontId="20" numFmtId="0" xfId="0" applyAlignment="1" applyFont="1">
      <alignment horizontal="right" readingOrder="0" vertical="bottom"/>
    </xf>
    <xf borderId="0" fillId="0" fontId="20" numFmtId="0" xfId="0" applyAlignment="1" applyFont="1">
      <alignment horizontal="right" vertical="bottom"/>
    </xf>
    <xf borderId="7" fillId="8" fontId="70" numFmtId="0" xfId="0" applyAlignment="1" applyBorder="1" applyFont="1">
      <alignment horizontal="center" vertical="bottom"/>
    </xf>
    <xf borderId="7" fillId="8" fontId="70" numFmtId="0" xfId="0" applyAlignment="1" applyBorder="1" applyFont="1">
      <alignment horizontal="center" readingOrder="0" vertical="bottom"/>
    </xf>
    <xf borderId="1" fillId="0" fontId="20" numFmtId="0" xfId="0" applyAlignment="1" applyBorder="1" applyFont="1">
      <alignment horizontal="center" readingOrder="0" shrinkToFit="0" vertical="bottom" wrapText="1"/>
    </xf>
    <xf borderId="1" fillId="21" fontId="82" numFmtId="0" xfId="0" applyAlignment="1" applyBorder="1" applyFill="1" applyFont="1">
      <alignment horizontal="left" readingOrder="0"/>
    </xf>
    <xf borderId="1" fillId="8" fontId="20" numFmtId="0" xfId="0" applyAlignment="1" applyBorder="1" applyFont="1">
      <alignment horizontal="center" vertical="bottom"/>
    </xf>
    <xf borderId="1" fillId="0" fontId="82" numFmtId="0" xfId="0" applyAlignment="1" applyBorder="1" applyFont="1">
      <alignment horizontal="left" readingOrder="0" vertical="top"/>
    </xf>
    <xf borderId="1" fillId="21" fontId="82" numFmtId="0" xfId="0" applyAlignment="1" applyBorder="1" applyFont="1">
      <alignment horizontal="left" readingOrder="0" vertical="top"/>
    </xf>
    <xf borderId="1" fillId="0" fontId="20" numFmtId="0" xfId="0" applyAlignment="1" applyBorder="1" applyFont="1">
      <alignment horizontal="center" shrinkToFit="0" vertical="bottom" wrapText="1"/>
    </xf>
    <xf borderId="0" fillId="8" fontId="19" numFmtId="0" xfId="0" applyAlignment="1" applyFont="1">
      <alignment readingOrder="0" vertical="bottom"/>
    </xf>
    <xf borderId="1" fillId="0" fontId="20" numFmtId="0" xfId="0" applyAlignment="1" applyBorder="1" applyFont="1">
      <alignment shrinkToFit="0" vertical="bottom" wrapText="1"/>
    </xf>
    <xf borderId="1" fillId="9" fontId="20" numFmtId="0" xfId="0" applyAlignment="1" applyBorder="1" applyFont="1">
      <alignment horizontal="center" vertical="bottom"/>
    </xf>
    <xf borderId="7" fillId="8" fontId="45" numFmtId="0" xfId="0" applyAlignment="1" applyBorder="1" applyFont="1">
      <alignment horizontal="center" vertical="bottom"/>
    </xf>
    <xf borderId="8" fillId="8" fontId="45" numFmtId="0" xfId="0" applyAlignment="1" applyBorder="1" applyFont="1">
      <alignment horizontal="center" vertical="bottom"/>
    </xf>
    <xf borderId="9" fillId="8" fontId="45" numFmtId="0" xfId="0" applyAlignment="1" applyBorder="1" applyFont="1">
      <alignment horizontal="center" vertical="bottom"/>
    </xf>
    <xf borderId="1" fillId="8" fontId="45" numFmtId="0" xfId="0" applyAlignment="1" applyBorder="1" applyFont="1">
      <alignment horizontal="center" vertical="bottom"/>
    </xf>
    <xf borderId="1" fillId="8" fontId="20" numFmtId="0" xfId="0" applyAlignment="1" applyBorder="1" applyFont="1">
      <alignment vertical="bottom"/>
    </xf>
    <xf borderId="7" fillId="0" fontId="45" numFmtId="0" xfId="0" applyAlignment="1" applyBorder="1" applyFont="1">
      <alignment horizontal="center" vertical="bottom"/>
    </xf>
    <xf borderId="1" fillId="0" fontId="45" numFmtId="0" xfId="0" applyAlignment="1" applyBorder="1" applyFont="1">
      <alignment horizontal="left" readingOrder="0" shrinkToFit="0" wrapText="0"/>
    </xf>
    <xf borderId="1" fillId="0" fontId="45" numFmtId="0" xfId="0" applyAlignment="1" applyBorder="1" applyFont="1">
      <alignment horizontal="center" readingOrder="0" vertical="bottom"/>
    </xf>
    <xf borderId="1" fillId="0" fontId="45" numFmtId="0" xfId="0" applyAlignment="1" applyBorder="1" applyFont="1">
      <alignment horizontal="left" readingOrder="0" vertical="bottom"/>
    </xf>
    <xf borderId="1" fillId="0" fontId="45" numFmtId="0" xfId="0" applyAlignment="1" applyBorder="1" applyFont="1">
      <alignment horizontal="center" readingOrder="0" vertical="bottom"/>
    </xf>
    <xf borderId="1" fillId="0" fontId="45" numFmtId="0" xfId="0" applyAlignment="1" applyBorder="1" applyFont="1">
      <alignment horizontal="center" readingOrder="0" shrinkToFit="0" vertical="bottom" wrapText="0"/>
    </xf>
    <xf borderId="0" fillId="0" fontId="45" numFmtId="0" xfId="0" applyAlignment="1" applyFont="1">
      <alignment horizontal="center" readingOrder="0" vertical="bottom"/>
    </xf>
    <xf borderId="0" fillId="0" fontId="45" numFmtId="0" xfId="0" applyAlignment="1" applyFont="1">
      <alignment horizontal="center" vertical="bottom"/>
    </xf>
    <xf borderId="4" fillId="0" fontId="45" numFmtId="0" xfId="0" applyAlignment="1" applyBorder="1" applyFont="1">
      <alignment horizontal="center" vertical="bottom"/>
    </xf>
    <xf borderId="1" fillId="0" fontId="20" numFmtId="0" xfId="0" applyAlignment="1" applyBorder="1" applyFont="1">
      <alignment shrinkToFit="0" vertical="bottom" wrapText="0"/>
    </xf>
    <xf borderId="1" fillId="0" fontId="20" numFmtId="0" xfId="0" applyAlignment="1" applyBorder="1" applyFont="1">
      <alignment horizontal="center" shrinkToFit="0" vertical="bottom" wrapText="0"/>
    </xf>
    <xf borderId="1" fillId="0" fontId="20" numFmtId="20" xfId="0" applyAlignment="1" applyBorder="1" applyFont="1" applyNumberFormat="1">
      <alignment vertical="bottom"/>
    </xf>
    <xf borderId="1" fillId="0" fontId="45" numFmtId="20" xfId="0" applyAlignment="1" applyBorder="1" applyFont="1" applyNumberFormat="1">
      <alignment horizontal="center" shrinkToFit="0" vertical="bottom" wrapText="1"/>
    </xf>
    <xf borderId="0" fillId="0" fontId="45" numFmtId="20" xfId="0" applyAlignment="1" applyFont="1" applyNumberFormat="1">
      <alignment horizontal="center" shrinkToFit="0" vertical="bottom" wrapText="1"/>
    </xf>
    <xf borderId="0" fillId="0" fontId="20" numFmtId="20" xfId="0" applyAlignment="1" applyFont="1" applyNumberFormat="1">
      <alignment vertical="bottom"/>
    </xf>
    <xf borderId="1" fillId="0" fontId="20" numFmtId="20" xfId="0" applyAlignment="1" applyBorder="1" applyFont="1" applyNumberFormat="1">
      <alignment shrinkToFit="0" vertical="bottom" wrapText="0"/>
    </xf>
    <xf borderId="1" fillId="0" fontId="20" numFmtId="0" xfId="0" applyAlignment="1" applyBorder="1" applyFont="1">
      <alignment horizontal="center" readingOrder="0" shrinkToFit="0" vertical="bottom" wrapText="0"/>
    </xf>
    <xf borderId="1" fillId="0" fontId="45" numFmtId="0" xfId="0" applyAlignment="1" applyBorder="1" applyFont="1">
      <alignment readingOrder="0" vertical="bottom"/>
    </xf>
    <xf borderId="0" fillId="0" fontId="45" numFmtId="0" xfId="0" applyAlignment="1" applyFont="1">
      <alignment readingOrder="0" vertical="bottom"/>
    </xf>
    <xf borderId="1" fillId="0" fontId="45" numFmtId="20" xfId="0" applyAlignment="1" applyBorder="1" applyFont="1" applyNumberFormat="1">
      <alignment vertical="bottom"/>
    </xf>
    <xf borderId="0" fillId="0" fontId="45" numFmtId="20" xfId="0" applyAlignment="1" applyFont="1" applyNumberFormat="1">
      <alignment vertical="bottom"/>
    </xf>
    <xf borderId="1" fillId="0" fontId="20" numFmtId="20" xfId="0" applyAlignment="1" applyBorder="1" applyFont="1" applyNumberFormat="1">
      <alignment horizontal="center" shrinkToFit="0" vertical="bottom" wrapText="0"/>
    </xf>
    <xf borderId="0" fillId="0" fontId="20" numFmtId="0" xfId="0" applyAlignment="1" applyFont="1">
      <alignment shrinkToFit="0" vertical="bottom" wrapText="0"/>
    </xf>
    <xf borderId="9" fillId="0" fontId="20" numFmtId="0" xfId="0" applyAlignment="1" applyBorder="1" applyFont="1">
      <alignment vertical="bottom"/>
    </xf>
    <xf borderId="9" fillId="0" fontId="20" numFmtId="0" xfId="0" applyAlignment="1" applyBorder="1" applyFont="1">
      <alignment shrinkToFit="0" vertical="bottom" wrapText="0"/>
    </xf>
    <xf borderId="7" fillId="8" fontId="20" numFmtId="0" xfId="0" applyAlignment="1" applyBorder="1" applyFont="1">
      <alignment horizontal="center" vertical="bottom"/>
    </xf>
    <xf borderId="8" fillId="8" fontId="20" numFmtId="0" xfId="0" applyAlignment="1" applyBorder="1" applyFont="1">
      <alignment shrinkToFit="0" vertical="bottom" wrapText="0"/>
    </xf>
    <xf borderId="1" fillId="8" fontId="45" numFmtId="0" xfId="0" applyAlignment="1" applyBorder="1" applyFont="1">
      <alignment horizontal="center" readingOrder="0" vertical="bottom"/>
    </xf>
    <xf borderId="8" fillId="22" fontId="45" numFmtId="164" xfId="0" applyAlignment="1" applyBorder="1" applyFill="1" applyFont="1" applyNumberFormat="1">
      <alignment horizontal="center" readingOrder="0" vertical="bottom"/>
    </xf>
    <xf borderId="1" fillId="0" fontId="45" numFmtId="164" xfId="0" applyAlignment="1" applyBorder="1" applyFont="1" applyNumberFormat="1">
      <alignment horizontal="center" readingOrder="0" vertical="bottom"/>
    </xf>
    <xf borderId="8" fillId="5" fontId="45" numFmtId="9" xfId="0" applyAlignment="1" applyBorder="1" applyFont="1" applyNumberFormat="1">
      <alignment horizontal="center" readingOrder="0" vertical="bottom"/>
    </xf>
    <xf borderId="8" fillId="5" fontId="45" numFmtId="9" xfId="0" applyAlignment="1" applyBorder="1" applyFont="1" applyNumberFormat="1">
      <alignment horizontal="center" vertical="bottom"/>
    </xf>
    <xf borderId="8" fillId="5" fontId="20" numFmtId="9" xfId="0" applyAlignment="1" applyBorder="1" applyFont="1" applyNumberFormat="1">
      <alignment vertical="bottom"/>
    </xf>
    <xf borderId="8" fillId="5" fontId="45" numFmtId="9" xfId="0" applyAlignment="1" applyBorder="1" applyFont="1" applyNumberFormat="1">
      <alignment horizontal="right" vertical="bottom"/>
    </xf>
    <xf borderId="8" fillId="5" fontId="45" numFmtId="10" xfId="0" applyAlignment="1" applyBorder="1" applyFont="1" applyNumberFormat="1">
      <alignment horizontal="right" vertical="bottom"/>
    </xf>
    <xf borderId="0" fillId="0" fontId="20" numFmtId="168" xfId="0" applyAlignment="1" applyFont="1" applyNumberFormat="1">
      <alignment vertical="bottom"/>
    </xf>
    <xf borderId="0" fillId="0" fontId="2" numFmtId="167" xfId="0" applyAlignment="1" applyFont="1" applyNumberFormat="1">
      <alignment readingOrder="0"/>
    </xf>
    <xf borderId="8" fillId="23" fontId="45" numFmtId="164" xfId="0" applyAlignment="1" applyBorder="1" applyFill="1" applyFont="1" applyNumberFormat="1">
      <alignment horizontal="center" readingOrder="0" vertical="bottom"/>
    </xf>
    <xf borderId="8" fillId="0" fontId="45" numFmtId="164" xfId="0" applyAlignment="1" applyBorder="1" applyFont="1" applyNumberFormat="1">
      <alignment horizontal="center" vertical="bottom"/>
    </xf>
    <xf borderId="8" fillId="0" fontId="20" numFmtId="169" xfId="0" applyAlignment="1" applyBorder="1" applyFont="1" applyNumberFormat="1">
      <alignment vertical="bottom"/>
    </xf>
    <xf borderId="1" fillId="8" fontId="19" numFmtId="49" xfId="0" applyAlignment="1" applyBorder="1" applyFont="1" applyNumberFormat="1">
      <alignment horizontal="center" vertical="bottom"/>
    </xf>
    <xf borderId="1" fillId="8" fontId="20" numFmtId="49" xfId="0" applyAlignment="1" applyBorder="1" applyFont="1" applyNumberFormat="1">
      <alignment horizontal="center" vertical="bottom"/>
    </xf>
    <xf borderId="8" fillId="0" fontId="20" numFmtId="170" xfId="0" applyAlignment="1" applyBorder="1" applyFont="1" applyNumberFormat="1">
      <alignment vertical="bottom"/>
    </xf>
    <xf borderId="1" fillId="8" fontId="20" numFmtId="49" xfId="0" applyAlignment="1" applyBorder="1" applyFont="1" applyNumberFormat="1">
      <alignment vertical="bottom"/>
    </xf>
    <xf borderId="7" fillId="0" fontId="20" numFmtId="0" xfId="0" applyAlignment="1" applyBorder="1" applyFont="1">
      <alignment horizontal="center" vertical="bottom"/>
    </xf>
    <xf borderId="8" fillId="0" fontId="20" numFmtId="0" xfId="0" applyAlignment="1" applyBorder="1" applyFont="1">
      <alignment shrinkToFit="0" vertical="bottom" wrapText="0"/>
    </xf>
    <xf borderId="8" fillId="0" fontId="45" numFmtId="0" xfId="0" applyAlignment="1" applyBorder="1" applyFont="1">
      <alignment horizontal="center" vertical="bottom"/>
    </xf>
    <xf borderId="8" fillId="24" fontId="45" numFmtId="164" xfId="0" applyAlignment="1" applyBorder="1" applyFill="1" applyFont="1" applyNumberFormat="1">
      <alignment horizontal="center" readingOrder="0" vertical="bottom"/>
    </xf>
    <xf borderId="0" fillId="25" fontId="2" numFmtId="0" xfId="0" applyAlignment="1" applyFill="1" applyFont="1">
      <alignment readingOrder="0"/>
    </xf>
    <xf borderId="10" fillId="25" fontId="83" numFmtId="0" xfId="0" applyAlignment="1" applyBorder="1" applyFont="1">
      <alignment horizontal="center" readingOrder="0"/>
    </xf>
    <xf borderId="11" fillId="25" fontId="2" numFmtId="0" xfId="0" applyBorder="1" applyFont="1"/>
    <xf borderId="9" fillId="25" fontId="2" numFmtId="168" xfId="0" applyAlignment="1" applyBorder="1" applyFont="1" applyNumberFormat="1">
      <alignment horizontal="center" readingOrder="0"/>
    </xf>
    <xf borderId="7" fillId="0" fontId="2" numFmtId="0" xfId="0" applyAlignment="1" applyBorder="1" applyFont="1">
      <alignment horizontal="center" readingOrder="0"/>
    </xf>
    <xf borderId="1" fillId="8" fontId="22" numFmtId="0" xfId="0" applyAlignment="1" applyBorder="1" applyFont="1">
      <alignment horizontal="center" readingOrder="0" vertical="bottom"/>
    </xf>
    <xf borderId="1" fillId="8" fontId="83" numFmtId="0" xfId="0" applyAlignment="1" applyBorder="1" applyFont="1">
      <alignment horizontal="center" readingOrder="0"/>
    </xf>
    <xf borderId="1" fillId="8" fontId="20" numFmtId="0" xfId="0" applyAlignment="1" applyBorder="1" applyFont="1">
      <alignment shrinkToFit="0" vertical="bottom" wrapText="0"/>
    </xf>
    <xf borderId="8" fillId="2" fontId="45" numFmtId="164" xfId="0" applyAlignment="1" applyBorder="1" applyFont="1" applyNumberFormat="1">
      <alignment horizontal="center" readingOrder="0" vertical="bottom"/>
    </xf>
    <xf borderId="0" fillId="0" fontId="2" numFmtId="165" xfId="0" applyAlignment="1" applyFont="1" applyNumberFormat="1">
      <alignment readingOrder="0"/>
    </xf>
    <xf borderId="1" fillId="12" fontId="45" numFmtId="0" xfId="0" applyAlignment="1" applyBorder="1" applyFont="1">
      <alignment horizontal="center" shrinkToFit="0" vertical="bottom" wrapText="0"/>
    </xf>
    <xf borderId="1" fillId="12" fontId="45" numFmtId="0" xfId="0" applyAlignment="1" applyBorder="1" applyFont="1">
      <alignment horizontal="center" vertical="bottom"/>
    </xf>
    <xf borderId="1" fillId="12" fontId="45" numFmtId="0" xfId="0" applyAlignment="1" applyBorder="1" applyFont="1">
      <alignment horizontal="center" readingOrder="0" vertical="bottom"/>
    </xf>
    <xf borderId="1" fillId="0" fontId="20" numFmtId="164" xfId="0" applyAlignment="1" applyBorder="1" applyFont="1" applyNumberFormat="1">
      <alignment readingOrder="0" shrinkToFit="0" vertical="bottom" wrapText="0"/>
    </xf>
    <xf borderId="1" fillId="0" fontId="20" numFmtId="164" xfId="0" applyAlignment="1" applyBorder="1" applyFont="1" applyNumberFormat="1">
      <alignment readingOrder="0" vertical="bottom"/>
    </xf>
    <xf borderId="1" fillId="8" fontId="19" numFmtId="49" xfId="0" applyAlignment="1" applyBorder="1" applyFont="1" applyNumberFormat="1">
      <alignment horizontal="center" readingOrder="0" vertical="bottom"/>
    </xf>
    <xf borderId="1" fillId="6" fontId="84" numFmtId="0" xfId="0" applyAlignment="1" applyBorder="1" applyFont="1">
      <alignment horizontal="center" vertical="bottom"/>
    </xf>
    <xf borderId="7" fillId="16" fontId="84" numFmtId="0" xfId="0" applyAlignment="1" applyBorder="1" applyFont="1">
      <alignment horizontal="center" vertical="bottom"/>
    </xf>
    <xf borderId="1" fillId="16" fontId="84" numFmtId="0" xfId="0" applyAlignment="1" applyBorder="1" applyFont="1">
      <alignment horizontal="center" vertical="bottom"/>
    </xf>
    <xf borderId="7" fillId="18" fontId="84" numFmtId="0" xfId="0" applyAlignment="1" applyBorder="1" applyFont="1">
      <alignment horizontal="center" vertical="bottom"/>
    </xf>
    <xf borderId="7" fillId="8" fontId="84" numFmtId="0" xfId="0" applyAlignment="1" applyBorder="1" applyFont="1">
      <alignment horizontal="center" vertical="bottom"/>
    </xf>
    <xf borderId="1" fillId="4" fontId="84" numFmtId="0" xfId="0" applyAlignment="1" applyBorder="1" applyFont="1">
      <alignment horizontal="center" vertical="bottom"/>
    </xf>
    <xf borderId="1" fillId="8" fontId="84" numFmtId="0" xfId="0" applyAlignment="1" applyBorder="1" applyFont="1">
      <alignment horizontal="center" vertical="bottom"/>
    </xf>
    <xf borderId="7" fillId="2" fontId="84" numFmtId="0" xfId="0" applyAlignment="1" applyBorder="1" applyFont="1">
      <alignment horizontal="center" vertical="bottom"/>
    </xf>
    <xf borderId="7" fillId="26" fontId="84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winnnqq" TargetMode="External"/><Relationship Id="rId2" Type="http://schemas.openxmlformats.org/officeDocument/2006/relationships/hyperlink" Target="https://t.me/antonkuzmin_131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TWGRaBH0mWUAnR36-H4cU8i1Yr8lDpr8/view?usp=sharing" TargetMode="External"/><Relationship Id="rId42" Type="http://schemas.openxmlformats.org/officeDocument/2006/relationships/hyperlink" Target="https://medscan.geekspro.kg/" TargetMode="External"/><Relationship Id="rId41" Type="http://schemas.openxmlformats.org/officeDocument/2006/relationships/hyperlink" Target="https://www.figma.com/design/ge6RG4htrP3mQymeTDEFoY?node-id=0-1" TargetMode="External"/><Relationship Id="rId44" Type="http://schemas.openxmlformats.org/officeDocument/2006/relationships/hyperlink" Target="https://docs.google.com/document/d/1TsL8bhgdzpjeY4pebV8Ee0UZ5Lzy_l8wnCL8__Jp7eY/edit?tab=t.0" TargetMode="External"/><Relationship Id="rId43" Type="http://schemas.openxmlformats.org/officeDocument/2006/relationships/hyperlink" Target="https://gitlab.geeks.kg/medscan" TargetMode="External"/><Relationship Id="rId46" Type="http://schemas.openxmlformats.org/officeDocument/2006/relationships/hyperlink" Target="https://okuukitebi.geekspro.kg/" TargetMode="External"/><Relationship Id="rId45" Type="http://schemas.openxmlformats.org/officeDocument/2006/relationships/hyperlink" Target="https://www.figma.com/design/UYwoRnf7U6uuOKIG26aEdh/%D0%9D%D0%91-%D0%9A%D0%A0-%D0%90%D0%BB%D1%8B%D0%BA%D1%83%D0%BB-%D0%9E%D1%81%D0%BC%D0%BE%D0%BD%D0%BE%D0%B2?node-id=2-5&amp;p=f&amp;t=7uKrNVFmLdouWO9N-0" TargetMode="External"/><Relationship Id="rId48" Type="http://schemas.openxmlformats.org/officeDocument/2006/relationships/hyperlink" Target="https://gitlab.geeks.kg/okuukitebi" TargetMode="External"/><Relationship Id="rId47" Type="http://schemas.openxmlformats.org/officeDocument/2006/relationships/hyperlink" Target="https://okuukitebi.edu.kg/" TargetMode="External"/><Relationship Id="rId49" Type="http://schemas.openxmlformats.org/officeDocument/2006/relationships/hyperlink" Target="https://t.me/mega_e_kuba" TargetMode="External"/><Relationship Id="rId31" Type="http://schemas.openxmlformats.org/officeDocument/2006/relationships/hyperlink" Target="https://www.figma.com/design/7BpCp5rgUjBI5NfYqickAk/%D1%80%D0%B0%D0%B1%D0%BE%D1%87%D0%B0%D1%8F-%D1%81%D1%82%D1%80-Ustat?node-id=699-17093&amp;t=kgnmADFSdFiCSLVr-1" TargetMode="External"/><Relationship Id="rId30" Type="http://schemas.openxmlformats.org/officeDocument/2006/relationships/hyperlink" Target="https://docs.google.com/document/d/1Hv41QY6N1sJ-PEbdTret2S-qJRSUh92tpFKYPniTOJA/edit?tab=t.0" TargetMode="External"/><Relationship Id="rId33" Type="http://schemas.openxmlformats.org/officeDocument/2006/relationships/hyperlink" Target="https://t.me/kimazatot" TargetMode="External"/><Relationship Id="rId32" Type="http://schemas.openxmlformats.org/officeDocument/2006/relationships/hyperlink" Target="https://t.me/allisklar" TargetMode="External"/><Relationship Id="rId35" Type="http://schemas.openxmlformats.org/officeDocument/2006/relationships/hyperlink" Target="https://docs.google.com/document/d/17XXyRqDWJ8pP6lOKCskLtu4zZb555NYHGrJFLOdH870/edit?hl=ru&amp;tab=t.0" TargetMode="External"/><Relationship Id="rId34" Type="http://schemas.openxmlformats.org/officeDocument/2006/relationships/hyperlink" Target="https://t.me/Zikk30" TargetMode="External"/><Relationship Id="rId37" Type="http://schemas.openxmlformats.org/officeDocument/2006/relationships/hyperlink" Target="https://bsu.geekspro.kg/" TargetMode="External"/><Relationship Id="rId36" Type="http://schemas.openxmlformats.org/officeDocument/2006/relationships/hyperlink" Target="https://www.figma.com/design/Njug6q4HRp3vubFFve4gP5/%D0%91%D0%B0%D1%82%D0%93%D0%A3?node-id=1-4&amp;p=f&amp;t=KInGw27UqmHW9RQf-0" TargetMode="External"/><Relationship Id="rId39" Type="http://schemas.openxmlformats.org/officeDocument/2006/relationships/hyperlink" Target="https://t.me/Zikk30" TargetMode="External"/><Relationship Id="rId38" Type="http://schemas.openxmlformats.org/officeDocument/2006/relationships/hyperlink" Target="https://gitlab.geeks.kg/batken-state-university" TargetMode="External"/><Relationship Id="rId20" Type="http://schemas.openxmlformats.org/officeDocument/2006/relationships/hyperlink" Target="https://t.me/jkmxrlt" TargetMode="External"/><Relationship Id="rId22" Type="http://schemas.openxmlformats.org/officeDocument/2006/relationships/hyperlink" Target="https://t.me/Zikk30" TargetMode="External"/><Relationship Id="rId21" Type="http://schemas.openxmlformats.org/officeDocument/2006/relationships/hyperlink" Target="https://t.me/kimazatot" TargetMode="External"/><Relationship Id="rId24" Type="http://schemas.openxmlformats.org/officeDocument/2006/relationships/hyperlink" Target="https://www.figma.com/design/5PKD6cckwQ6Pgasti52nVD/%D0%90%D0%91%D0%98%D0%99%D0%98%D0%A0-%D0%A4%D0%98%D0%9D%D0%90%D0%9D%D0%A1?node-id=945-11298&amp;p=f&amp;t=yYcH9ZVzd2V9sPfP-0" TargetMode="External"/><Relationship Id="rId23" Type="http://schemas.openxmlformats.org/officeDocument/2006/relationships/hyperlink" Target="https://docs.google.com/document/d/1ox0w7uPO39MgyJJLxncpZuC6vMT-5r8rHBrbtRIlhlw/edit?tab=t.0" TargetMode="External"/><Relationship Id="rId26" Type="http://schemas.openxmlformats.org/officeDocument/2006/relationships/hyperlink" Target="https://gitlab.geeks.kg/abiyirfinance" TargetMode="External"/><Relationship Id="rId25" Type="http://schemas.openxmlformats.org/officeDocument/2006/relationships/hyperlink" Target="http://abiyir-finance.test.com.kg/" TargetMode="External"/><Relationship Id="rId28" Type="http://schemas.openxmlformats.org/officeDocument/2006/relationships/hyperlink" Target="https://t.me/kimazatot" TargetMode="External"/><Relationship Id="rId27" Type="http://schemas.openxmlformats.org/officeDocument/2006/relationships/hyperlink" Target="https://t.me/burulai06" TargetMode="External"/><Relationship Id="rId29" Type="http://schemas.openxmlformats.org/officeDocument/2006/relationships/hyperlink" Target="https://t.me/Zikk30" TargetMode="External"/><Relationship Id="rId95" Type="http://schemas.openxmlformats.org/officeDocument/2006/relationships/hyperlink" Target="https://t.me/bnshiro" TargetMode="External"/><Relationship Id="rId94" Type="http://schemas.openxmlformats.org/officeDocument/2006/relationships/hyperlink" Target="https://t.me/kenxxl" TargetMode="External"/><Relationship Id="rId97" Type="http://schemas.openxmlformats.org/officeDocument/2006/relationships/drawing" Target="../drawings/drawing12.xml"/><Relationship Id="rId96" Type="http://schemas.openxmlformats.org/officeDocument/2006/relationships/hyperlink" Target="http://abdikalilov_islam/" TargetMode="External"/><Relationship Id="rId11" Type="http://schemas.openxmlformats.org/officeDocument/2006/relationships/hyperlink" Target="https://www.figma.com/design/FvplgHmIbbWKo81pAkgxgx/%D0%9A%D1%8B%D1%80%D0%B3%D1%8B%D0%B7-%D0%AD%D0%BA%D1%81%D0%BF%D0%BE%D1%80%D1%82?node-id=0-1&amp;p=f&amp;t=j1YaKpj41W5HPsBp-0" TargetMode="External"/><Relationship Id="rId10" Type="http://schemas.openxmlformats.org/officeDocument/2006/relationships/hyperlink" Target="https://t.me/Zikk30" TargetMode="External"/><Relationship Id="rId98" Type="http://schemas.openxmlformats.org/officeDocument/2006/relationships/vmlDrawing" Target="../drawings/vmlDrawing2.vml"/><Relationship Id="rId13" Type="http://schemas.openxmlformats.org/officeDocument/2006/relationships/hyperlink" Target="https://gitlab.geeks.kg/kyrgyzexport" TargetMode="External"/><Relationship Id="rId12" Type="http://schemas.openxmlformats.org/officeDocument/2006/relationships/hyperlink" Target="http://kyrgyz-expo.test.com.kg/" TargetMode="External"/><Relationship Id="rId91" Type="http://schemas.openxmlformats.org/officeDocument/2006/relationships/hyperlink" Target="https://t.me/kenxxl" TargetMode="External"/><Relationship Id="rId90" Type="http://schemas.openxmlformats.org/officeDocument/2006/relationships/hyperlink" Target="https://gitlab.geeks.kg/kuba.duishobaevich/umai_flutter/" TargetMode="External"/><Relationship Id="rId93" Type="http://schemas.openxmlformats.org/officeDocument/2006/relationships/hyperlink" Target="https://docs.google.com/document/d/1Zk-KAjHQuv_y5YMPM-TQ1xKIDMn8nJXtHBcnPHAsQHA/edit?tab=t.0" TargetMode="External"/><Relationship Id="rId92" Type="http://schemas.openxmlformats.org/officeDocument/2006/relationships/hyperlink" Target="https://t.me/bnshiro" TargetMode="External"/><Relationship Id="rId15" Type="http://schemas.openxmlformats.org/officeDocument/2006/relationships/hyperlink" Target="https://t.me/Zikk30" TargetMode="External"/><Relationship Id="rId14" Type="http://schemas.openxmlformats.org/officeDocument/2006/relationships/hyperlink" Target="https://t.me/butonnax" TargetMode="External"/><Relationship Id="rId17" Type="http://schemas.openxmlformats.org/officeDocument/2006/relationships/hyperlink" Target="https://www.figma.com/design/UFZz9w8cVHRkvg108qXJj5/%D0%A0%D0%B0%D0%B4%D0%BE%D1%81%D1%82%D1%8C-%D1%80%D0%B5%D0%B1%D0%B5%D0%BD%D0%BA%D0%B0-%D0%A4%D0%98%D0%9D%D0%90%D0%9B?node-id=6012-20693&amp;p=f&amp;t=6kuCi1AkafBzlkil-0" TargetMode="External"/><Relationship Id="rId16" Type="http://schemas.openxmlformats.org/officeDocument/2006/relationships/hyperlink" Target="https://docs.google.com/document/d/1IMd0HQ5lalp1mVjQVhAESleg5_jn5mZiHaeD8-ZGjC4/edit?tab=t.0" TargetMode="External"/><Relationship Id="rId19" Type="http://schemas.openxmlformats.org/officeDocument/2006/relationships/hyperlink" Target="https://gitlab.geeks.kg/happy-baby" TargetMode="External"/><Relationship Id="rId18" Type="http://schemas.openxmlformats.org/officeDocument/2006/relationships/hyperlink" Target="http://happybaby.test.com.kg/" TargetMode="External"/><Relationship Id="rId84" Type="http://schemas.openxmlformats.org/officeDocument/2006/relationships/hyperlink" Target="https://jira.geeks.kg/secure/RapidBoard.jspa?rapidView=404&amp;projectKey=ENAC&amp;view=planning.nodetail&amp;issueLimit=100" TargetMode="External"/><Relationship Id="rId83" Type="http://schemas.openxmlformats.org/officeDocument/2006/relationships/hyperlink" Target="https://gitlab.geeks.kg/enactuskg" TargetMode="External"/><Relationship Id="rId86" Type="http://schemas.openxmlformats.org/officeDocument/2006/relationships/hyperlink" Target="https://www.figma.com/design/Ans25et1qA09XsDzgp1mRL/BiClean--redesign-?node-id=1063-6576&amp;t=gmFkfUAWW69k84Ri-1" TargetMode="External"/><Relationship Id="rId85" Type="http://schemas.openxmlformats.org/officeDocument/2006/relationships/hyperlink" Target="https://t.me/Ok_ida" TargetMode="External"/><Relationship Id="rId88" Type="http://schemas.openxmlformats.org/officeDocument/2006/relationships/hyperlink" Target="https://docs.google.com/document/d/1xeIyHuOuy_S1GHJH1uYUNuyPdE7T2X5g1lUyTr85knM/edit?tab=t.0" TargetMode="External"/><Relationship Id="rId87" Type="http://schemas.openxmlformats.org/officeDocument/2006/relationships/hyperlink" Target="https://t.me/kub_888" TargetMode="External"/><Relationship Id="rId89" Type="http://schemas.openxmlformats.org/officeDocument/2006/relationships/hyperlink" Target="https://www.figma.com/design/7MYKejKLsWhKkvfRIICHbv/%D0%A3%D0%BC%D0%B0%D0%B9?node-id=43-6&amp;p=f&amp;t=Frw3n7qr7UPxMFaN-0" TargetMode="External"/><Relationship Id="rId80" Type="http://schemas.openxmlformats.org/officeDocument/2006/relationships/hyperlink" Target="https://t.me/hhhello12" TargetMode="External"/><Relationship Id="rId82" Type="http://schemas.openxmlformats.org/officeDocument/2006/relationships/hyperlink" Target="https://www.figma.com/design/7CRsCUn5rgIjoeTI04HacM/Enactus?node-id=1-24&amp;p=f&amp;t=sRhkINGdgi9YoJM2-0" TargetMode="External"/><Relationship Id="rId81" Type="http://schemas.openxmlformats.org/officeDocument/2006/relationships/hyperlink" Target="https://docs.google.com/document/d/1gDojAfHzzeA-W2F_XYXRakAYp8jm71SMvW1S3doW_BQ/edit?usp=sharing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docs.google.com/spreadsheets/u/0/d/1l4LHVtjvYJdp6RZnfkQTFO3Uy5mr7cKp4ByG6B-s1Ko/edit" TargetMode="External"/><Relationship Id="rId3" Type="http://schemas.openxmlformats.org/officeDocument/2006/relationships/hyperlink" Target="https://docs.google.com/spreadsheets/u/0/d/1UPVN4X1oe38UFLfOxnc6bX1EAD0Hc8Qwha6BaPCvzZY/edit" TargetMode="External"/><Relationship Id="rId4" Type="http://schemas.openxmlformats.org/officeDocument/2006/relationships/hyperlink" Target="https://docs.google.com/spreadsheets/u/0/d/12_bzbKNhXQ5Shys14l8zMEOjvdVWwZLPdQkDGUx8_V8/edit" TargetMode="External"/><Relationship Id="rId9" Type="http://schemas.openxmlformats.org/officeDocument/2006/relationships/hyperlink" Target="https://t.me/SaltanatSharshenbaeva" TargetMode="External"/><Relationship Id="rId5" Type="http://schemas.openxmlformats.org/officeDocument/2006/relationships/hyperlink" Target="https://docs.google.com/document/d/1wkWEs0edV3XsZ3kn4XJfPkwibFkzIiKAs9ubW7M8hXE/edit?usp=sharing" TargetMode="External"/><Relationship Id="rId6" Type="http://schemas.openxmlformats.org/officeDocument/2006/relationships/hyperlink" Target="https://www.figma.com/design/IaDKdzfGVBmppfDH0Hxo8g/Technowomen?node-id=0-1&amp;p=f&amp;t=bwPUR2LRz7cQPrpS-0" TargetMode="External"/><Relationship Id="rId7" Type="http://schemas.openxmlformats.org/officeDocument/2006/relationships/hyperlink" Target="https://technowoman.geekspro.kg/" TargetMode="External"/><Relationship Id="rId8" Type="http://schemas.openxmlformats.org/officeDocument/2006/relationships/hyperlink" Target="https://gitlab.geeks.kg/technowoman" TargetMode="External"/><Relationship Id="rId73" Type="http://schemas.openxmlformats.org/officeDocument/2006/relationships/hyperlink" Target="https://gitlab.geeks.kg/logopark" TargetMode="External"/><Relationship Id="rId72" Type="http://schemas.openxmlformats.org/officeDocument/2006/relationships/hyperlink" Target="https://www.figma.com/design/yPL6VsCw7iLA4VDD99YRHD/Logo-Park?node-id=0-1&amp;t=OEFmNQ9jLgxIwH6P-1" TargetMode="External"/><Relationship Id="rId75" Type="http://schemas.openxmlformats.org/officeDocument/2006/relationships/hyperlink" Target="https://t.me/cholpones" TargetMode="External"/><Relationship Id="rId74" Type="http://schemas.openxmlformats.org/officeDocument/2006/relationships/hyperlink" Target="https://jira.geeks.kg/secure/RapidBoard.jspa?rapidView=406&amp;projectKey=LPARK&amp;view=planning.nodetail&amp;issueLimit=100" TargetMode="External"/><Relationship Id="rId77" Type="http://schemas.openxmlformats.org/officeDocument/2006/relationships/hyperlink" Target="https://www.figma.com/design/JoqNuSeS8mNsJeoDsZ32oG/Promontazh?node-id=0-1&amp;p=f&amp;t=Vs2f7H4Gwzobmlhh-0" TargetMode="External"/><Relationship Id="rId76" Type="http://schemas.openxmlformats.org/officeDocument/2006/relationships/hyperlink" Target="https://docs.google.com/document/d/1_7QXTykvlu02bVi4UKHYn9x7MZD6QVVCt3MYNnFZxdM/edit?tab=t.0" TargetMode="External"/><Relationship Id="rId79" Type="http://schemas.openxmlformats.org/officeDocument/2006/relationships/hyperlink" Target="https://jira.geeks.kg/secure/RapidBoard.jspa?rapidView=405&amp;projectKey=PROM&amp;view=planning.nodetail&amp;issueLimit=100" TargetMode="External"/><Relationship Id="rId78" Type="http://schemas.openxmlformats.org/officeDocument/2006/relationships/hyperlink" Target="https://gitlab.geeks.kg/Promontazh/" TargetMode="External"/><Relationship Id="rId71" Type="http://schemas.openxmlformats.org/officeDocument/2006/relationships/hyperlink" Target="https://docs.google.com/document/d/1YJ2jE1vPrmRXxMONvNPSwUan0ktVxi2y3W1yOO1jUxA/edit?usp=sharing" TargetMode="External"/><Relationship Id="rId70" Type="http://schemas.openxmlformats.org/officeDocument/2006/relationships/hyperlink" Target="https://t.me/ay1eda" TargetMode="External"/><Relationship Id="rId62" Type="http://schemas.openxmlformats.org/officeDocument/2006/relationships/hyperlink" Target="https://www.figma.com/design/br6VUFJdW2PfObb0hVj8iQ/%D0%9F%D1%80%D0%B8%D0%BB%D0%BE%D0%B6%D0%B5%D0%BD%D0%B8%D0%B5?node-id=2346-327&amp;p=f&amp;t=BzhZSWOOhMwHonQv-0" TargetMode="External"/><Relationship Id="rId61" Type="http://schemas.openxmlformats.org/officeDocument/2006/relationships/hyperlink" Target="https://docs.google.com/document/d/1_q4eQdS0XYz8DomOpajn40zo3lEAfJy6/edit" TargetMode="External"/><Relationship Id="rId64" Type="http://schemas.openxmlformats.org/officeDocument/2006/relationships/hyperlink" Target="https://jira.geeks.kg/secure/RapidBoard.jspa?rapidView=351&amp;projectKey=EK&amp;view=planning&amp;issueLimit=100" TargetMode="External"/><Relationship Id="rId63" Type="http://schemas.openxmlformats.org/officeDocument/2006/relationships/hyperlink" Target="https://gitlab.geeks.kg/eki-al" TargetMode="External"/><Relationship Id="rId66" Type="http://schemas.openxmlformats.org/officeDocument/2006/relationships/hyperlink" Target="https://docs.google.com/document/d/1TJ1xZwDZHl-1Zg3xIONnUTzx0nf4nhEw_dU0NwhVXH0/edit?tab=t.0" TargetMode="External"/><Relationship Id="rId65" Type="http://schemas.openxmlformats.org/officeDocument/2006/relationships/hyperlink" Target="https://t.me/kub_888" TargetMode="External"/><Relationship Id="rId68" Type="http://schemas.openxmlformats.org/officeDocument/2006/relationships/hyperlink" Target="https://gitlab.geeks.kg/GeeksProSite" TargetMode="External"/><Relationship Id="rId67" Type="http://schemas.openxmlformats.org/officeDocument/2006/relationships/hyperlink" Target="https://www.figma.com/design/mrSV4fD9iqL7BwZuahTW1y/%D0%A1%D0%B0%D0%B9%D1%82-GeeksPro?node-id=3272-19453&amp;t=czxq6sxVD3ybNCCe-0" TargetMode="External"/><Relationship Id="rId60" Type="http://schemas.openxmlformats.org/officeDocument/2006/relationships/hyperlink" Target="https://t.me/mega_e_kuba" TargetMode="External"/><Relationship Id="rId69" Type="http://schemas.openxmlformats.org/officeDocument/2006/relationships/hyperlink" Target="https://jira.geeks.kg/secure/RapidBoard.jspa?rapidView=354&amp;projectKey=GEEKSPRO&amp;view=planning.nodetail&amp;selectedIssue=GEEKSPRO-5&amp;issueLimit=100" TargetMode="External"/><Relationship Id="rId51" Type="http://schemas.openxmlformats.org/officeDocument/2006/relationships/hyperlink" Target="https://www.figma.com/design/2WxuisSn9kwD4qm3KtTaGH/Bestyle?node-id=1-3&amp;p=f&amp;t=E2R92UsSsxCvLTwt-0" TargetMode="External"/><Relationship Id="rId50" Type="http://schemas.openxmlformats.org/officeDocument/2006/relationships/hyperlink" Target="https://docs.google.com/document/d/1OupJsLWjU4A_PkA36va0Kmrctrq1HjRWSVWwasauv3A/edit?usp=sharing" TargetMode="External"/><Relationship Id="rId53" Type="http://schemas.openxmlformats.org/officeDocument/2006/relationships/hyperlink" Target="https://gitlab.geeks.kg/BeautyApp" TargetMode="External"/><Relationship Id="rId52" Type="http://schemas.openxmlformats.org/officeDocument/2006/relationships/hyperlink" Target="https://bestyle.geekspro.kg/" TargetMode="External"/><Relationship Id="rId55" Type="http://schemas.openxmlformats.org/officeDocument/2006/relationships/hyperlink" Target="https://t.me/blacklever" TargetMode="External"/><Relationship Id="rId54" Type="http://schemas.openxmlformats.org/officeDocument/2006/relationships/hyperlink" Target="https://jira.geeks.kg/projects/BES/summary" TargetMode="External"/><Relationship Id="rId57" Type="http://schemas.openxmlformats.org/officeDocument/2006/relationships/hyperlink" Target="https://nbkr.test.com.kg/" TargetMode="External"/><Relationship Id="rId56" Type="http://schemas.openxmlformats.org/officeDocument/2006/relationships/hyperlink" Target="https://www.figma.com/design/UYwoRnf7U6uuOKIG26aEdh/%D0%9D%D0%91-%D0%9A%D0%A0-%D0%90%D0%BB%D1%8B%D0%BA%D1%83%D0%BB-%D0%9E%D1%81%D0%BC%D0%BE%D0%BD%D0%BE%D0%B2?node-id=2-5&amp;p=f&amp;t=7uKrNVFmLdouWO9N-0" TargetMode="External"/><Relationship Id="rId59" Type="http://schemas.openxmlformats.org/officeDocument/2006/relationships/hyperlink" Target="https://jira.geeks.kg/secure/RapidBoard.jspa?rapidView=255&amp;projectKey=NBKR&amp;view=planning&amp;issueLimit=100" TargetMode="External"/><Relationship Id="rId58" Type="http://schemas.openxmlformats.org/officeDocument/2006/relationships/hyperlink" Target="http://gitlab.geeks.kg/nbkr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emilishenbekovich/" TargetMode="External"/><Relationship Id="rId2" Type="http://schemas.openxmlformats.org/officeDocument/2006/relationships/hyperlink" Target="https://t.me/b1llolov1ch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mailto:bkulukeeva1@gmail.com" TargetMode="External"/><Relationship Id="rId2" Type="http://schemas.openxmlformats.org/officeDocument/2006/relationships/hyperlink" Target="mailto:genij8901@gmail.com" TargetMode="External"/><Relationship Id="rId3" Type="http://schemas.openxmlformats.org/officeDocument/2006/relationships/hyperlink" Target="mailto:altunai2009@icloud.com" TargetMode="External"/><Relationship Id="rId4" Type="http://schemas.openxmlformats.org/officeDocument/2006/relationships/hyperlink" Target="mailto:broassassin932@gmail.com" TargetMode="External"/><Relationship Id="rId9" Type="http://schemas.openxmlformats.org/officeDocument/2006/relationships/drawing" Target="../drawings/drawing18.xml"/><Relationship Id="rId5" Type="http://schemas.openxmlformats.org/officeDocument/2006/relationships/hyperlink" Target="mailto:tsstark225@gmail.com" TargetMode="External"/><Relationship Id="rId6" Type="http://schemas.openxmlformats.org/officeDocument/2006/relationships/hyperlink" Target="mailto:messitopgoat@gmail.com" TargetMode="External"/><Relationship Id="rId7" Type="http://schemas.openxmlformats.org/officeDocument/2006/relationships/hyperlink" Target="mailto:tazhibaeva.raikhan@gmail.com" TargetMode="External"/><Relationship Id="rId8" Type="http://schemas.openxmlformats.org/officeDocument/2006/relationships/hyperlink" Target="mailto:m4413626@gmail.com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5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3" max="3" width="21.38"/>
    <col customWidth="1" min="5" max="5" width="16.75"/>
    <col customWidth="1" min="8" max="8" width="18.25"/>
  </cols>
  <sheetData>
    <row r="1">
      <c r="B1" s="4" t="s">
        <v>0</v>
      </c>
      <c r="C1" s="6" t="s">
        <v>1</v>
      </c>
      <c r="D1" s="6" t="s">
        <v>2</v>
      </c>
      <c r="E1" s="9" t="s">
        <v>3</v>
      </c>
      <c r="F1" s="9" t="s">
        <v>5</v>
      </c>
      <c r="G1" s="9" t="s">
        <v>6</v>
      </c>
      <c r="H1" s="9" t="s">
        <v>7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16" t="s">
        <v>12</v>
      </c>
      <c r="B2" s="9" t="s">
        <v>15</v>
      </c>
      <c r="C2" s="18" t="s">
        <v>19</v>
      </c>
      <c r="D2" s="11"/>
      <c r="E2" s="23">
        <v>46241.0</v>
      </c>
      <c r="F2" s="11">
        <v>10.0</v>
      </c>
      <c r="G2" s="11">
        <v>4.0</v>
      </c>
      <c r="H2" s="11">
        <v>4.0</v>
      </c>
    </row>
    <row r="3" ht="9.0" customHeight="1">
      <c r="A3" s="25"/>
      <c r="C3" s="27"/>
    </row>
    <row r="4">
      <c r="A4" s="25"/>
      <c r="B4" s="9" t="s">
        <v>25</v>
      </c>
      <c r="C4" s="18" t="s">
        <v>19</v>
      </c>
      <c r="D4" s="11">
        <v>60.0</v>
      </c>
      <c r="E4" s="29">
        <v>46231.0</v>
      </c>
      <c r="F4" s="11">
        <v>9.0</v>
      </c>
      <c r="G4" s="11">
        <v>4.0</v>
      </c>
      <c r="H4" s="30">
        <v>4.0</v>
      </c>
    </row>
    <row r="5">
      <c r="A5" s="25"/>
      <c r="B5" s="9" t="s">
        <v>25</v>
      </c>
      <c r="C5" s="18" t="s">
        <v>29</v>
      </c>
      <c r="D5" s="31"/>
      <c r="E5" s="31"/>
      <c r="F5" s="31"/>
      <c r="G5" s="11">
        <v>2.0</v>
      </c>
      <c r="H5" s="25"/>
    </row>
    <row r="6">
      <c r="A6" s="25"/>
      <c r="B6" s="9" t="s">
        <v>25</v>
      </c>
      <c r="C6" s="18" t="s">
        <v>32</v>
      </c>
      <c r="D6" s="7"/>
      <c r="E6" s="7"/>
      <c r="F6" s="7"/>
      <c r="G6" s="7"/>
      <c r="H6" s="25"/>
    </row>
    <row r="7">
      <c r="A7" s="25"/>
      <c r="B7" s="9" t="s">
        <v>25</v>
      </c>
      <c r="C7" s="18" t="s">
        <v>34</v>
      </c>
      <c r="D7" s="7"/>
      <c r="E7" s="7"/>
      <c r="F7" s="7"/>
      <c r="G7" s="7"/>
      <c r="H7" s="34"/>
    </row>
    <row r="8" ht="9.0" customHeight="1">
      <c r="A8" s="25"/>
      <c r="C8" s="27"/>
    </row>
    <row r="9">
      <c r="A9" s="25"/>
      <c r="B9" s="9" t="s">
        <v>39</v>
      </c>
      <c r="C9" s="18" t="s">
        <v>19</v>
      </c>
      <c r="D9" s="11" t="s">
        <v>42</v>
      </c>
      <c r="E9" s="29">
        <v>46220.0</v>
      </c>
      <c r="F9" s="11">
        <v>23.0</v>
      </c>
      <c r="G9" s="11">
        <v>10.0</v>
      </c>
      <c r="H9" s="30">
        <v>4.0</v>
      </c>
    </row>
    <row r="10">
      <c r="A10" s="25"/>
      <c r="B10" s="9" t="s">
        <v>39</v>
      </c>
      <c r="C10" s="18" t="s">
        <v>29</v>
      </c>
      <c r="D10" s="31"/>
      <c r="E10" s="31"/>
      <c r="F10" s="31"/>
      <c r="G10" s="11">
        <v>2.0</v>
      </c>
      <c r="H10" s="25"/>
    </row>
    <row r="11">
      <c r="A11" s="25"/>
      <c r="B11" s="9" t="s">
        <v>39</v>
      </c>
      <c r="C11" s="18" t="s">
        <v>32</v>
      </c>
      <c r="D11" s="7"/>
      <c r="E11" s="7"/>
      <c r="F11" s="7"/>
      <c r="G11" s="7"/>
      <c r="H11" s="25"/>
    </row>
    <row r="12">
      <c r="A12" s="25"/>
      <c r="B12" s="9" t="s">
        <v>39</v>
      </c>
      <c r="C12" s="18" t="s">
        <v>34</v>
      </c>
      <c r="D12" s="7"/>
      <c r="E12" s="7"/>
      <c r="F12" s="7"/>
      <c r="G12" s="7"/>
      <c r="H12" s="34"/>
    </row>
    <row r="13" ht="9.0" customHeight="1">
      <c r="A13" s="25"/>
      <c r="C13" s="27"/>
    </row>
    <row r="14">
      <c r="A14" s="25"/>
      <c r="B14" s="9" t="s">
        <v>64</v>
      </c>
      <c r="C14" s="18" t="s">
        <v>19</v>
      </c>
      <c r="D14" s="11" t="s">
        <v>66</v>
      </c>
      <c r="E14" s="29">
        <v>46223.0</v>
      </c>
      <c r="F14" s="11">
        <v>12.0</v>
      </c>
      <c r="G14" s="11">
        <v>6.0</v>
      </c>
      <c r="H14" s="30">
        <v>4.0</v>
      </c>
    </row>
    <row r="15">
      <c r="A15" s="25"/>
      <c r="B15" s="9" t="s">
        <v>64</v>
      </c>
      <c r="C15" s="18" t="s">
        <v>29</v>
      </c>
      <c r="D15" s="7"/>
      <c r="E15" s="7"/>
      <c r="F15" s="11"/>
      <c r="G15" s="11">
        <v>2.0</v>
      </c>
      <c r="H15" s="25"/>
    </row>
    <row r="16">
      <c r="A16" s="25"/>
      <c r="B16" s="9" t="s">
        <v>64</v>
      </c>
      <c r="C16" s="18" t="s">
        <v>32</v>
      </c>
      <c r="D16" s="7"/>
      <c r="E16" s="29">
        <v>46209.0</v>
      </c>
      <c r="F16" s="11">
        <v>5.0</v>
      </c>
      <c r="G16" s="11">
        <v>4.0</v>
      </c>
      <c r="H16" s="25"/>
    </row>
    <row r="17">
      <c r="A17" s="25"/>
      <c r="B17" s="9" t="s">
        <v>64</v>
      </c>
      <c r="C17" s="18" t="s">
        <v>34</v>
      </c>
      <c r="D17" s="7"/>
      <c r="E17" s="7"/>
      <c r="F17" s="7"/>
      <c r="G17" s="7"/>
      <c r="H17" s="34"/>
    </row>
    <row r="18" ht="9.0" customHeight="1">
      <c r="A18" s="25"/>
      <c r="C18" s="27"/>
    </row>
    <row r="19">
      <c r="A19" s="25"/>
      <c r="B19" s="9" t="s">
        <v>73</v>
      </c>
      <c r="C19" s="18" t="s">
        <v>19</v>
      </c>
      <c r="D19" s="11" t="s">
        <v>74</v>
      </c>
      <c r="E19" s="23">
        <v>46200.0</v>
      </c>
      <c r="F19" s="11">
        <v>7.0</v>
      </c>
      <c r="G19" s="11">
        <v>3.0</v>
      </c>
      <c r="H19" s="55" t="s">
        <v>75</v>
      </c>
    </row>
    <row r="20">
      <c r="A20" s="25"/>
      <c r="B20" s="9" t="s">
        <v>73</v>
      </c>
      <c r="C20" s="18" t="s">
        <v>29</v>
      </c>
      <c r="D20" s="31"/>
      <c r="E20" s="31"/>
      <c r="F20" s="31"/>
      <c r="G20" s="11">
        <v>1.0</v>
      </c>
      <c r="H20" s="25"/>
    </row>
    <row r="21">
      <c r="A21" s="25"/>
      <c r="B21" s="9" t="s">
        <v>73</v>
      </c>
      <c r="C21" s="18" t="s">
        <v>32</v>
      </c>
      <c r="D21" s="7"/>
      <c r="E21" s="7"/>
      <c r="F21" s="7"/>
      <c r="G21" s="7"/>
      <c r="H21" s="25"/>
    </row>
    <row r="22">
      <c r="A22" s="25"/>
      <c r="B22" s="9" t="s">
        <v>73</v>
      </c>
      <c r="C22" s="18" t="s">
        <v>34</v>
      </c>
      <c r="D22" s="7"/>
      <c r="E22" s="7"/>
      <c r="F22" s="7"/>
      <c r="G22" s="7"/>
      <c r="H22" s="34"/>
    </row>
    <row r="23" ht="9.0" customHeight="1">
      <c r="A23" s="25"/>
      <c r="C23" s="27"/>
    </row>
    <row r="24">
      <c r="A24" s="25"/>
      <c r="B24" s="9" t="s">
        <v>78</v>
      </c>
      <c r="C24" s="18" t="s">
        <v>19</v>
      </c>
      <c r="D24" s="11" t="s">
        <v>80</v>
      </c>
      <c r="E24" s="29">
        <v>46223.0</v>
      </c>
      <c r="F24" s="11">
        <v>15.0</v>
      </c>
      <c r="G24" s="11">
        <v>6.0</v>
      </c>
      <c r="H24" s="30">
        <v>4.0</v>
      </c>
    </row>
    <row r="25">
      <c r="A25" s="25"/>
      <c r="B25" s="9" t="s">
        <v>78</v>
      </c>
      <c r="C25" s="18" t="s">
        <v>29</v>
      </c>
      <c r="D25" s="7"/>
      <c r="E25" s="7"/>
      <c r="F25" s="7"/>
      <c r="G25" s="11">
        <v>2.0</v>
      </c>
      <c r="H25" s="25"/>
    </row>
    <row r="26">
      <c r="A26" s="25"/>
      <c r="B26" s="9" t="s">
        <v>78</v>
      </c>
      <c r="C26" s="18" t="s">
        <v>32</v>
      </c>
      <c r="D26" s="7"/>
      <c r="E26" s="7"/>
      <c r="F26" s="7"/>
      <c r="G26" s="7"/>
      <c r="H26" s="25"/>
    </row>
    <row r="27">
      <c r="A27" s="25"/>
      <c r="B27" s="9" t="s">
        <v>78</v>
      </c>
      <c r="C27" s="18" t="s">
        <v>34</v>
      </c>
      <c r="D27" s="7"/>
      <c r="E27" s="7"/>
      <c r="F27" s="7"/>
      <c r="G27" s="7"/>
      <c r="H27" s="34"/>
    </row>
    <row r="29">
      <c r="A29" s="16" t="s">
        <v>81</v>
      </c>
      <c r="B29" s="9" t="s">
        <v>15</v>
      </c>
      <c r="C29" s="18" t="s">
        <v>19</v>
      </c>
      <c r="D29" s="11"/>
      <c r="E29" s="23"/>
      <c r="F29" s="11"/>
      <c r="G29" s="11"/>
      <c r="H29" s="11"/>
    </row>
    <row r="30" ht="9.0" customHeight="1">
      <c r="A30" s="25"/>
      <c r="C30" s="27"/>
    </row>
    <row r="31">
      <c r="A31" s="25"/>
      <c r="B31" s="9" t="s">
        <v>25</v>
      </c>
      <c r="C31" s="18" t="s">
        <v>19</v>
      </c>
      <c r="D31" s="11"/>
      <c r="E31" s="29"/>
      <c r="F31" s="11"/>
      <c r="G31" s="11"/>
      <c r="H31" s="30"/>
    </row>
    <row r="32">
      <c r="A32" s="25"/>
      <c r="B32" s="9" t="s">
        <v>25</v>
      </c>
      <c r="C32" s="18" t="s">
        <v>29</v>
      </c>
      <c r="D32" s="31"/>
      <c r="E32" s="31"/>
      <c r="F32" s="31"/>
      <c r="G32" s="11"/>
      <c r="H32" s="25"/>
    </row>
    <row r="33">
      <c r="A33" s="25"/>
      <c r="B33" s="9" t="s">
        <v>25</v>
      </c>
      <c r="C33" s="18" t="s">
        <v>32</v>
      </c>
      <c r="D33" s="11" t="s">
        <v>90</v>
      </c>
      <c r="E33" s="29">
        <v>46242.0</v>
      </c>
      <c r="F33" s="7"/>
      <c r="G33" s="7"/>
      <c r="H33" s="25"/>
    </row>
    <row r="34">
      <c r="A34" s="25"/>
      <c r="B34" s="9" t="s">
        <v>25</v>
      </c>
      <c r="C34" s="18" t="s">
        <v>34</v>
      </c>
      <c r="D34" s="7"/>
      <c r="E34" s="7"/>
      <c r="F34" s="7"/>
      <c r="G34" s="7"/>
      <c r="H34" s="34"/>
    </row>
    <row r="35" ht="9.0" customHeight="1">
      <c r="A35" s="25"/>
      <c r="C35" s="27"/>
    </row>
    <row r="36">
      <c r="A36" s="25"/>
      <c r="B36" s="9" t="s">
        <v>39</v>
      </c>
      <c r="C36" s="18" t="s">
        <v>19</v>
      </c>
      <c r="D36" s="11"/>
      <c r="E36" s="29"/>
      <c r="F36" s="11"/>
      <c r="G36" s="11"/>
      <c r="H36" s="30"/>
      <c r="L36" s="66">
        <f>56</f>
        <v>56</v>
      </c>
      <c r="M36" s="66">
        <f>77-56</f>
        <v>21</v>
      </c>
      <c r="N36" s="4">
        <v>11.0</v>
      </c>
    </row>
    <row r="37">
      <c r="A37" s="25"/>
      <c r="B37" s="9" t="s">
        <v>39</v>
      </c>
      <c r="C37" s="18" t="s">
        <v>29</v>
      </c>
      <c r="D37" s="31"/>
      <c r="E37" s="31"/>
      <c r="F37" s="31"/>
      <c r="G37" s="11"/>
      <c r="H37" s="25"/>
    </row>
    <row r="38">
      <c r="A38" s="25"/>
      <c r="B38" s="9" t="s">
        <v>39</v>
      </c>
      <c r="C38" s="18" t="s">
        <v>32</v>
      </c>
      <c r="D38" s="11" t="s">
        <v>97</v>
      </c>
      <c r="E38" s="29">
        <v>46255.0</v>
      </c>
      <c r="F38" s="7"/>
      <c r="G38" s="7"/>
      <c r="H38" s="25"/>
    </row>
    <row r="39">
      <c r="A39" s="25"/>
      <c r="B39" s="9" t="s">
        <v>39</v>
      </c>
      <c r="C39" s="18" t="s">
        <v>34</v>
      </c>
      <c r="D39" s="7"/>
      <c r="E39" s="7"/>
      <c r="F39" s="7"/>
      <c r="G39" s="7"/>
      <c r="H39" s="34"/>
    </row>
    <row r="40" ht="9.0" customHeight="1">
      <c r="A40" s="25"/>
      <c r="C40" s="27"/>
    </row>
    <row r="41">
      <c r="A41" s="25"/>
      <c r="B41" s="9" t="s">
        <v>64</v>
      </c>
      <c r="C41" s="18" t="s">
        <v>19</v>
      </c>
      <c r="D41" s="11"/>
      <c r="E41" s="29"/>
      <c r="F41" s="11"/>
      <c r="G41" s="11"/>
      <c r="H41" s="30"/>
    </row>
    <row r="42">
      <c r="A42" s="25"/>
      <c r="B42" s="9" t="s">
        <v>64</v>
      </c>
      <c r="C42" s="18" t="s">
        <v>29</v>
      </c>
      <c r="D42" s="7"/>
      <c r="E42" s="7"/>
      <c r="F42" s="11"/>
      <c r="G42" s="11"/>
      <c r="H42" s="25"/>
    </row>
    <row r="43">
      <c r="A43" s="25"/>
      <c r="B43" s="9" t="s">
        <v>64</v>
      </c>
      <c r="C43" s="18" t="s">
        <v>32</v>
      </c>
      <c r="D43" s="7"/>
      <c r="E43" s="29"/>
      <c r="F43" s="11"/>
      <c r="G43" s="11"/>
      <c r="H43" s="25"/>
    </row>
    <row r="44">
      <c r="A44" s="25"/>
      <c r="B44" s="9" t="s">
        <v>64</v>
      </c>
      <c r="C44" s="18" t="s">
        <v>34</v>
      </c>
      <c r="D44" s="7"/>
      <c r="E44" s="7"/>
      <c r="F44" s="7"/>
      <c r="G44" s="7"/>
      <c r="H44" s="34"/>
    </row>
    <row r="45" ht="9.0" customHeight="1">
      <c r="A45" s="25"/>
      <c r="C45" s="27"/>
    </row>
    <row r="46">
      <c r="A46" s="25"/>
      <c r="B46" s="9" t="s">
        <v>73</v>
      </c>
      <c r="C46" s="18" t="s">
        <v>19</v>
      </c>
      <c r="D46" s="11"/>
      <c r="E46" s="23"/>
      <c r="F46" s="11"/>
      <c r="G46" s="11"/>
      <c r="H46" s="55"/>
    </row>
    <row r="47">
      <c r="A47" s="25"/>
      <c r="B47" s="9" t="s">
        <v>73</v>
      </c>
      <c r="C47" s="18" t="s">
        <v>29</v>
      </c>
      <c r="D47" s="31"/>
      <c r="E47" s="31"/>
      <c r="F47" s="31"/>
      <c r="G47" s="11"/>
      <c r="H47" s="25"/>
    </row>
    <row r="48">
      <c r="A48" s="25"/>
      <c r="B48" s="9" t="s">
        <v>73</v>
      </c>
      <c r="C48" s="18" t="s">
        <v>32</v>
      </c>
      <c r="D48" s="7"/>
      <c r="E48" s="7"/>
      <c r="F48" s="7"/>
      <c r="G48" s="7"/>
      <c r="H48" s="25"/>
    </row>
    <row r="49">
      <c r="A49" s="25"/>
      <c r="B49" s="9" t="s">
        <v>73</v>
      </c>
      <c r="C49" s="18" t="s">
        <v>34</v>
      </c>
      <c r="D49" s="7"/>
      <c r="E49" s="7"/>
      <c r="F49" s="7"/>
      <c r="G49" s="7"/>
      <c r="H49" s="34"/>
    </row>
    <row r="50" ht="9.0" customHeight="1">
      <c r="A50" s="25"/>
      <c r="C50" s="27"/>
    </row>
    <row r="51">
      <c r="A51" s="25"/>
      <c r="B51" s="9" t="s">
        <v>78</v>
      </c>
      <c r="C51" s="18" t="s">
        <v>19</v>
      </c>
      <c r="D51" s="11"/>
      <c r="E51" s="29"/>
      <c r="F51" s="11"/>
      <c r="G51" s="11"/>
      <c r="H51" s="30"/>
    </row>
    <row r="52">
      <c r="A52" s="25"/>
      <c r="B52" s="9" t="s">
        <v>78</v>
      </c>
      <c r="C52" s="18" t="s">
        <v>29</v>
      </c>
      <c r="D52" s="7"/>
      <c r="E52" s="7"/>
      <c r="F52" s="7"/>
      <c r="G52" s="11"/>
      <c r="H52" s="25"/>
    </row>
    <row r="53">
      <c r="A53" s="25"/>
      <c r="B53" s="9" t="s">
        <v>78</v>
      </c>
      <c r="C53" s="18" t="s">
        <v>32</v>
      </c>
      <c r="D53" s="7"/>
      <c r="E53" s="7"/>
      <c r="F53" s="7"/>
      <c r="G53" s="7"/>
      <c r="H53" s="25"/>
    </row>
    <row r="54">
      <c r="A54" s="25"/>
      <c r="B54" s="9" t="s">
        <v>78</v>
      </c>
      <c r="C54" s="18" t="s">
        <v>34</v>
      </c>
      <c r="D54" s="7"/>
      <c r="E54" s="7"/>
      <c r="F54" s="7"/>
      <c r="G54" s="7"/>
      <c r="H54" s="34"/>
    </row>
  </sheetData>
  <mergeCells count="12">
    <mergeCell ref="H31:H34"/>
    <mergeCell ref="H36:H39"/>
    <mergeCell ref="H41:H44"/>
    <mergeCell ref="H46:H49"/>
    <mergeCell ref="A2:A27"/>
    <mergeCell ref="H4:H7"/>
    <mergeCell ref="H9:H12"/>
    <mergeCell ref="H14:H17"/>
    <mergeCell ref="H19:H22"/>
    <mergeCell ref="H24:H27"/>
    <mergeCell ref="A29:A54"/>
    <mergeCell ref="H51:H54"/>
  </mergeCells>
  <dataValidations>
    <dataValidation type="list" allowBlank="1" showErrorMessage="1" sqref="B2 B4:B7 B9:B12 B14:B17 B19:B22 B24:B27 B29 B31:B34 B36:B39 B41:B44 B46:B49 B51:B54">
      <formula1>"-------,UX/UI,Backend,Mobile,Frontend,Testing,PM"</formula1>
    </dataValidation>
    <dataValidation type="list" allowBlank="1" showErrorMessage="1" sqref="C4:C7 C9:C12 C14:C17 C19:C22 C24:C27 C31:C34 C36:C39 C41:C44 C46:C49 C51:C54">
      <formula1>"-----------------,Бишкекский ,Ошский,Внешние (Биш),Внешние (Ош)"</formula1>
    </dataValidation>
    <dataValidation type="list" allowBlank="1" showErrorMessage="1" sqref="C2 C29">
      <formula1>"-----------------,Бишкекский ,Ошский филиал,Внешние стажёры(Ош)"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7.63"/>
    <col customWidth="1" min="3" max="3" width="8.0"/>
    <col customWidth="1" min="4" max="4" width="10.0"/>
    <col customWidth="1" min="5" max="5" width="6.75"/>
    <col customWidth="1" min="6" max="6" width="7.5"/>
    <col customWidth="1" min="7" max="7" width="7.13"/>
    <col customWidth="1" min="8" max="8" width="11.13"/>
    <col customWidth="1" min="9" max="9" width="12.88"/>
  </cols>
  <sheetData>
    <row r="2">
      <c r="B2" s="2"/>
      <c r="C2" s="2"/>
      <c r="D2" s="2"/>
      <c r="E2" s="2"/>
      <c r="F2" s="2"/>
      <c r="G2" s="2"/>
    </row>
    <row r="3">
      <c r="B3" s="2"/>
      <c r="C3" s="7"/>
      <c r="D3" s="11" t="s">
        <v>4</v>
      </c>
      <c r="E3" s="7"/>
      <c r="F3" s="7"/>
      <c r="G3" s="2"/>
    </row>
    <row r="4">
      <c r="B4" s="2"/>
      <c r="C4" s="11" t="s">
        <v>8</v>
      </c>
      <c r="D4" s="11">
        <v>77.0</v>
      </c>
      <c r="E4" s="11">
        <v>75.0</v>
      </c>
      <c r="F4" s="11">
        <v>2.0</v>
      </c>
      <c r="G4" s="2"/>
    </row>
    <row r="5">
      <c r="B5" s="2"/>
      <c r="C5" s="11" t="s">
        <v>9</v>
      </c>
      <c r="D5" s="7"/>
      <c r="E5" s="7"/>
      <c r="F5" s="7"/>
      <c r="G5" s="2"/>
    </row>
    <row r="6" ht="14.25" customHeight="1">
      <c r="B6" s="2"/>
      <c r="C6" s="2"/>
      <c r="D6" s="2"/>
      <c r="E6" s="2"/>
      <c r="F6" s="2"/>
      <c r="G6" s="2"/>
    </row>
    <row r="7">
      <c r="B7" s="2"/>
      <c r="C7" s="7"/>
      <c r="D7" s="11" t="s">
        <v>10</v>
      </c>
      <c r="E7" s="11" t="s">
        <v>11</v>
      </c>
      <c r="F7" s="7"/>
      <c r="G7" s="2"/>
    </row>
    <row r="8">
      <c r="B8" s="2"/>
      <c r="C8" s="11" t="s">
        <v>13</v>
      </c>
      <c r="D8" s="11">
        <v>8.0</v>
      </c>
      <c r="E8" s="7"/>
      <c r="F8" s="7"/>
      <c r="G8" s="2"/>
    </row>
    <row r="9">
      <c r="B9" s="2"/>
      <c r="C9" s="11" t="s">
        <v>14</v>
      </c>
      <c r="D9" s="11">
        <v>4.0</v>
      </c>
      <c r="E9" s="11">
        <v>6.0</v>
      </c>
      <c r="F9" s="7"/>
      <c r="G9" s="2"/>
    </row>
    <row r="10">
      <c r="B10" s="2"/>
      <c r="C10" s="11" t="s">
        <v>12</v>
      </c>
      <c r="D10" s="11">
        <v>2.0</v>
      </c>
      <c r="E10" s="7"/>
      <c r="F10" s="7"/>
      <c r="G10" s="2"/>
    </row>
    <row r="11">
      <c r="B11" s="2"/>
      <c r="G11" s="2"/>
    </row>
    <row r="12">
      <c r="B12" s="2"/>
      <c r="C12" s="11" t="s">
        <v>16</v>
      </c>
      <c r="D12" s="11" t="s">
        <v>18</v>
      </c>
      <c r="E12" s="7"/>
      <c r="F12" s="7"/>
      <c r="G12" s="2"/>
    </row>
    <row r="13" ht="18.75" customHeight="1">
      <c r="A13" s="19"/>
      <c r="B13" s="20"/>
      <c r="C13" s="20"/>
      <c r="D13" s="20"/>
      <c r="E13" s="21" t="s">
        <v>22</v>
      </c>
      <c r="F13" s="20"/>
      <c r="G13" s="20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B14" s="2"/>
      <c r="C14" s="7"/>
      <c r="D14" s="26" t="s">
        <v>23</v>
      </c>
      <c r="E14" s="7"/>
      <c r="F14" s="7"/>
      <c r="G14" s="2"/>
    </row>
    <row r="15">
      <c r="B15" s="2"/>
      <c r="C15" s="11" t="s">
        <v>13</v>
      </c>
      <c r="D15" s="11">
        <v>20000.0</v>
      </c>
      <c r="E15" s="11">
        <v>0.0</v>
      </c>
      <c r="F15" s="11">
        <v>20000.0</v>
      </c>
      <c r="G15" s="2"/>
    </row>
    <row r="16">
      <c r="B16" s="2"/>
      <c r="C16" s="11" t="s">
        <v>14</v>
      </c>
      <c r="D16" s="11">
        <v>25000.0</v>
      </c>
      <c r="E16" s="11">
        <v>5000.0</v>
      </c>
      <c r="F16" s="7">
        <f>D16+E16</f>
        <v>30000</v>
      </c>
      <c r="G16" s="2"/>
    </row>
    <row r="17">
      <c r="B17" s="2"/>
      <c r="C17" s="11" t="s">
        <v>12</v>
      </c>
      <c r="D17" s="11">
        <v>10000.0</v>
      </c>
      <c r="E17" s="11">
        <v>25000.0</v>
      </c>
      <c r="F17" s="11">
        <v>35000.0</v>
      </c>
      <c r="G17" s="2"/>
    </row>
    <row r="18" ht="12.0" customHeight="1">
      <c r="B18" s="2"/>
      <c r="C18" s="2"/>
      <c r="D18" s="2"/>
      <c r="E18" s="2"/>
      <c r="F18" s="2"/>
      <c r="G18" s="2"/>
    </row>
    <row r="19">
      <c r="B19" s="2"/>
      <c r="C19" s="7"/>
      <c r="D19" s="7">
        <f t="shared" ref="D19:E19" si="1">SUM(D14:D17)</f>
        <v>55000</v>
      </c>
      <c r="E19" s="7">
        <f t="shared" si="1"/>
        <v>30000</v>
      </c>
      <c r="F19" s="7">
        <f>SUM(D19:E19)</f>
        <v>85000</v>
      </c>
      <c r="G19" s="2"/>
    </row>
    <row r="20">
      <c r="B20" s="2"/>
      <c r="C20" s="2"/>
      <c r="D20" s="2"/>
      <c r="E20" s="2"/>
      <c r="F20" s="2"/>
      <c r="G20" s="2"/>
    </row>
    <row r="21" ht="26.25" customHeight="1"/>
    <row r="22" ht="24.75" customHeight="1">
      <c r="B22" s="39"/>
      <c r="C22" s="39"/>
      <c r="D22" s="39"/>
      <c r="E22" s="39"/>
      <c r="F22" s="39"/>
      <c r="G22" s="39"/>
    </row>
    <row r="23" ht="23.25" customHeight="1">
      <c r="B23" s="41"/>
      <c r="C23" s="41"/>
      <c r="D23" s="41"/>
      <c r="E23" s="41"/>
      <c r="F23" s="41"/>
      <c r="G23" s="41"/>
    </row>
    <row r="24" ht="24.0" customHeight="1">
      <c r="B24" s="39"/>
      <c r="C24" s="39"/>
      <c r="D24" s="39"/>
      <c r="E24" s="39"/>
      <c r="F24" s="39"/>
      <c r="G24" s="39"/>
    </row>
    <row r="25" ht="30.75" customHeight="1">
      <c r="B25" s="41"/>
      <c r="C25" s="41"/>
      <c r="D25" s="41"/>
      <c r="E25" s="41"/>
      <c r="F25" s="41"/>
      <c r="G25" s="41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.38"/>
    <col customWidth="1" min="2" max="2" width="11.13"/>
    <col customWidth="1" min="3" max="3" width="2.0"/>
    <col customWidth="1" min="4" max="4" width="17.38"/>
    <col customWidth="1" min="5" max="5" width="19.25"/>
    <col customWidth="1" min="6" max="6" width="2.0"/>
    <col customWidth="1" min="7" max="7" width="21.75"/>
    <col customWidth="1" min="8" max="8" width="17.88"/>
    <col customWidth="1" min="9" max="9" width="1.88"/>
    <col customWidth="1" min="10" max="10" width="19.75"/>
    <col customWidth="1" min="11" max="11" width="19.13"/>
    <col customWidth="1" min="12" max="12" width="2.63"/>
    <col customWidth="1" min="13" max="13" width="14.63"/>
    <col customWidth="1" min="14" max="14" width="14.13"/>
    <col customWidth="1" min="15" max="15" width="2.25"/>
    <col customWidth="1" min="16" max="16" width="21.88"/>
    <col customWidth="1" min="17" max="17" width="24.25"/>
    <col customWidth="1" min="18" max="18" width="2.13"/>
    <col customWidth="1" min="19" max="19" width="11.63"/>
    <col customWidth="1" min="20" max="20" width="11.38"/>
    <col customWidth="1" min="21" max="21" width="14.13"/>
    <col customWidth="1" min="22" max="22" width="2.25"/>
    <col customWidth="1" min="23" max="25" width="14.25"/>
    <col customWidth="1" min="26" max="26" width="2.25"/>
    <col customWidth="1" min="27" max="28" width="17.13"/>
  </cols>
  <sheetData>
    <row r="1">
      <c r="A1" s="1"/>
      <c r="B1" s="1"/>
      <c r="C1" s="3"/>
      <c r="D1" s="5"/>
      <c r="E1" s="5"/>
      <c r="F1" s="8"/>
      <c r="G1" s="10"/>
      <c r="H1" s="10"/>
      <c r="I1" s="8"/>
      <c r="J1" s="5"/>
      <c r="K1" s="5"/>
      <c r="L1" s="3"/>
      <c r="M1" s="13"/>
      <c r="N1" s="13"/>
      <c r="O1" s="14"/>
      <c r="P1" s="13"/>
      <c r="Q1" s="13"/>
      <c r="R1" s="14"/>
      <c r="S1" s="13"/>
      <c r="T1" s="13"/>
      <c r="U1" s="13"/>
      <c r="V1" s="3"/>
      <c r="W1" s="15"/>
      <c r="X1" s="15"/>
      <c r="Y1" s="15"/>
      <c r="Z1" s="15"/>
      <c r="AA1" s="15"/>
      <c r="AB1" s="15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7" t="s">
        <v>17</v>
      </c>
      <c r="B2" s="17" t="s">
        <v>20</v>
      </c>
      <c r="C2" s="3"/>
      <c r="D2" s="22" t="s">
        <v>21</v>
      </c>
      <c r="E2" s="24"/>
      <c r="F2" s="3"/>
      <c r="G2" s="28" t="s">
        <v>24</v>
      </c>
      <c r="H2" s="24"/>
      <c r="I2" s="3"/>
      <c r="J2" s="22" t="s">
        <v>26</v>
      </c>
      <c r="K2" s="24"/>
      <c r="L2" s="3"/>
      <c r="M2" s="22" t="s">
        <v>27</v>
      </c>
      <c r="N2" s="24"/>
      <c r="O2" s="3"/>
      <c r="P2" s="22" t="s">
        <v>28</v>
      </c>
      <c r="Q2" s="24"/>
      <c r="R2" s="3"/>
      <c r="S2" s="22" t="s">
        <v>30</v>
      </c>
      <c r="T2" s="32"/>
      <c r="U2" s="24"/>
      <c r="V2" s="3"/>
      <c r="W2" s="22" t="s">
        <v>31</v>
      </c>
      <c r="X2" s="32"/>
      <c r="Y2" s="24"/>
      <c r="Z2" s="3"/>
      <c r="AA2" s="22" t="s">
        <v>33</v>
      </c>
      <c r="AB2" s="24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3"/>
      <c r="B3" s="33"/>
      <c r="C3" s="3"/>
      <c r="D3" s="17" t="s">
        <v>35</v>
      </c>
      <c r="E3" s="17" t="s">
        <v>36</v>
      </c>
      <c r="F3" s="3"/>
      <c r="G3" s="17" t="s">
        <v>37</v>
      </c>
      <c r="H3" s="36" t="s">
        <v>38</v>
      </c>
      <c r="I3" s="3"/>
      <c r="J3" s="17" t="s">
        <v>40</v>
      </c>
      <c r="K3" s="17" t="s">
        <v>41</v>
      </c>
      <c r="L3" s="3"/>
      <c r="M3" s="17" t="s">
        <v>43</v>
      </c>
      <c r="N3" s="36" t="s">
        <v>45</v>
      </c>
      <c r="O3" s="3"/>
      <c r="P3" s="17" t="s">
        <v>46</v>
      </c>
      <c r="Q3" s="33" t="s">
        <v>47</v>
      </c>
      <c r="R3" s="3"/>
      <c r="S3" s="17" t="s">
        <v>49</v>
      </c>
      <c r="T3" s="17" t="s">
        <v>50</v>
      </c>
      <c r="U3" s="17" t="s">
        <v>51</v>
      </c>
      <c r="V3" s="3"/>
      <c r="W3" s="17" t="s">
        <v>52</v>
      </c>
      <c r="X3" s="17" t="s">
        <v>54</v>
      </c>
      <c r="Y3" s="17" t="s">
        <v>55</v>
      </c>
      <c r="Z3" s="3"/>
      <c r="AA3" s="17" t="s">
        <v>56</v>
      </c>
      <c r="AB3" s="17" t="s">
        <v>58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>
      <c r="A4" s="40">
        <v>1.0</v>
      </c>
      <c r="B4" s="42" t="s">
        <v>13</v>
      </c>
      <c r="C4" s="44"/>
      <c r="D4" s="45">
        <v>8.0</v>
      </c>
      <c r="E4" s="45">
        <v>2.0</v>
      </c>
      <c r="F4" s="47"/>
      <c r="G4" s="48"/>
      <c r="H4" s="50">
        <v>1.0</v>
      </c>
      <c r="I4" s="51"/>
      <c r="J4" s="48"/>
      <c r="K4" s="53"/>
      <c r="L4" s="51"/>
      <c r="M4" s="48"/>
      <c r="N4" s="54"/>
      <c r="O4" s="51"/>
      <c r="P4" s="48"/>
      <c r="Q4" s="48"/>
      <c r="R4" s="47"/>
      <c r="S4" s="48"/>
      <c r="T4" s="48"/>
      <c r="U4" s="48"/>
      <c r="V4" s="51"/>
      <c r="W4" s="48"/>
      <c r="X4" s="48"/>
      <c r="Y4" s="48"/>
      <c r="Z4" s="51"/>
      <c r="AA4" s="48"/>
      <c r="AB4" s="53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</row>
    <row r="5">
      <c r="A5" s="40">
        <v>2.0</v>
      </c>
      <c r="B5" s="42" t="s">
        <v>14</v>
      </c>
      <c r="C5" s="44"/>
      <c r="D5" s="45">
        <v>9.0</v>
      </c>
      <c r="E5" s="45">
        <v>4.0</v>
      </c>
      <c r="F5" s="47"/>
      <c r="G5" s="45">
        <v>2.0</v>
      </c>
      <c r="H5" s="50">
        <v>1.0</v>
      </c>
      <c r="I5" s="51"/>
      <c r="J5" s="45">
        <v>1.0</v>
      </c>
      <c r="K5" s="53"/>
      <c r="L5" s="51"/>
      <c r="M5" s="48"/>
      <c r="N5" s="54"/>
      <c r="O5" s="51"/>
      <c r="P5" s="48"/>
      <c r="Q5" s="48"/>
      <c r="R5" s="47"/>
      <c r="S5" s="48"/>
      <c r="T5" s="48"/>
      <c r="U5" s="48"/>
      <c r="V5" s="51"/>
      <c r="W5" s="48"/>
      <c r="X5" s="48"/>
      <c r="Y5" s="48"/>
      <c r="Z5" s="51"/>
      <c r="AA5" s="48"/>
      <c r="AB5" s="53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</row>
    <row r="6">
      <c r="A6" s="40">
        <v>3.0</v>
      </c>
      <c r="B6" s="42" t="s">
        <v>77</v>
      </c>
      <c r="C6" s="44"/>
      <c r="D6" s="45">
        <v>10.0</v>
      </c>
      <c r="E6" s="45">
        <v>2.0</v>
      </c>
      <c r="F6" s="47"/>
      <c r="G6" s="48"/>
      <c r="H6" s="54"/>
      <c r="I6" s="51"/>
      <c r="J6" s="48"/>
      <c r="K6" s="53"/>
      <c r="L6" s="51"/>
      <c r="M6" s="48"/>
      <c r="N6" s="54"/>
      <c r="O6" s="51"/>
      <c r="P6" s="48"/>
      <c r="Q6" s="48"/>
      <c r="R6" s="47"/>
      <c r="S6" s="48"/>
      <c r="T6" s="48"/>
      <c r="U6" s="48"/>
      <c r="V6" s="51"/>
      <c r="W6" s="48"/>
      <c r="X6" s="48"/>
      <c r="Y6" s="48"/>
      <c r="Z6" s="51"/>
      <c r="AA6" s="48"/>
      <c r="AB6" s="53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</row>
    <row r="7">
      <c r="A7" s="40">
        <v>4.0</v>
      </c>
      <c r="B7" s="42" t="s">
        <v>81</v>
      </c>
      <c r="C7" s="44"/>
      <c r="D7" s="48"/>
      <c r="E7" s="48"/>
      <c r="F7" s="47"/>
      <c r="G7" s="48"/>
      <c r="H7" s="54"/>
      <c r="I7" s="51"/>
      <c r="J7" s="48"/>
      <c r="K7" s="53"/>
      <c r="L7" s="51"/>
      <c r="M7" s="48"/>
      <c r="N7" s="54"/>
      <c r="O7" s="51"/>
      <c r="P7" s="48"/>
      <c r="Q7" s="48"/>
      <c r="R7" s="47"/>
      <c r="S7" s="48"/>
      <c r="T7" s="48"/>
      <c r="U7" s="48"/>
      <c r="V7" s="51"/>
      <c r="W7" s="48"/>
      <c r="X7" s="48"/>
      <c r="Y7" s="48"/>
      <c r="Z7" s="51"/>
      <c r="AA7" s="48"/>
      <c r="AB7" s="53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</row>
    <row r="8">
      <c r="A8" s="40">
        <v>5.0</v>
      </c>
      <c r="B8" s="62" t="s">
        <v>83</v>
      </c>
      <c r="C8" s="56"/>
      <c r="D8" s="53"/>
      <c r="E8" s="53"/>
      <c r="F8" s="51"/>
      <c r="G8" s="53"/>
      <c r="H8" s="63"/>
      <c r="I8" s="51"/>
      <c r="J8" s="53"/>
      <c r="K8" s="53"/>
      <c r="L8" s="51"/>
      <c r="M8" s="53"/>
      <c r="N8" s="63"/>
      <c r="O8" s="51"/>
      <c r="P8" s="53"/>
      <c r="Q8" s="53"/>
      <c r="R8" s="51"/>
      <c r="S8" s="53"/>
      <c r="T8" s="53"/>
      <c r="U8" s="53"/>
      <c r="V8" s="51"/>
      <c r="W8" s="53"/>
      <c r="X8" s="53"/>
      <c r="Y8" s="53"/>
      <c r="Z8" s="51"/>
      <c r="AA8" s="53"/>
      <c r="AB8" s="53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</row>
    <row r="9">
      <c r="A9" s="40">
        <v>6.0</v>
      </c>
      <c r="B9" s="62" t="s">
        <v>86</v>
      </c>
      <c r="C9" s="56"/>
      <c r="D9" s="53"/>
      <c r="E9" s="53"/>
      <c r="F9" s="51"/>
      <c r="G9" s="53"/>
      <c r="H9" s="63"/>
      <c r="I9" s="51"/>
      <c r="J9" s="53"/>
      <c r="K9" s="53"/>
      <c r="L9" s="51"/>
      <c r="M9" s="53"/>
      <c r="N9" s="63"/>
      <c r="O9" s="51"/>
      <c r="P9" s="53"/>
      <c r="Q9" s="53"/>
      <c r="R9" s="51"/>
      <c r="S9" s="53"/>
      <c r="T9" s="53"/>
      <c r="U9" s="53"/>
      <c r="V9" s="51"/>
      <c r="W9" s="53"/>
      <c r="X9" s="53"/>
      <c r="Y9" s="53"/>
      <c r="Z9" s="51"/>
      <c r="AA9" s="53"/>
      <c r="AB9" s="53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</row>
    <row r="10">
      <c r="A10" s="40">
        <v>7.0</v>
      </c>
      <c r="B10" s="62" t="s">
        <v>89</v>
      </c>
      <c r="C10" s="56"/>
      <c r="D10" s="53"/>
      <c r="E10" s="53"/>
      <c r="F10" s="51"/>
      <c r="G10" s="53"/>
      <c r="H10" s="63"/>
      <c r="I10" s="51"/>
      <c r="J10" s="53"/>
      <c r="K10" s="53"/>
      <c r="L10" s="51"/>
      <c r="M10" s="53"/>
      <c r="N10" s="63"/>
      <c r="O10" s="51"/>
      <c r="P10" s="53"/>
      <c r="Q10" s="53"/>
      <c r="R10" s="51"/>
      <c r="S10" s="53"/>
      <c r="T10" s="53"/>
      <c r="U10" s="53"/>
      <c r="V10" s="51"/>
      <c r="W10" s="53"/>
      <c r="X10" s="53"/>
      <c r="Y10" s="53"/>
      <c r="Z10" s="51"/>
      <c r="AA10" s="53"/>
      <c r="AB10" s="53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</row>
    <row r="11">
      <c r="A11" s="40">
        <v>8.0</v>
      </c>
      <c r="B11" s="62" t="s">
        <v>92</v>
      </c>
      <c r="C11" s="56"/>
      <c r="D11" s="53"/>
      <c r="E11" s="53"/>
      <c r="F11" s="51"/>
      <c r="G11" s="53"/>
      <c r="H11" s="63"/>
      <c r="I11" s="51"/>
      <c r="J11" s="53"/>
      <c r="K11" s="53"/>
      <c r="L11" s="51"/>
      <c r="M11" s="53"/>
      <c r="N11" s="63"/>
      <c r="O11" s="51"/>
      <c r="P11" s="53"/>
      <c r="Q11" s="53"/>
      <c r="R11" s="51"/>
      <c r="S11" s="53"/>
      <c r="T11" s="53"/>
      <c r="U11" s="53"/>
      <c r="V11" s="51"/>
      <c r="W11" s="53"/>
      <c r="X11" s="53"/>
      <c r="Y11" s="53"/>
      <c r="Z11" s="51"/>
      <c r="AA11" s="53"/>
      <c r="AB11" s="53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</row>
    <row r="12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</row>
    <row r="13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67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</row>
    <row r="14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67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</row>
    <row r="1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</row>
    <row r="16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</row>
    <row r="17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</row>
    <row r="18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</row>
    <row r="19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</row>
    <row r="20">
      <c r="A20" s="56"/>
      <c r="B20" s="56"/>
      <c r="C20" s="56"/>
      <c r="D20" s="56"/>
      <c r="E20" s="40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</row>
    <row r="2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</row>
    <row r="22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</row>
    <row r="23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</row>
    <row r="24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</row>
    <row r="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</row>
    <row r="26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</row>
    <row r="27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</row>
    <row r="28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</row>
    <row r="29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</row>
    <row r="30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</row>
    <row r="3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</row>
    <row r="3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</row>
    <row r="33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</row>
    <row r="34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</row>
    <row r="35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</row>
    <row r="36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</row>
    <row r="37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</row>
    <row r="38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</row>
    <row r="39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</row>
    <row r="40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</row>
    <row r="4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</row>
    <row r="4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</row>
    <row r="43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</row>
    <row r="44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</row>
    <row r="4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</row>
    <row r="46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</row>
    <row r="48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</row>
    <row r="49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</row>
    <row r="50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</row>
    <row r="5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</row>
    <row r="5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</row>
    <row r="53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</row>
    <row r="54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</row>
    <row r="5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</row>
    <row r="56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</row>
    <row r="57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</row>
    <row r="58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</row>
    <row r="59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</row>
    <row r="60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</row>
    <row r="6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</row>
    <row r="6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</row>
    <row r="6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</row>
    <row r="6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</row>
    <row r="68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</row>
    <row r="69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</row>
    <row r="70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</row>
    <row r="7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</row>
    <row r="7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</row>
    <row r="7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</row>
    <row r="7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</row>
    <row r="7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</row>
    <row r="76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</row>
    <row r="78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</row>
    <row r="79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</row>
    <row r="80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</row>
    <row r="8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</row>
    <row r="8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</row>
    <row r="8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</row>
    <row r="8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</row>
    <row r="89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</row>
    <row r="90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</row>
    <row r="9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</row>
    <row r="9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</row>
    <row r="9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</row>
    <row r="9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</row>
    <row r="96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</row>
    <row r="97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</row>
    <row r="98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</row>
    <row r="99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</row>
    <row r="100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</row>
    <row r="10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</row>
    <row r="10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</row>
    <row r="10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</row>
    <row r="104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</row>
    <row r="10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</row>
    <row r="107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</row>
    <row r="108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</row>
    <row r="109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</row>
    <row r="110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</row>
    <row r="11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</row>
    <row r="11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</row>
    <row r="11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</row>
    <row r="11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</row>
    <row r="1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</row>
    <row r="116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</row>
    <row r="117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</row>
    <row r="118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</row>
    <row r="1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</row>
    <row r="12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</row>
    <row r="12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</row>
    <row r="12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  <c r="AN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  <c r="AN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  <c r="AN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  <c r="AN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  <c r="AN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  <c r="AM1000" s="56"/>
      <c r="AN1000" s="56"/>
    </row>
  </sheetData>
  <mergeCells count="8">
    <mergeCell ref="D2:E2"/>
    <mergeCell ref="G2:H2"/>
    <mergeCell ref="J2:K2"/>
    <mergeCell ref="M2:N2"/>
    <mergeCell ref="P2:Q2"/>
    <mergeCell ref="S2:U2"/>
    <mergeCell ref="W2:Y2"/>
    <mergeCell ref="AA2:AB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25"/>
    <col customWidth="1" min="2" max="2" width="17.5"/>
    <col customWidth="1" min="3" max="3" width="10.38"/>
    <col customWidth="1" min="4" max="4" width="18.88"/>
    <col customWidth="1" min="5" max="5" width="9.13"/>
    <col customWidth="1" min="6" max="6" width="9.0"/>
    <col customWidth="1" min="7" max="7" width="12.13"/>
    <col customWidth="1" min="8" max="8" width="17.13"/>
    <col customWidth="1" min="9" max="15" width="18.63"/>
    <col customWidth="1" min="17" max="17" width="37.13"/>
  </cols>
  <sheetData>
    <row r="1">
      <c r="A1" s="35"/>
      <c r="B1" s="37" t="s">
        <v>44</v>
      </c>
      <c r="C1" s="38" t="s">
        <v>48</v>
      </c>
      <c r="D1" s="37" t="s">
        <v>53</v>
      </c>
      <c r="E1" s="37" t="s">
        <v>57</v>
      </c>
      <c r="F1" s="37" t="s">
        <v>59</v>
      </c>
      <c r="G1" s="37" t="s">
        <v>60</v>
      </c>
      <c r="H1" s="37" t="s">
        <v>61</v>
      </c>
      <c r="I1" s="43" t="s">
        <v>62</v>
      </c>
      <c r="J1" s="43" t="s">
        <v>63</v>
      </c>
      <c r="K1" s="43" t="s">
        <v>65</v>
      </c>
      <c r="L1" s="43" t="s">
        <v>67</v>
      </c>
      <c r="M1" s="43" t="s">
        <v>68</v>
      </c>
      <c r="N1" s="43" t="s">
        <v>69</v>
      </c>
      <c r="O1" s="43" t="s">
        <v>70</v>
      </c>
      <c r="P1" s="37" t="s">
        <v>71</v>
      </c>
      <c r="Q1" s="37" t="s">
        <v>72</v>
      </c>
      <c r="R1" s="46"/>
      <c r="S1" s="46"/>
      <c r="T1" s="46"/>
      <c r="U1" s="46"/>
      <c r="V1" s="46"/>
      <c r="W1" s="46"/>
      <c r="X1" s="46"/>
    </row>
    <row r="2">
      <c r="A2" s="49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7"/>
      <c r="S2" s="57"/>
      <c r="T2" s="57"/>
      <c r="U2" s="57"/>
      <c r="V2" s="57"/>
      <c r="W2" s="57"/>
      <c r="X2" s="57"/>
    </row>
    <row r="3">
      <c r="A3" s="58" t="s">
        <v>76</v>
      </c>
      <c r="B3" s="43"/>
      <c r="C3" s="59"/>
      <c r="D3" s="43"/>
      <c r="E3" s="60"/>
      <c r="F3" s="60"/>
      <c r="G3" s="60"/>
      <c r="H3" s="43" t="s">
        <v>79</v>
      </c>
      <c r="I3" s="61"/>
      <c r="J3" s="61"/>
      <c r="K3" s="61"/>
      <c r="L3" s="61"/>
      <c r="M3" s="61"/>
      <c r="N3" s="61"/>
      <c r="O3" s="61"/>
      <c r="P3" s="61"/>
      <c r="Q3" s="61"/>
      <c r="R3" s="57"/>
      <c r="S3" s="57"/>
      <c r="T3" s="57"/>
      <c r="U3" s="57"/>
      <c r="V3" s="57"/>
      <c r="W3" s="57"/>
      <c r="X3" s="57"/>
    </row>
    <row r="4">
      <c r="A4" s="58" t="s">
        <v>82</v>
      </c>
      <c r="B4" s="43"/>
      <c r="C4" s="59"/>
      <c r="D4" s="43"/>
      <c r="E4" s="60"/>
      <c r="F4" s="60"/>
      <c r="G4" s="60"/>
      <c r="H4" s="43" t="s">
        <v>79</v>
      </c>
      <c r="I4" s="61"/>
      <c r="J4" s="61"/>
      <c r="K4" s="61"/>
      <c r="L4" s="61"/>
      <c r="M4" s="61"/>
      <c r="N4" s="61"/>
      <c r="O4" s="61"/>
      <c r="P4" s="61"/>
      <c r="Q4" s="61"/>
      <c r="R4" s="57"/>
      <c r="S4" s="57"/>
      <c r="T4" s="57"/>
      <c r="U4" s="57"/>
      <c r="V4" s="57"/>
      <c r="W4" s="57"/>
      <c r="X4" s="57"/>
    </row>
    <row r="5">
      <c r="A5" s="58" t="s">
        <v>84</v>
      </c>
      <c r="B5" s="43"/>
      <c r="C5" s="59"/>
      <c r="D5" s="43"/>
      <c r="E5" s="60"/>
      <c r="F5" s="60"/>
      <c r="G5" s="60"/>
      <c r="H5" s="43" t="s">
        <v>79</v>
      </c>
      <c r="I5" s="61"/>
      <c r="J5" s="61"/>
      <c r="K5" s="61"/>
      <c r="L5" s="61"/>
      <c r="M5" s="61"/>
      <c r="N5" s="61"/>
      <c r="O5" s="61"/>
      <c r="P5" s="61"/>
      <c r="Q5" s="43"/>
      <c r="R5" s="57"/>
      <c r="S5" s="57"/>
      <c r="T5" s="57"/>
      <c r="U5" s="57"/>
      <c r="V5" s="57"/>
      <c r="W5" s="57"/>
      <c r="X5" s="57"/>
    </row>
    <row r="6">
      <c r="A6" s="58" t="s">
        <v>85</v>
      </c>
      <c r="B6" s="43"/>
      <c r="C6" s="59"/>
      <c r="D6" s="43"/>
      <c r="E6" s="60"/>
      <c r="F6" s="60"/>
      <c r="G6" s="60"/>
      <c r="H6" s="43" t="s">
        <v>79</v>
      </c>
      <c r="I6" s="61"/>
      <c r="J6" s="61"/>
      <c r="K6" s="61"/>
      <c r="L6" s="61"/>
      <c r="M6" s="61"/>
      <c r="N6" s="61"/>
      <c r="O6" s="61"/>
      <c r="P6" s="61"/>
      <c r="Q6" s="61"/>
      <c r="R6" s="57"/>
      <c r="S6" s="57"/>
      <c r="T6" s="57"/>
      <c r="U6" s="57"/>
      <c r="V6" s="57"/>
      <c r="W6" s="57"/>
      <c r="X6" s="57"/>
    </row>
    <row r="7">
      <c r="A7" s="58" t="s">
        <v>87</v>
      </c>
      <c r="B7" s="43"/>
      <c r="C7" s="59"/>
      <c r="D7" s="43"/>
      <c r="E7" s="60"/>
      <c r="F7" s="60"/>
      <c r="G7" s="60"/>
      <c r="H7" s="43" t="s">
        <v>79</v>
      </c>
      <c r="I7" s="61"/>
      <c r="J7" s="61"/>
      <c r="K7" s="61"/>
      <c r="L7" s="61"/>
      <c r="M7" s="61"/>
      <c r="N7" s="61"/>
      <c r="O7" s="61"/>
      <c r="P7" s="61"/>
      <c r="Q7" s="61"/>
      <c r="R7" s="57"/>
      <c r="S7" s="57"/>
      <c r="T7" s="57"/>
      <c r="U7" s="57"/>
      <c r="V7" s="57"/>
      <c r="W7" s="57"/>
      <c r="X7" s="57"/>
    </row>
    <row r="8">
      <c r="A8" s="58" t="s">
        <v>88</v>
      </c>
      <c r="B8" s="43"/>
      <c r="C8" s="59"/>
      <c r="D8" s="43"/>
      <c r="E8" s="60"/>
      <c r="F8" s="60"/>
      <c r="G8" s="60"/>
      <c r="H8" s="43" t="s">
        <v>79</v>
      </c>
      <c r="I8" s="61"/>
      <c r="J8" s="61"/>
      <c r="K8" s="61"/>
      <c r="L8" s="61"/>
      <c r="M8" s="61"/>
      <c r="N8" s="61"/>
      <c r="O8" s="61"/>
      <c r="P8" s="61"/>
      <c r="Q8" s="61"/>
      <c r="R8" s="57"/>
      <c r="S8" s="57"/>
      <c r="T8" s="57"/>
      <c r="U8" s="57"/>
      <c r="V8" s="57"/>
      <c r="W8" s="57"/>
      <c r="X8" s="57"/>
    </row>
    <row r="9">
      <c r="A9" s="58" t="s">
        <v>91</v>
      </c>
      <c r="B9" s="43"/>
      <c r="C9" s="59"/>
      <c r="D9" s="43"/>
      <c r="E9" s="60"/>
      <c r="F9" s="60"/>
      <c r="G9" s="60"/>
      <c r="H9" s="43" t="s">
        <v>79</v>
      </c>
      <c r="I9" s="61"/>
      <c r="J9" s="61"/>
      <c r="K9" s="61"/>
      <c r="L9" s="61"/>
      <c r="M9" s="61"/>
      <c r="N9" s="61"/>
      <c r="O9" s="61"/>
      <c r="P9" s="61"/>
      <c r="Q9" s="61"/>
      <c r="R9" s="57"/>
      <c r="S9" s="57"/>
      <c r="T9" s="57"/>
      <c r="U9" s="57"/>
      <c r="V9" s="57"/>
      <c r="W9" s="57"/>
      <c r="X9" s="57"/>
    </row>
    <row r="10" ht="8.25" customHeight="1">
      <c r="A10" s="49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7"/>
      <c r="S10" s="57"/>
      <c r="T10" s="57"/>
      <c r="U10" s="57"/>
      <c r="V10" s="57"/>
      <c r="W10" s="57"/>
      <c r="X10" s="57"/>
    </row>
    <row r="11">
      <c r="A11" s="58" t="s">
        <v>93</v>
      </c>
      <c r="B11" s="64" t="s">
        <v>94</v>
      </c>
      <c r="C11" s="59" t="s">
        <v>0</v>
      </c>
      <c r="D11" s="43" t="s">
        <v>95</v>
      </c>
      <c r="E11" s="65">
        <v>46160.0</v>
      </c>
      <c r="F11" s="65">
        <v>46250.0</v>
      </c>
      <c r="G11" s="60">
        <f t="shared" ref="G11:G17" si="1">F11-E11</f>
        <v>90</v>
      </c>
      <c r="H11" s="43" t="s">
        <v>96</v>
      </c>
      <c r="I11" s="61"/>
      <c r="J11" s="61"/>
      <c r="K11" s="61"/>
      <c r="L11" s="61"/>
      <c r="M11" s="68"/>
      <c r="N11" s="68"/>
      <c r="O11" s="68"/>
      <c r="P11" s="43" t="s">
        <v>81</v>
      </c>
      <c r="Q11" s="61"/>
      <c r="R11" s="57"/>
      <c r="S11" s="57"/>
      <c r="T11" s="57"/>
      <c r="U11" s="57"/>
      <c r="V11" s="57"/>
      <c r="W11" s="57"/>
      <c r="X11" s="57"/>
    </row>
    <row r="12">
      <c r="A12" s="58" t="s">
        <v>98</v>
      </c>
      <c r="B12" s="43" t="s">
        <v>99</v>
      </c>
      <c r="C12" s="59" t="s">
        <v>100</v>
      </c>
      <c r="D12" s="43" t="s">
        <v>95</v>
      </c>
      <c r="E12" s="69">
        <v>46126.0</v>
      </c>
      <c r="F12" s="65">
        <v>46216.0</v>
      </c>
      <c r="G12" s="60">
        <f t="shared" si="1"/>
        <v>90</v>
      </c>
      <c r="H12" s="43" t="s">
        <v>96</v>
      </c>
      <c r="I12" s="61"/>
      <c r="K12" s="61"/>
      <c r="L12" s="68"/>
      <c r="M12" s="68"/>
      <c r="N12" s="68"/>
      <c r="O12" s="68"/>
      <c r="P12" s="43" t="s">
        <v>12</v>
      </c>
      <c r="Q12" s="61"/>
      <c r="R12" s="57"/>
      <c r="S12" s="57"/>
      <c r="T12" s="57"/>
      <c r="U12" s="57"/>
      <c r="V12" s="57"/>
      <c r="W12" s="57"/>
      <c r="X12" s="57"/>
    </row>
    <row r="13">
      <c r="A13" s="58" t="s">
        <v>101</v>
      </c>
      <c r="B13" s="43" t="s">
        <v>102</v>
      </c>
      <c r="C13" s="59" t="s">
        <v>100</v>
      </c>
      <c r="D13" s="43" t="s">
        <v>95</v>
      </c>
      <c r="E13" s="65">
        <v>46082.0</v>
      </c>
      <c r="F13" s="65">
        <v>46206.0</v>
      </c>
      <c r="G13" s="60">
        <f t="shared" si="1"/>
        <v>124</v>
      </c>
      <c r="H13" s="43" t="s">
        <v>103</v>
      </c>
      <c r="I13" s="61"/>
      <c r="J13" s="61"/>
      <c r="K13" s="61"/>
      <c r="L13" s="61"/>
      <c r="M13" s="68"/>
      <c r="N13" s="68"/>
      <c r="O13" s="68"/>
      <c r="P13" s="43" t="s">
        <v>12</v>
      </c>
      <c r="Q13" s="61"/>
      <c r="R13" s="57"/>
      <c r="S13" s="57"/>
      <c r="T13" s="57"/>
      <c r="U13" s="57"/>
      <c r="V13" s="57"/>
      <c r="W13" s="57"/>
      <c r="X13" s="57"/>
    </row>
    <row r="14">
      <c r="A14" s="58" t="s">
        <v>104</v>
      </c>
      <c r="B14" s="43" t="s">
        <v>105</v>
      </c>
      <c r="C14" s="59" t="s">
        <v>100</v>
      </c>
      <c r="D14" s="43" t="s">
        <v>95</v>
      </c>
      <c r="E14" s="65">
        <v>46161.0</v>
      </c>
      <c r="F14" s="65">
        <v>46251.0</v>
      </c>
      <c r="G14" s="60">
        <f t="shared" si="1"/>
        <v>90</v>
      </c>
      <c r="H14" s="43" t="s">
        <v>106</v>
      </c>
      <c r="I14" s="61"/>
      <c r="J14" s="61"/>
      <c r="K14" s="61"/>
      <c r="L14" s="61"/>
      <c r="M14" s="68"/>
      <c r="N14" s="68"/>
      <c r="O14" s="68"/>
      <c r="P14" s="43" t="s">
        <v>81</v>
      </c>
      <c r="Q14" s="61"/>
      <c r="R14" s="57"/>
      <c r="S14" s="57"/>
      <c r="T14" s="57"/>
      <c r="U14" s="57"/>
      <c r="V14" s="57"/>
      <c r="W14" s="57"/>
      <c r="X14" s="57"/>
    </row>
    <row r="15">
      <c r="A15" s="58" t="s">
        <v>107</v>
      </c>
      <c r="B15" s="43" t="s">
        <v>108</v>
      </c>
      <c r="C15" s="59" t="s">
        <v>0</v>
      </c>
      <c r="D15" s="43" t="s">
        <v>95</v>
      </c>
      <c r="E15" s="65">
        <v>46196.0</v>
      </c>
      <c r="F15" s="65">
        <v>46286.0</v>
      </c>
      <c r="G15" s="60">
        <f t="shared" si="1"/>
        <v>90</v>
      </c>
      <c r="H15" s="43" t="s">
        <v>106</v>
      </c>
      <c r="I15" s="61"/>
      <c r="J15" s="61"/>
      <c r="K15" s="61"/>
      <c r="L15" s="61"/>
      <c r="M15" s="68"/>
      <c r="N15" s="68"/>
      <c r="O15" s="68"/>
      <c r="P15" s="43" t="s">
        <v>83</v>
      </c>
      <c r="Q15" s="61"/>
      <c r="R15" s="57"/>
      <c r="S15" s="57"/>
      <c r="T15" s="57"/>
      <c r="U15" s="57"/>
      <c r="V15" s="57"/>
      <c r="W15" s="57"/>
      <c r="X15" s="57"/>
    </row>
    <row r="16">
      <c r="A16" s="58" t="s">
        <v>109</v>
      </c>
      <c r="B16" s="43" t="s">
        <v>110</v>
      </c>
      <c r="C16" s="59" t="s">
        <v>0</v>
      </c>
      <c r="D16" s="43" t="s">
        <v>95</v>
      </c>
      <c r="E16" s="60"/>
      <c r="F16" s="60"/>
      <c r="G16" s="60">
        <f t="shared" si="1"/>
        <v>0</v>
      </c>
      <c r="H16" s="43" t="s">
        <v>106</v>
      </c>
      <c r="I16" s="61"/>
      <c r="J16" s="61"/>
      <c r="K16" s="61"/>
      <c r="L16" s="61"/>
      <c r="M16" s="61"/>
      <c r="N16" s="61"/>
      <c r="O16" s="68"/>
      <c r="P16" s="61"/>
      <c r="Q16" s="61"/>
      <c r="R16" s="57"/>
      <c r="S16" s="57"/>
      <c r="T16" s="57"/>
      <c r="U16" s="57"/>
      <c r="V16" s="57"/>
      <c r="W16" s="57"/>
      <c r="X16" s="57"/>
    </row>
    <row r="17">
      <c r="A17" s="58" t="s">
        <v>111</v>
      </c>
      <c r="B17" s="43" t="s">
        <v>112</v>
      </c>
      <c r="C17" s="59" t="s">
        <v>0</v>
      </c>
      <c r="D17" s="43" t="s">
        <v>95</v>
      </c>
      <c r="E17" s="60"/>
      <c r="F17" s="60"/>
      <c r="G17" s="60">
        <f t="shared" si="1"/>
        <v>0</v>
      </c>
      <c r="H17" s="43" t="s">
        <v>79</v>
      </c>
      <c r="I17" s="61"/>
      <c r="J17" s="61"/>
      <c r="K17" s="61"/>
      <c r="L17" s="61"/>
      <c r="M17" s="61"/>
      <c r="N17" s="61"/>
      <c r="O17" s="68"/>
      <c r="P17" s="61"/>
      <c r="Q17" s="61"/>
      <c r="R17" s="57"/>
      <c r="S17" s="57"/>
      <c r="T17" s="57"/>
      <c r="U17" s="57"/>
      <c r="V17" s="57"/>
      <c r="W17" s="57"/>
      <c r="X17" s="57"/>
    </row>
    <row r="18" ht="8.25" customHeight="1">
      <c r="A18" s="49"/>
      <c r="B18" s="70"/>
      <c r="C18" s="71"/>
      <c r="D18" s="70"/>
      <c r="E18" s="71"/>
      <c r="F18" s="71"/>
      <c r="G18" s="52"/>
      <c r="H18" s="70"/>
      <c r="I18" s="70"/>
      <c r="J18" s="70"/>
      <c r="K18" s="70"/>
      <c r="L18" s="70"/>
      <c r="M18" s="70"/>
      <c r="N18" s="70"/>
      <c r="O18" s="70"/>
      <c r="P18" s="52"/>
      <c r="Q18" s="70"/>
      <c r="R18" s="57"/>
      <c r="S18" s="57"/>
      <c r="T18" s="57"/>
      <c r="U18" s="57"/>
      <c r="V18" s="57"/>
      <c r="W18" s="57"/>
      <c r="X18" s="57"/>
    </row>
    <row r="19">
      <c r="A19" s="58" t="s">
        <v>113</v>
      </c>
      <c r="B19" s="61" t="s">
        <v>114</v>
      </c>
      <c r="C19" s="59" t="s">
        <v>0</v>
      </c>
      <c r="D19" s="43" t="s">
        <v>95</v>
      </c>
      <c r="E19" s="65">
        <v>46090.0</v>
      </c>
      <c r="F19" s="65">
        <v>46173.0</v>
      </c>
      <c r="G19" s="60">
        <f t="shared" ref="G19:G23" si="2">F19-E19</f>
        <v>83</v>
      </c>
      <c r="H19" s="43" t="s">
        <v>106</v>
      </c>
      <c r="I19" s="68"/>
      <c r="J19" s="68"/>
      <c r="K19" s="68"/>
      <c r="L19" s="68"/>
      <c r="M19" s="68"/>
      <c r="N19" s="68"/>
      <c r="O19" s="68"/>
      <c r="P19" s="43" t="s">
        <v>13</v>
      </c>
      <c r="Q19" s="61"/>
      <c r="R19" s="57"/>
      <c r="S19" s="57"/>
      <c r="T19" s="57"/>
      <c r="U19" s="57"/>
      <c r="V19" s="57"/>
      <c r="W19" s="57"/>
      <c r="X19" s="57"/>
    </row>
    <row r="20">
      <c r="A20" s="58" t="s">
        <v>115</v>
      </c>
      <c r="B20" s="61" t="s">
        <v>116</v>
      </c>
      <c r="C20" s="59" t="s">
        <v>0</v>
      </c>
      <c r="D20" s="43" t="s">
        <v>95</v>
      </c>
      <c r="E20" s="60"/>
      <c r="F20" s="60"/>
      <c r="G20" s="60">
        <f t="shared" si="2"/>
        <v>0</v>
      </c>
      <c r="H20" s="43" t="s">
        <v>79</v>
      </c>
      <c r="I20" s="72"/>
      <c r="J20" s="72"/>
      <c r="K20" s="72"/>
      <c r="L20" s="72"/>
      <c r="M20" s="72"/>
      <c r="N20" s="72"/>
      <c r="O20" s="73" t="s">
        <v>117</v>
      </c>
      <c r="P20" s="61"/>
      <c r="Q20" s="61"/>
      <c r="R20" s="57"/>
      <c r="S20" s="57"/>
      <c r="T20" s="57"/>
      <c r="U20" s="57"/>
      <c r="V20" s="57"/>
      <c r="W20" s="57"/>
      <c r="X20" s="57"/>
    </row>
    <row r="21">
      <c r="A21" s="58" t="s">
        <v>118</v>
      </c>
      <c r="B21" s="61" t="s">
        <v>119</v>
      </c>
      <c r="C21" s="59" t="s">
        <v>0</v>
      </c>
      <c r="D21" s="43" t="s">
        <v>95</v>
      </c>
      <c r="E21" s="65">
        <v>46090.0</v>
      </c>
      <c r="F21" s="65">
        <v>46172.0</v>
      </c>
      <c r="G21" s="60">
        <f t="shared" si="2"/>
        <v>82</v>
      </c>
      <c r="H21" s="43" t="s">
        <v>103</v>
      </c>
      <c r="I21" s="61"/>
      <c r="J21" s="61"/>
      <c r="K21" s="61"/>
      <c r="L21" s="68"/>
      <c r="M21" s="68"/>
      <c r="N21" s="68"/>
      <c r="O21" s="68"/>
      <c r="P21" s="43" t="s">
        <v>13</v>
      </c>
      <c r="Q21" s="61"/>
      <c r="R21" s="57"/>
      <c r="S21" s="57"/>
      <c r="T21" s="57"/>
      <c r="U21" s="57"/>
      <c r="V21" s="57"/>
      <c r="W21" s="57"/>
      <c r="X21" s="57"/>
    </row>
    <row r="22">
      <c r="A22" s="58" t="s">
        <v>120</v>
      </c>
      <c r="B22" s="61" t="s">
        <v>121</v>
      </c>
      <c r="C22" s="59" t="s">
        <v>0</v>
      </c>
      <c r="D22" s="43" t="s">
        <v>95</v>
      </c>
      <c r="E22" s="65">
        <v>46090.0</v>
      </c>
      <c r="F22" s="65">
        <v>46148.0</v>
      </c>
      <c r="G22" s="60">
        <f t="shared" si="2"/>
        <v>58</v>
      </c>
      <c r="H22" s="43" t="s">
        <v>103</v>
      </c>
      <c r="I22" s="61"/>
      <c r="J22" s="68"/>
      <c r="K22" s="61"/>
      <c r="L22" s="68"/>
      <c r="M22" s="68"/>
      <c r="N22" s="68"/>
      <c r="O22" s="68"/>
      <c r="P22" s="43" t="s">
        <v>13</v>
      </c>
      <c r="Q22" s="61"/>
      <c r="R22" s="57"/>
      <c r="S22" s="57"/>
      <c r="T22" s="57"/>
      <c r="U22" s="57"/>
      <c r="V22" s="57"/>
      <c r="W22" s="57"/>
      <c r="X22" s="57"/>
    </row>
    <row r="23">
      <c r="A23" s="58" t="s">
        <v>122</v>
      </c>
      <c r="B23" s="43" t="s">
        <v>123</v>
      </c>
      <c r="C23" s="59" t="s">
        <v>0</v>
      </c>
      <c r="D23" s="43" t="s">
        <v>124</v>
      </c>
      <c r="E23" s="60"/>
      <c r="F23" s="65">
        <v>46234.0</v>
      </c>
      <c r="G23" s="74">
        <f t="shared" si="2"/>
        <v>46234</v>
      </c>
      <c r="H23" s="43" t="s">
        <v>79</v>
      </c>
      <c r="I23" s="61"/>
      <c r="J23" s="61"/>
      <c r="K23" s="61"/>
      <c r="L23" s="61"/>
      <c r="M23" s="61"/>
      <c r="N23" s="68"/>
      <c r="O23" s="68"/>
      <c r="P23" s="61"/>
      <c r="Q23" s="61"/>
      <c r="R23" s="57"/>
      <c r="S23" s="57"/>
      <c r="T23" s="57"/>
      <c r="U23" s="57"/>
      <c r="V23" s="57"/>
      <c r="W23" s="57"/>
      <c r="X23" s="57"/>
    </row>
    <row r="24" ht="7.5" customHeight="1">
      <c r="A24" s="75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7"/>
      <c r="S24" s="57"/>
      <c r="T24" s="57"/>
      <c r="U24" s="57"/>
      <c r="V24" s="57"/>
      <c r="W24" s="57"/>
      <c r="X24" s="57"/>
    </row>
    <row r="25">
      <c r="A25" s="58" t="s">
        <v>125</v>
      </c>
      <c r="B25" s="43" t="s">
        <v>16</v>
      </c>
      <c r="C25" s="59" t="s">
        <v>0</v>
      </c>
      <c r="D25" s="43" t="s">
        <v>95</v>
      </c>
      <c r="E25" s="65">
        <v>46072.0</v>
      </c>
      <c r="F25" s="65">
        <v>46192.0</v>
      </c>
      <c r="G25" s="60">
        <f t="shared" ref="G25:G33" si="3">F25-E25</f>
        <v>120</v>
      </c>
      <c r="H25" s="43" t="s">
        <v>126</v>
      </c>
      <c r="I25" s="68"/>
      <c r="J25" s="68"/>
      <c r="K25" s="68"/>
      <c r="L25" s="68"/>
      <c r="M25" s="68"/>
      <c r="N25" s="68"/>
      <c r="O25" s="68"/>
      <c r="P25" s="43" t="s">
        <v>127</v>
      </c>
      <c r="Q25" s="61"/>
      <c r="R25" s="57"/>
      <c r="S25" s="57"/>
      <c r="T25" s="57"/>
      <c r="U25" s="57"/>
      <c r="V25" s="57"/>
      <c r="W25" s="57"/>
      <c r="X25" s="57"/>
    </row>
    <row r="26">
      <c r="A26" s="58" t="s">
        <v>128</v>
      </c>
      <c r="B26" s="43" t="s">
        <v>129</v>
      </c>
      <c r="C26" s="59" t="s">
        <v>0</v>
      </c>
      <c r="D26" s="43" t="s">
        <v>95</v>
      </c>
      <c r="E26" s="76">
        <v>45962.0</v>
      </c>
      <c r="F26" s="76">
        <v>46127.0</v>
      </c>
      <c r="G26" s="77">
        <f t="shared" si="3"/>
        <v>165</v>
      </c>
      <c r="H26" s="43" t="s">
        <v>126</v>
      </c>
      <c r="I26" s="68"/>
      <c r="J26" s="68"/>
      <c r="K26" s="68"/>
      <c r="L26" s="68"/>
      <c r="M26" s="68"/>
      <c r="N26" s="68"/>
      <c r="O26" s="68"/>
      <c r="P26" s="43" t="s">
        <v>127</v>
      </c>
      <c r="Q26" s="61"/>
      <c r="R26" s="57"/>
      <c r="S26" s="57"/>
      <c r="T26" s="57"/>
      <c r="U26" s="57"/>
      <c r="V26" s="57"/>
      <c r="W26" s="57"/>
      <c r="X26" s="57"/>
    </row>
    <row r="27">
      <c r="A27" s="58" t="s">
        <v>130</v>
      </c>
      <c r="B27" s="43" t="s">
        <v>131</v>
      </c>
      <c r="C27" s="59" t="s">
        <v>0</v>
      </c>
      <c r="D27" s="43" t="s">
        <v>95</v>
      </c>
      <c r="E27" s="65">
        <v>46027.0</v>
      </c>
      <c r="F27" s="65">
        <v>46142.0</v>
      </c>
      <c r="G27" s="77">
        <f t="shared" si="3"/>
        <v>115</v>
      </c>
      <c r="H27" s="43" t="s">
        <v>126</v>
      </c>
      <c r="I27" s="78"/>
      <c r="J27" s="68"/>
      <c r="K27" s="68"/>
      <c r="L27" s="68"/>
      <c r="M27" s="68"/>
      <c r="N27" s="68"/>
      <c r="O27" s="68"/>
      <c r="P27" s="43" t="s">
        <v>127</v>
      </c>
      <c r="Q27" s="61"/>
      <c r="R27" s="57"/>
      <c r="S27" s="57"/>
      <c r="T27" s="57"/>
      <c r="U27" s="57"/>
      <c r="V27" s="57"/>
      <c r="W27" s="57"/>
      <c r="X27" s="57"/>
    </row>
    <row r="28">
      <c r="A28" s="58" t="s">
        <v>132</v>
      </c>
      <c r="B28" s="43" t="s">
        <v>133</v>
      </c>
      <c r="C28" s="59" t="s">
        <v>0</v>
      </c>
      <c r="D28" s="43" t="s">
        <v>95</v>
      </c>
      <c r="E28" s="79">
        <v>46074.0</v>
      </c>
      <c r="F28" s="80">
        <v>46111.0</v>
      </c>
      <c r="G28" s="81">
        <f t="shared" si="3"/>
        <v>37</v>
      </c>
      <c r="H28" s="43" t="s">
        <v>79</v>
      </c>
      <c r="I28" s="68"/>
      <c r="J28" s="68"/>
      <c r="K28" s="68"/>
      <c r="L28" s="68"/>
      <c r="M28" s="68"/>
      <c r="N28" s="68"/>
      <c r="O28" s="68"/>
      <c r="P28" s="43" t="s">
        <v>134</v>
      </c>
      <c r="Q28" s="61"/>
      <c r="R28" s="57"/>
      <c r="S28" s="57"/>
      <c r="T28" s="57"/>
      <c r="U28" s="57"/>
      <c r="V28" s="57"/>
      <c r="W28" s="57"/>
      <c r="X28" s="57"/>
    </row>
    <row r="29">
      <c r="A29" s="58" t="s">
        <v>135</v>
      </c>
      <c r="B29" s="43" t="s">
        <v>136</v>
      </c>
      <c r="C29" s="59" t="s">
        <v>0</v>
      </c>
      <c r="D29" s="43" t="s">
        <v>124</v>
      </c>
      <c r="E29" s="81"/>
      <c r="F29" s="81"/>
      <c r="G29" s="81">
        <f t="shared" si="3"/>
        <v>0</v>
      </c>
      <c r="H29" s="43" t="s">
        <v>79</v>
      </c>
      <c r="I29" s="82"/>
      <c r="J29" s="82"/>
      <c r="K29" s="82"/>
      <c r="L29" s="82"/>
      <c r="M29" s="82"/>
      <c r="N29" s="82"/>
      <c r="O29" s="73" t="s">
        <v>137</v>
      </c>
      <c r="P29" s="61"/>
      <c r="Q29" s="61"/>
      <c r="R29" s="57"/>
      <c r="S29" s="57"/>
      <c r="T29" s="57"/>
      <c r="U29" s="57"/>
      <c r="V29" s="57"/>
      <c r="W29" s="57"/>
      <c r="X29" s="57"/>
    </row>
    <row r="30">
      <c r="A30" s="58" t="s">
        <v>138</v>
      </c>
      <c r="B30" s="83" t="s">
        <v>139</v>
      </c>
      <c r="C30" s="59" t="s">
        <v>100</v>
      </c>
      <c r="D30" s="43" t="s">
        <v>95</v>
      </c>
      <c r="E30" s="84">
        <v>45992.0</v>
      </c>
      <c r="F30" s="84">
        <v>46073.0</v>
      </c>
      <c r="G30" s="60">
        <f t="shared" si="3"/>
        <v>81</v>
      </c>
      <c r="H30" s="43" t="s">
        <v>106</v>
      </c>
      <c r="I30" s="61"/>
      <c r="J30" s="68"/>
      <c r="K30" s="68"/>
      <c r="L30" s="68"/>
      <c r="M30" s="68"/>
      <c r="N30" s="68"/>
      <c r="O30" s="68"/>
      <c r="P30" s="43" t="s">
        <v>140</v>
      </c>
      <c r="Q30" s="61"/>
      <c r="R30" s="57"/>
      <c r="S30" s="57"/>
      <c r="T30" s="57"/>
      <c r="U30" s="57"/>
      <c r="V30" s="57"/>
      <c r="W30" s="57"/>
      <c r="X30" s="57"/>
    </row>
    <row r="31">
      <c r="A31" s="58" t="s">
        <v>141</v>
      </c>
      <c r="B31" s="83" t="s">
        <v>142</v>
      </c>
      <c r="C31" s="59" t="s">
        <v>100</v>
      </c>
      <c r="D31" s="43" t="s">
        <v>95</v>
      </c>
      <c r="E31" s="84">
        <v>45992.0</v>
      </c>
      <c r="F31" s="84">
        <v>46073.0</v>
      </c>
      <c r="G31" s="77">
        <f t="shared" si="3"/>
        <v>81</v>
      </c>
      <c r="H31" s="43" t="s">
        <v>106</v>
      </c>
      <c r="I31" s="61"/>
      <c r="J31" s="68"/>
      <c r="K31" s="68"/>
      <c r="L31" s="68"/>
      <c r="M31" s="68"/>
      <c r="N31" s="68"/>
      <c r="O31" s="68"/>
      <c r="P31" s="43" t="s">
        <v>140</v>
      </c>
      <c r="Q31" s="61"/>
      <c r="R31" s="57"/>
      <c r="S31" s="57"/>
      <c r="T31" s="57"/>
      <c r="U31" s="57"/>
      <c r="V31" s="57"/>
      <c r="W31" s="57"/>
      <c r="X31" s="57"/>
    </row>
    <row r="32">
      <c r="A32" s="58" t="s">
        <v>143</v>
      </c>
      <c r="B32" s="85" t="s">
        <v>144</v>
      </c>
      <c r="C32" s="59" t="s">
        <v>100</v>
      </c>
      <c r="D32" s="43" t="s">
        <v>95</v>
      </c>
      <c r="E32" s="86">
        <v>46113.0</v>
      </c>
      <c r="F32" s="86">
        <v>46203.0</v>
      </c>
      <c r="G32" s="77">
        <f t="shared" si="3"/>
        <v>90</v>
      </c>
      <c r="H32" s="43" t="s">
        <v>126</v>
      </c>
      <c r="I32" s="61"/>
      <c r="J32" s="68"/>
      <c r="K32" s="68"/>
      <c r="L32" s="68"/>
      <c r="M32" s="68"/>
      <c r="N32" s="68"/>
      <c r="O32" s="68"/>
      <c r="P32" s="43" t="s">
        <v>14</v>
      </c>
      <c r="Q32" s="61"/>
      <c r="R32" s="57"/>
      <c r="S32" s="57"/>
      <c r="T32" s="57"/>
      <c r="U32" s="57"/>
      <c r="V32" s="57"/>
      <c r="W32" s="57"/>
      <c r="X32" s="57"/>
    </row>
    <row r="33">
      <c r="A33" s="58" t="s">
        <v>145</v>
      </c>
      <c r="B33" s="83" t="s">
        <v>146</v>
      </c>
      <c r="C33" s="59" t="s">
        <v>100</v>
      </c>
      <c r="D33" s="43" t="s">
        <v>95</v>
      </c>
      <c r="E33" s="86">
        <v>46113.0</v>
      </c>
      <c r="F33" s="86">
        <v>46203.0</v>
      </c>
      <c r="G33" s="77">
        <f t="shared" si="3"/>
        <v>90</v>
      </c>
      <c r="H33" s="43" t="s">
        <v>126</v>
      </c>
      <c r="I33" s="43"/>
      <c r="J33" s="68"/>
      <c r="K33" s="68"/>
      <c r="L33" s="68"/>
      <c r="M33" s="68"/>
      <c r="N33" s="68"/>
      <c r="O33" s="68"/>
      <c r="P33" s="43" t="s">
        <v>14</v>
      </c>
      <c r="Q33" s="43"/>
      <c r="R33" s="57"/>
      <c r="S33" s="57"/>
      <c r="T33" s="57"/>
      <c r="U33" s="57"/>
      <c r="V33" s="57"/>
      <c r="W33" s="57"/>
      <c r="X33" s="57"/>
    </row>
    <row r="34" ht="7.5" customHeight="1">
      <c r="A34" s="49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7"/>
      <c r="S34" s="57"/>
      <c r="T34" s="57"/>
      <c r="U34" s="57"/>
      <c r="V34" s="57"/>
      <c r="W34" s="57"/>
      <c r="X34" s="57"/>
    </row>
    <row r="35">
      <c r="A35" s="58" t="s">
        <v>147</v>
      </c>
      <c r="B35" s="43" t="s">
        <v>148</v>
      </c>
      <c r="C35" s="59" t="s">
        <v>0</v>
      </c>
      <c r="D35" s="43" t="s">
        <v>95</v>
      </c>
      <c r="E35" s="65">
        <v>45877.0</v>
      </c>
      <c r="F35" s="65">
        <v>46173.0</v>
      </c>
      <c r="G35" s="60">
        <f t="shared" ref="G35:G41" si="4">F35-E35</f>
        <v>296</v>
      </c>
      <c r="H35" s="43" t="s">
        <v>126</v>
      </c>
      <c r="I35" s="68"/>
      <c r="J35" s="68"/>
      <c r="K35" s="68"/>
      <c r="L35" s="68"/>
      <c r="M35" s="68"/>
      <c r="N35" s="68"/>
      <c r="O35" s="68"/>
      <c r="P35" s="61"/>
      <c r="Q35" s="61"/>
      <c r="R35" s="57"/>
      <c r="S35" s="57"/>
      <c r="T35" s="57"/>
      <c r="U35" s="57"/>
      <c r="V35" s="57"/>
      <c r="W35" s="57"/>
      <c r="X35" s="57"/>
    </row>
    <row r="36">
      <c r="A36" s="58" t="s">
        <v>149</v>
      </c>
      <c r="B36" s="43" t="s">
        <v>151</v>
      </c>
      <c r="C36" s="59" t="s">
        <v>0</v>
      </c>
      <c r="D36" s="43" t="s">
        <v>95</v>
      </c>
      <c r="E36" s="87">
        <v>45884.0</v>
      </c>
      <c r="F36" s="87">
        <v>46204.0</v>
      </c>
      <c r="G36" s="60">
        <f t="shared" si="4"/>
        <v>320</v>
      </c>
      <c r="H36" s="43" t="s">
        <v>126</v>
      </c>
      <c r="I36" s="61"/>
      <c r="J36" s="68"/>
      <c r="K36" s="68"/>
      <c r="L36" s="68"/>
      <c r="M36" s="68"/>
      <c r="N36" s="68"/>
      <c r="O36" s="68"/>
      <c r="P36" s="61"/>
      <c r="Q36" s="61"/>
      <c r="R36" s="57"/>
      <c r="S36" s="57"/>
      <c r="T36" s="57"/>
      <c r="U36" s="57"/>
      <c r="V36" s="57"/>
      <c r="W36" s="57"/>
      <c r="X36" s="57"/>
    </row>
    <row r="37">
      <c r="A37" s="58" t="s">
        <v>154</v>
      </c>
      <c r="B37" s="43" t="s">
        <v>155</v>
      </c>
      <c r="C37" s="59" t="s">
        <v>0</v>
      </c>
      <c r="D37" s="43" t="s">
        <v>95</v>
      </c>
      <c r="E37" s="76">
        <v>45877.0</v>
      </c>
      <c r="F37" s="76">
        <v>46223.0</v>
      </c>
      <c r="G37" s="60">
        <f t="shared" si="4"/>
        <v>346</v>
      </c>
      <c r="H37" s="43" t="s">
        <v>126</v>
      </c>
      <c r="I37" s="61"/>
      <c r="J37" s="68"/>
      <c r="K37" s="68"/>
      <c r="L37" s="68"/>
      <c r="M37" s="68"/>
      <c r="N37" s="68"/>
      <c r="O37" s="68"/>
      <c r="P37" s="61"/>
      <c r="Q37" s="61"/>
      <c r="R37" s="57"/>
      <c r="S37" s="57"/>
      <c r="T37" s="57"/>
      <c r="U37" s="57"/>
      <c r="V37" s="57"/>
      <c r="W37" s="57"/>
      <c r="X37" s="57"/>
    </row>
    <row r="38">
      <c r="A38" s="58" t="s">
        <v>156</v>
      </c>
      <c r="B38" s="43" t="s">
        <v>157</v>
      </c>
      <c r="C38" s="59" t="s">
        <v>0</v>
      </c>
      <c r="D38" s="43" t="s">
        <v>95</v>
      </c>
      <c r="E38" s="76">
        <v>45873.0</v>
      </c>
      <c r="F38" s="76">
        <v>46223.0</v>
      </c>
      <c r="G38" s="60">
        <f t="shared" si="4"/>
        <v>350</v>
      </c>
      <c r="H38" s="43" t="s">
        <v>126</v>
      </c>
      <c r="I38" s="61"/>
      <c r="J38" s="68"/>
      <c r="K38" s="68"/>
      <c r="L38" s="68"/>
      <c r="M38" s="68"/>
      <c r="N38" s="68"/>
      <c r="O38" s="68"/>
      <c r="P38" s="61"/>
      <c r="Q38" s="61"/>
      <c r="R38" s="57"/>
      <c r="S38" s="57"/>
      <c r="T38" s="57"/>
      <c r="U38" s="57"/>
      <c r="V38" s="57"/>
      <c r="W38" s="57"/>
      <c r="X38" s="57"/>
    </row>
    <row r="39">
      <c r="A39" s="58" t="s">
        <v>159</v>
      </c>
      <c r="B39" s="43" t="s">
        <v>160</v>
      </c>
      <c r="C39" s="59" t="s">
        <v>0</v>
      </c>
      <c r="D39" s="43" t="s">
        <v>95</v>
      </c>
      <c r="E39" s="81"/>
      <c r="F39" s="81"/>
      <c r="G39" s="81">
        <f t="shared" si="4"/>
        <v>0</v>
      </c>
      <c r="H39" s="43" t="s">
        <v>126</v>
      </c>
      <c r="I39" s="82"/>
      <c r="J39" s="82"/>
      <c r="K39" s="82"/>
      <c r="L39" s="82"/>
      <c r="M39" s="82"/>
      <c r="N39" s="82"/>
      <c r="O39" s="88" t="s">
        <v>161</v>
      </c>
      <c r="P39" s="61"/>
      <c r="Q39" s="61"/>
      <c r="R39" s="57"/>
      <c r="S39" s="57"/>
      <c r="T39" s="57"/>
      <c r="U39" s="57"/>
      <c r="V39" s="57"/>
      <c r="W39" s="57"/>
      <c r="X39" s="57"/>
    </row>
    <row r="40">
      <c r="A40" s="58" t="s">
        <v>162</v>
      </c>
      <c r="B40" s="43" t="s">
        <v>163</v>
      </c>
      <c r="C40" s="59" t="s">
        <v>0</v>
      </c>
      <c r="D40" s="43" t="s">
        <v>95</v>
      </c>
      <c r="E40" s="76">
        <v>45877.0</v>
      </c>
      <c r="F40" s="76">
        <v>46043.0</v>
      </c>
      <c r="G40" s="60">
        <f t="shared" si="4"/>
        <v>166</v>
      </c>
      <c r="H40" s="43" t="s">
        <v>126</v>
      </c>
      <c r="I40" s="89"/>
      <c r="J40" s="89"/>
      <c r="K40" s="89"/>
      <c r="L40" s="89"/>
      <c r="M40" s="89"/>
      <c r="N40" s="89"/>
      <c r="O40" s="88" t="s">
        <v>137</v>
      </c>
      <c r="P40" s="61"/>
      <c r="Q40" s="61"/>
      <c r="R40" s="57"/>
      <c r="S40" s="57"/>
      <c r="T40" s="57"/>
      <c r="U40" s="57"/>
      <c r="V40" s="57"/>
      <c r="W40" s="57"/>
      <c r="X40" s="57"/>
    </row>
    <row r="41">
      <c r="A41" s="58" t="s">
        <v>164</v>
      </c>
      <c r="B41" s="83" t="s">
        <v>165</v>
      </c>
      <c r="C41" s="59" t="s">
        <v>100</v>
      </c>
      <c r="D41" s="43" t="s">
        <v>95</v>
      </c>
      <c r="E41" s="84">
        <v>45931.0</v>
      </c>
      <c r="F41" s="84">
        <v>46053.0</v>
      </c>
      <c r="G41" s="60">
        <f t="shared" si="4"/>
        <v>122</v>
      </c>
      <c r="H41" s="43" t="s">
        <v>126</v>
      </c>
      <c r="I41" s="61"/>
      <c r="J41" s="68"/>
      <c r="K41" s="68"/>
      <c r="L41" s="68"/>
      <c r="M41" s="68"/>
      <c r="N41" s="68"/>
      <c r="O41" s="68"/>
      <c r="P41" s="61"/>
      <c r="Q41" s="61"/>
      <c r="R41" s="57"/>
      <c r="S41" s="57"/>
      <c r="T41" s="57"/>
      <c r="U41" s="57"/>
      <c r="V41" s="57"/>
      <c r="W41" s="57"/>
      <c r="X41" s="57"/>
    </row>
    <row r="42">
      <c r="A42" s="91"/>
      <c r="B42" s="57"/>
      <c r="C42" s="92"/>
      <c r="D42" s="57"/>
      <c r="E42" s="92"/>
      <c r="F42" s="92"/>
      <c r="G42" s="92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</row>
    <row r="43">
      <c r="A43" s="91"/>
      <c r="B43" s="57"/>
      <c r="C43" s="92"/>
      <c r="D43" s="57"/>
      <c r="E43" s="92"/>
      <c r="F43" s="92"/>
      <c r="G43" s="94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</row>
    <row r="44">
      <c r="A44" s="91"/>
      <c r="B44" s="57"/>
      <c r="C44" s="92"/>
      <c r="D44" s="57"/>
      <c r="E44" s="92"/>
      <c r="F44" s="92"/>
      <c r="G44" s="92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</row>
    <row r="45">
      <c r="A45" s="91"/>
      <c r="B45" s="57"/>
      <c r="C45" s="92"/>
      <c r="D45" s="57"/>
      <c r="E45" s="92"/>
      <c r="F45" s="92"/>
      <c r="G45" s="92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</row>
    <row r="46">
      <c r="A46" s="91"/>
      <c r="B46" s="57"/>
      <c r="C46" s="92"/>
      <c r="D46" s="57"/>
      <c r="E46" s="92"/>
      <c r="F46" s="92"/>
      <c r="G46" s="92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</row>
    <row r="47">
      <c r="A47" s="91"/>
      <c r="B47" s="57"/>
      <c r="C47" s="92"/>
      <c r="D47" s="57"/>
      <c r="E47" s="92"/>
      <c r="F47" s="92"/>
      <c r="G47" s="92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</row>
    <row r="48">
      <c r="A48" s="91"/>
      <c r="B48" s="57"/>
      <c r="C48" s="92"/>
      <c r="D48" s="57"/>
      <c r="E48" s="92"/>
      <c r="F48" s="92"/>
      <c r="G48" s="92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</row>
    <row r="49">
      <c r="A49" s="91"/>
      <c r="B49" s="57"/>
      <c r="C49" s="92"/>
      <c r="D49" s="57"/>
      <c r="E49" s="92"/>
      <c r="F49" s="92"/>
      <c r="G49" s="92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</row>
    <row r="50">
      <c r="A50" s="91"/>
      <c r="B50" s="57"/>
      <c r="C50" s="92"/>
      <c r="D50" s="57"/>
      <c r="E50" s="92"/>
      <c r="F50" s="92"/>
      <c r="G50" s="92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</row>
    <row r="51">
      <c r="A51" s="91"/>
      <c r="B51" s="57"/>
      <c r="C51" s="92"/>
      <c r="D51" s="57"/>
      <c r="E51" s="92"/>
      <c r="F51" s="92"/>
      <c r="G51" s="92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</row>
    <row r="52">
      <c r="A52" s="91"/>
      <c r="B52" s="57"/>
      <c r="C52" s="92"/>
      <c r="D52" s="57"/>
      <c r="E52" s="92"/>
      <c r="F52" s="92"/>
      <c r="G52" s="92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</row>
    <row r="53">
      <c r="A53" s="91"/>
      <c r="B53" s="57"/>
      <c r="C53" s="92"/>
      <c r="D53" s="57"/>
      <c r="E53" s="92"/>
      <c r="F53" s="92"/>
      <c r="G53" s="92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</row>
    <row r="54">
      <c r="A54" s="91"/>
      <c r="B54" s="57"/>
      <c r="C54" s="92"/>
      <c r="D54" s="57"/>
      <c r="E54" s="92"/>
      <c r="F54" s="92"/>
      <c r="G54" s="92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</row>
    <row r="55">
      <c r="A55" s="91"/>
      <c r="B55" s="57"/>
      <c r="C55" s="92"/>
      <c r="D55" s="57"/>
      <c r="E55" s="92"/>
      <c r="F55" s="92"/>
      <c r="G55" s="92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</row>
    <row r="56">
      <c r="A56" s="91"/>
      <c r="B56" s="57"/>
      <c r="C56" s="92"/>
      <c r="D56" s="57"/>
      <c r="E56" s="92"/>
      <c r="F56" s="92"/>
      <c r="G56" s="92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</row>
    <row r="57">
      <c r="A57" s="91"/>
      <c r="B57" s="57"/>
      <c r="C57" s="92"/>
      <c r="D57" s="57"/>
      <c r="E57" s="92"/>
      <c r="F57" s="92"/>
      <c r="G57" s="92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</row>
    <row r="58">
      <c r="A58" s="91"/>
      <c r="B58" s="57"/>
      <c r="C58" s="92"/>
      <c r="D58" s="57"/>
      <c r="E58" s="92"/>
      <c r="F58" s="92"/>
      <c r="G58" s="92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</row>
    <row r="59">
      <c r="A59" s="91"/>
      <c r="B59" s="57"/>
      <c r="C59" s="92"/>
      <c r="D59" s="57"/>
      <c r="E59" s="92"/>
      <c r="F59" s="92"/>
      <c r="G59" s="92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</row>
    <row r="60">
      <c r="A60" s="91"/>
      <c r="B60" s="57"/>
      <c r="C60" s="92"/>
      <c r="D60" s="57"/>
      <c r="E60" s="92"/>
      <c r="F60" s="92"/>
      <c r="G60" s="92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</row>
    <row r="61">
      <c r="A61" s="91"/>
      <c r="B61" s="57"/>
      <c r="C61" s="92"/>
      <c r="D61" s="57"/>
      <c r="E61" s="92"/>
      <c r="F61" s="92"/>
      <c r="G61" s="92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</row>
    <row r="62">
      <c r="A62" s="91"/>
      <c r="B62" s="57"/>
      <c r="C62" s="92"/>
      <c r="D62" s="57"/>
      <c r="E62" s="92"/>
      <c r="F62" s="92"/>
      <c r="G62" s="92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</row>
    <row r="63">
      <c r="A63" s="91"/>
      <c r="B63" s="57"/>
      <c r="C63" s="92"/>
      <c r="D63" s="57"/>
      <c r="E63" s="92"/>
      <c r="F63" s="92"/>
      <c r="G63" s="92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</row>
    <row r="64">
      <c r="A64" s="91"/>
      <c r="B64" s="57"/>
      <c r="C64" s="92"/>
      <c r="D64" s="57"/>
      <c r="E64" s="92"/>
      <c r="F64" s="92"/>
      <c r="G64" s="92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</row>
    <row r="65">
      <c r="A65" s="91"/>
      <c r="B65" s="57"/>
      <c r="C65" s="92"/>
      <c r="D65" s="57"/>
      <c r="E65" s="92"/>
      <c r="F65" s="92"/>
      <c r="G65" s="92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</row>
    <row r="66">
      <c r="A66" s="91"/>
      <c r="B66" s="57"/>
      <c r="C66" s="92"/>
      <c r="D66" s="57"/>
      <c r="E66" s="92"/>
      <c r="F66" s="92"/>
      <c r="G66" s="92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</row>
    <row r="67">
      <c r="A67" s="91"/>
      <c r="B67" s="57"/>
      <c r="C67" s="92"/>
      <c r="D67" s="57"/>
      <c r="E67" s="92"/>
      <c r="F67" s="92"/>
      <c r="G67" s="92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</row>
    <row r="68">
      <c r="A68" s="91"/>
      <c r="B68" s="57"/>
      <c r="C68" s="92"/>
      <c r="D68" s="57"/>
      <c r="E68" s="92"/>
      <c r="F68" s="92"/>
      <c r="G68" s="92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</row>
    <row r="69">
      <c r="A69" s="91"/>
      <c r="B69" s="57"/>
      <c r="C69" s="92"/>
      <c r="D69" s="57"/>
      <c r="E69" s="92"/>
      <c r="F69" s="92"/>
      <c r="G69" s="92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</row>
    <row r="70">
      <c r="A70" s="91"/>
      <c r="B70" s="57"/>
      <c r="C70" s="92"/>
      <c r="D70" s="57"/>
      <c r="E70" s="92"/>
      <c r="F70" s="92"/>
      <c r="G70" s="92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</row>
    <row r="71">
      <c r="A71" s="91"/>
      <c r="B71" s="57"/>
      <c r="C71" s="92"/>
      <c r="D71" s="57"/>
      <c r="E71" s="92"/>
      <c r="F71" s="92"/>
      <c r="G71" s="92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</row>
    <row r="72">
      <c r="A72" s="91"/>
      <c r="B72" s="57"/>
      <c r="C72" s="92"/>
      <c r="D72" s="57"/>
      <c r="E72" s="92"/>
      <c r="F72" s="92"/>
      <c r="G72" s="92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</row>
    <row r="73">
      <c r="A73" s="91"/>
      <c r="B73" s="57"/>
      <c r="C73" s="92"/>
      <c r="D73" s="57"/>
      <c r="E73" s="92"/>
      <c r="F73" s="92"/>
      <c r="G73" s="92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</row>
    <row r="74">
      <c r="A74" s="91"/>
      <c r="B74" s="57"/>
      <c r="C74" s="92"/>
      <c r="D74" s="57"/>
      <c r="E74" s="92"/>
      <c r="F74" s="92"/>
      <c r="G74" s="92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</row>
    <row r="75">
      <c r="A75" s="91"/>
      <c r="B75" s="57"/>
      <c r="C75" s="92"/>
      <c r="D75" s="57"/>
      <c r="E75" s="92"/>
      <c r="F75" s="92"/>
      <c r="G75" s="92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</row>
    <row r="76">
      <c r="A76" s="91"/>
      <c r="B76" s="57"/>
      <c r="C76" s="92"/>
      <c r="D76" s="57"/>
      <c r="E76" s="92"/>
      <c r="F76" s="92"/>
      <c r="G76" s="92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</row>
    <row r="77">
      <c r="A77" s="91"/>
      <c r="B77" s="57"/>
      <c r="C77" s="92"/>
      <c r="D77" s="57"/>
      <c r="E77" s="92"/>
      <c r="F77" s="92"/>
      <c r="G77" s="92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</row>
    <row r="78">
      <c r="A78" s="91"/>
      <c r="B78" s="57"/>
      <c r="C78" s="92"/>
      <c r="D78" s="57"/>
      <c r="E78" s="92"/>
      <c r="F78" s="92"/>
      <c r="G78" s="92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</row>
    <row r="79">
      <c r="A79" s="91"/>
      <c r="B79" s="57"/>
      <c r="C79" s="92"/>
      <c r="D79" s="57"/>
      <c r="E79" s="92"/>
      <c r="F79" s="92"/>
      <c r="G79" s="92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</row>
    <row r="80">
      <c r="A80" s="91"/>
      <c r="B80" s="57"/>
      <c r="C80" s="92"/>
      <c r="D80" s="57"/>
      <c r="E80" s="92"/>
      <c r="F80" s="92"/>
      <c r="G80" s="92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</row>
    <row r="81">
      <c r="A81" s="91"/>
      <c r="B81" s="57"/>
      <c r="C81" s="92"/>
      <c r="D81" s="57"/>
      <c r="E81" s="92"/>
      <c r="F81" s="92"/>
      <c r="G81" s="92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</row>
    <row r="82">
      <c r="A82" s="91"/>
      <c r="B82" s="57"/>
      <c r="C82" s="92"/>
      <c r="D82" s="57"/>
      <c r="E82" s="92"/>
      <c r="F82" s="92"/>
      <c r="G82" s="92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</row>
    <row r="83">
      <c r="A83" s="91"/>
      <c r="B83" s="57"/>
      <c r="C83" s="92"/>
      <c r="D83" s="57"/>
      <c r="E83" s="92"/>
      <c r="F83" s="92"/>
      <c r="G83" s="92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</row>
    <row r="84">
      <c r="A84" s="91"/>
      <c r="B84" s="57"/>
      <c r="C84" s="92"/>
      <c r="D84" s="57"/>
      <c r="E84" s="92"/>
      <c r="F84" s="92"/>
      <c r="G84" s="92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</row>
    <row r="85">
      <c r="A85" s="91"/>
      <c r="B85" s="57"/>
      <c r="C85" s="92"/>
      <c r="D85" s="57"/>
      <c r="E85" s="92"/>
      <c r="F85" s="92"/>
      <c r="G85" s="92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</row>
    <row r="86">
      <c r="A86" s="91"/>
      <c r="B86" s="57"/>
      <c r="C86" s="92"/>
      <c r="D86" s="57"/>
      <c r="E86" s="92"/>
      <c r="F86" s="92"/>
      <c r="G86" s="92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</row>
    <row r="87">
      <c r="A87" s="91"/>
      <c r="B87" s="57"/>
      <c r="C87" s="92"/>
      <c r="D87" s="57"/>
      <c r="E87" s="92"/>
      <c r="F87" s="92"/>
      <c r="G87" s="92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</row>
    <row r="88">
      <c r="A88" s="91"/>
      <c r="B88" s="57"/>
      <c r="C88" s="92"/>
      <c r="D88" s="57"/>
      <c r="E88" s="92"/>
      <c r="F88" s="92"/>
      <c r="G88" s="92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</row>
    <row r="89">
      <c r="A89" s="91"/>
      <c r="B89" s="57"/>
      <c r="C89" s="92"/>
      <c r="D89" s="57"/>
      <c r="E89" s="92"/>
      <c r="F89" s="92"/>
      <c r="G89" s="92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</row>
    <row r="90">
      <c r="A90" s="91"/>
      <c r="B90" s="57"/>
      <c r="C90" s="92"/>
      <c r="D90" s="57"/>
      <c r="E90" s="92"/>
      <c r="F90" s="92"/>
      <c r="G90" s="92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</row>
    <row r="91">
      <c r="A91" s="91"/>
      <c r="B91" s="57"/>
      <c r="C91" s="92"/>
      <c r="D91" s="57"/>
      <c r="E91" s="92"/>
      <c r="F91" s="92"/>
      <c r="G91" s="92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</row>
    <row r="92">
      <c r="A92" s="91"/>
      <c r="B92" s="57"/>
      <c r="C92" s="92"/>
      <c r="D92" s="57"/>
      <c r="E92" s="92"/>
      <c r="F92" s="92"/>
      <c r="G92" s="92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</row>
    <row r="93">
      <c r="A93" s="91"/>
      <c r="B93" s="57"/>
      <c r="C93" s="92"/>
      <c r="D93" s="57"/>
      <c r="E93" s="92"/>
      <c r="F93" s="92"/>
      <c r="G93" s="92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</row>
    <row r="94">
      <c r="A94" s="91"/>
      <c r="B94" s="57"/>
      <c r="C94" s="92"/>
      <c r="D94" s="57"/>
      <c r="E94" s="92"/>
      <c r="F94" s="92"/>
      <c r="G94" s="92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</row>
    <row r="95">
      <c r="A95" s="91"/>
      <c r="B95" s="57"/>
      <c r="C95" s="92"/>
      <c r="D95" s="57"/>
      <c r="E95" s="92"/>
      <c r="F95" s="92"/>
      <c r="G95" s="92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</row>
    <row r="96">
      <c r="A96" s="91"/>
      <c r="B96" s="57"/>
      <c r="C96" s="92"/>
      <c r="D96" s="57"/>
      <c r="E96" s="92"/>
      <c r="F96" s="92"/>
      <c r="G96" s="92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</row>
    <row r="97">
      <c r="A97" s="91"/>
      <c r="B97" s="57"/>
      <c r="C97" s="92"/>
      <c r="D97" s="57"/>
      <c r="E97" s="92"/>
      <c r="F97" s="92"/>
      <c r="G97" s="92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</row>
    <row r="98">
      <c r="A98" s="91"/>
      <c r="B98" s="57"/>
      <c r="C98" s="92"/>
      <c r="D98" s="57"/>
      <c r="E98" s="92"/>
      <c r="F98" s="92"/>
      <c r="G98" s="92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</row>
    <row r="99">
      <c r="A99" s="91"/>
      <c r="B99" s="57"/>
      <c r="C99" s="92"/>
      <c r="D99" s="57"/>
      <c r="E99" s="92"/>
      <c r="F99" s="92"/>
      <c r="G99" s="92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</row>
    <row r="100">
      <c r="A100" s="91"/>
      <c r="B100" s="57"/>
      <c r="C100" s="92"/>
      <c r="D100" s="57"/>
      <c r="E100" s="92"/>
      <c r="F100" s="92"/>
      <c r="G100" s="92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</row>
    <row r="101">
      <c r="A101" s="91"/>
      <c r="B101" s="57"/>
      <c r="C101" s="92"/>
      <c r="D101" s="57"/>
      <c r="E101" s="92"/>
      <c r="F101" s="92"/>
      <c r="G101" s="92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</row>
    <row r="102">
      <c r="A102" s="91"/>
      <c r="B102" s="57"/>
      <c r="C102" s="92"/>
      <c r="D102" s="57"/>
      <c r="E102" s="92"/>
      <c r="F102" s="92"/>
      <c r="G102" s="92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</row>
    <row r="103">
      <c r="A103" s="91"/>
      <c r="B103" s="57"/>
      <c r="C103" s="92"/>
      <c r="D103" s="57"/>
      <c r="E103" s="92"/>
      <c r="F103" s="92"/>
      <c r="G103" s="92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</row>
    <row r="104">
      <c r="A104" s="91"/>
      <c r="B104" s="57"/>
      <c r="C104" s="92"/>
      <c r="D104" s="57"/>
      <c r="E104" s="92"/>
      <c r="F104" s="92"/>
      <c r="G104" s="92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</row>
    <row r="105">
      <c r="A105" s="91"/>
      <c r="B105" s="57"/>
      <c r="C105" s="92"/>
      <c r="D105" s="57"/>
      <c r="E105" s="92"/>
      <c r="F105" s="92"/>
      <c r="G105" s="92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</row>
    <row r="106">
      <c r="A106" s="91"/>
      <c r="B106" s="57"/>
      <c r="C106" s="92"/>
      <c r="D106" s="57"/>
      <c r="E106" s="92"/>
      <c r="F106" s="92"/>
      <c r="G106" s="92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</row>
    <row r="107">
      <c r="A107" s="91"/>
      <c r="B107" s="57"/>
      <c r="C107" s="92"/>
      <c r="D107" s="57"/>
      <c r="E107" s="92"/>
      <c r="F107" s="92"/>
      <c r="G107" s="92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</row>
    <row r="108">
      <c r="A108" s="91"/>
      <c r="B108" s="57"/>
      <c r="C108" s="92"/>
      <c r="D108" s="57"/>
      <c r="E108" s="92"/>
      <c r="F108" s="92"/>
      <c r="G108" s="92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</row>
    <row r="109">
      <c r="A109" s="91"/>
      <c r="B109" s="57"/>
      <c r="C109" s="92"/>
      <c r="D109" s="57"/>
      <c r="E109" s="92"/>
      <c r="F109" s="92"/>
      <c r="G109" s="92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</row>
    <row r="110">
      <c r="A110" s="91"/>
      <c r="B110" s="57"/>
      <c r="C110" s="92"/>
      <c r="D110" s="57"/>
      <c r="E110" s="92"/>
      <c r="F110" s="92"/>
      <c r="G110" s="92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</row>
    <row r="111">
      <c r="A111" s="91"/>
      <c r="B111" s="57"/>
      <c r="C111" s="92"/>
      <c r="D111" s="57"/>
      <c r="E111" s="92"/>
      <c r="F111" s="92"/>
      <c r="G111" s="92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</row>
    <row r="112">
      <c r="A112" s="91"/>
      <c r="B112" s="57"/>
      <c r="C112" s="92"/>
      <c r="D112" s="57"/>
      <c r="E112" s="92"/>
      <c r="F112" s="92"/>
      <c r="G112" s="92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</row>
    <row r="113">
      <c r="A113" s="91"/>
      <c r="B113" s="57"/>
      <c r="C113" s="92"/>
      <c r="D113" s="57"/>
      <c r="E113" s="92"/>
      <c r="F113" s="92"/>
      <c r="G113" s="92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</row>
    <row r="114">
      <c r="A114" s="91"/>
      <c r="B114" s="57"/>
      <c r="C114" s="92"/>
      <c r="D114" s="57"/>
      <c r="E114" s="92"/>
      <c r="F114" s="92"/>
      <c r="G114" s="92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</row>
    <row r="115">
      <c r="A115" s="91"/>
      <c r="B115" s="57"/>
      <c r="C115" s="92"/>
      <c r="D115" s="57"/>
      <c r="E115" s="92"/>
      <c r="F115" s="92"/>
      <c r="G115" s="92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</row>
    <row r="116">
      <c r="A116" s="91"/>
      <c r="B116" s="57"/>
      <c r="C116" s="92"/>
      <c r="D116" s="57"/>
      <c r="E116" s="92"/>
      <c r="F116" s="92"/>
      <c r="G116" s="92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</row>
    <row r="117">
      <c r="A117" s="91"/>
      <c r="B117" s="57"/>
      <c r="C117" s="92"/>
      <c r="D117" s="57"/>
      <c r="E117" s="92"/>
      <c r="F117" s="92"/>
      <c r="G117" s="92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</row>
    <row r="118">
      <c r="A118" s="91"/>
      <c r="B118" s="57"/>
      <c r="C118" s="92"/>
      <c r="D118" s="57"/>
      <c r="E118" s="92"/>
      <c r="F118" s="92"/>
      <c r="G118" s="92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</row>
    <row r="119">
      <c r="A119" s="91"/>
      <c r="B119" s="57"/>
      <c r="C119" s="92"/>
      <c r="D119" s="57"/>
      <c r="E119" s="92"/>
      <c r="F119" s="92"/>
      <c r="G119" s="92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</row>
    <row r="120">
      <c r="A120" s="91"/>
      <c r="B120" s="57"/>
      <c r="C120" s="92"/>
      <c r="D120" s="57"/>
      <c r="E120" s="92"/>
      <c r="F120" s="92"/>
      <c r="G120" s="92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</row>
    <row r="121">
      <c r="A121" s="91"/>
      <c r="B121" s="57"/>
      <c r="C121" s="92"/>
      <c r="D121" s="57"/>
      <c r="E121" s="92"/>
      <c r="F121" s="92"/>
      <c r="G121" s="92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</row>
    <row r="122">
      <c r="A122" s="91"/>
      <c r="B122" s="57"/>
      <c r="C122" s="92"/>
      <c r="D122" s="57"/>
      <c r="E122" s="92"/>
      <c r="F122" s="92"/>
      <c r="G122" s="92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</row>
    <row r="123">
      <c r="A123" s="91"/>
      <c r="B123" s="57"/>
      <c r="C123" s="92"/>
      <c r="D123" s="57"/>
      <c r="E123" s="92"/>
      <c r="F123" s="92"/>
      <c r="G123" s="92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</row>
    <row r="124">
      <c r="A124" s="91"/>
      <c r="B124" s="57"/>
      <c r="C124" s="92"/>
      <c r="D124" s="57"/>
      <c r="E124" s="92"/>
      <c r="F124" s="92"/>
      <c r="G124" s="92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</row>
    <row r="125">
      <c r="A125" s="91"/>
      <c r="B125" s="57"/>
      <c r="C125" s="92"/>
      <c r="D125" s="57"/>
      <c r="E125" s="92"/>
      <c r="F125" s="92"/>
      <c r="G125" s="92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</row>
    <row r="126">
      <c r="A126" s="91"/>
      <c r="B126" s="57"/>
      <c r="C126" s="92"/>
      <c r="D126" s="57"/>
      <c r="E126" s="92"/>
      <c r="F126" s="92"/>
      <c r="G126" s="92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</row>
    <row r="127">
      <c r="A127" s="91"/>
      <c r="B127" s="57"/>
      <c r="C127" s="92"/>
      <c r="D127" s="57"/>
      <c r="E127" s="92"/>
      <c r="F127" s="92"/>
      <c r="G127" s="92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</row>
    <row r="128">
      <c r="A128" s="91"/>
      <c r="B128" s="57"/>
      <c r="C128" s="92"/>
      <c r="D128" s="57"/>
      <c r="E128" s="92"/>
      <c r="F128" s="92"/>
      <c r="G128" s="92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</row>
    <row r="129">
      <c r="A129" s="91"/>
      <c r="B129" s="57"/>
      <c r="C129" s="92"/>
      <c r="D129" s="57"/>
      <c r="E129" s="92"/>
      <c r="F129" s="92"/>
      <c r="G129" s="92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</row>
    <row r="130">
      <c r="A130" s="91"/>
      <c r="B130" s="57"/>
      <c r="C130" s="92"/>
      <c r="D130" s="57"/>
      <c r="E130" s="92"/>
      <c r="F130" s="92"/>
      <c r="G130" s="92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</row>
    <row r="131">
      <c r="A131" s="91"/>
      <c r="B131" s="57"/>
      <c r="C131" s="92"/>
      <c r="D131" s="57"/>
      <c r="E131" s="92"/>
      <c r="F131" s="92"/>
      <c r="G131" s="92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</row>
    <row r="132">
      <c r="A132" s="91"/>
      <c r="B132" s="57"/>
      <c r="C132" s="92"/>
      <c r="D132" s="57"/>
      <c r="E132" s="92"/>
      <c r="F132" s="92"/>
      <c r="G132" s="92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</row>
    <row r="133">
      <c r="A133" s="91"/>
      <c r="B133" s="57"/>
      <c r="C133" s="92"/>
      <c r="D133" s="57"/>
      <c r="E133" s="92"/>
      <c r="F133" s="92"/>
      <c r="G133" s="92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</row>
    <row r="134">
      <c r="A134" s="91"/>
      <c r="B134" s="57"/>
      <c r="C134" s="92"/>
      <c r="D134" s="57"/>
      <c r="E134" s="92"/>
      <c r="F134" s="92"/>
      <c r="G134" s="92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</row>
    <row r="135">
      <c r="A135" s="91"/>
      <c r="B135" s="57"/>
      <c r="C135" s="92"/>
      <c r="D135" s="57"/>
      <c r="E135" s="92"/>
      <c r="F135" s="92"/>
      <c r="G135" s="92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</row>
    <row r="136">
      <c r="A136" s="91"/>
      <c r="B136" s="57"/>
      <c r="C136" s="92"/>
      <c r="D136" s="57"/>
      <c r="E136" s="92"/>
      <c r="F136" s="92"/>
      <c r="G136" s="92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</row>
    <row r="137">
      <c r="A137" s="91"/>
      <c r="B137" s="57"/>
      <c r="C137" s="92"/>
      <c r="D137" s="57"/>
      <c r="E137" s="92"/>
      <c r="F137" s="92"/>
      <c r="G137" s="92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</row>
    <row r="138">
      <c r="A138" s="91"/>
      <c r="B138" s="57"/>
      <c r="C138" s="92"/>
      <c r="D138" s="57"/>
      <c r="E138" s="92"/>
      <c r="F138" s="92"/>
      <c r="G138" s="92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</row>
    <row r="139">
      <c r="A139" s="91"/>
      <c r="B139" s="57"/>
      <c r="C139" s="92"/>
      <c r="D139" s="57"/>
      <c r="E139" s="92"/>
      <c r="F139" s="92"/>
      <c r="G139" s="92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</row>
    <row r="140">
      <c r="A140" s="91"/>
      <c r="B140" s="57"/>
      <c r="C140" s="92"/>
      <c r="D140" s="57"/>
      <c r="E140" s="92"/>
      <c r="F140" s="92"/>
      <c r="G140" s="92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</row>
    <row r="141">
      <c r="A141" s="91"/>
      <c r="B141" s="57"/>
      <c r="C141" s="92"/>
      <c r="D141" s="57"/>
      <c r="E141" s="92"/>
      <c r="F141" s="92"/>
      <c r="G141" s="92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</row>
    <row r="142">
      <c r="A142" s="91"/>
      <c r="B142" s="57"/>
      <c r="C142" s="92"/>
      <c r="D142" s="57"/>
      <c r="E142" s="92"/>
      <c r="F142" s="92"/>
      <c r="G142" s="92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</row>
    <row r="143">
      <c r="A143" s="91"/>
      <c r="B143" s="57"/>
      <c r="C143" s="92"/>
      <c r="D143" s="57"/>
      <c r="E143" s="92"/>
      <c r="F143" s="92"/>
      <c r="G143" s="92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</row>
    <row r="144">
      <c r="A144" s="91"/>
      <c r="B144" s="57"/>
      <c r="C144" s="92"/>
      <c r="D144" s="57"/>
      <c r="E144" s="92"/>
      <c r="F144" s="92"/>
      <c r="G144" s="92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</row>
    <row r="145">
      <c r="A145" s="91"/>
      <c r="B145" s="57"/>
      <c r="C145" s="92"/>
      <c r="D145" s="57"/>
      <c r="E145" s="92"/>
      <c r="F145" s="92"/>
      <c r="G145" s="92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</row>
    <row r="146">
      <c r="A146" s="91"/>
      <c r="B146" s="57"/>
      <c r="C146" s="92"/>
      <c r="D146" s="57"/>
      <c r="E146" s="92"/>
      <c r="F146" s="92"/>
      <c r="G146" s="92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</row>
    <row r="147">
      <c r="A147" s="91"/>
      <c r="B147" s="57"/>
      <c r="C147" s="92"/>
      <c r="D147" s="57"/>
      <c r="E147" s="92"/>
      <c r="F147" s="92"/>
      <c r="G147" s="92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</row>
    <row r="148">
      <c r="A148" s="91"/>
      <c r="B148" s="57"/>
      <c r="C148" s="92"/>
      <c r="D148" s="57"/>
      <c r="E148" s="92"/>
      <c r="F148" s="92"/>
      <c r="G148" s="92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</row>
    <row r="149">
      <c r="A149" s="91"/>
      <c r="B149" s="57"/>
      <c r="C149" s="92"/>
      <c r="D149" s="57"/>
      <c r="E149" s="92"/>
      <c r="F149" s="92"/>
      <c r="G149" s="92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</row>
    <row r="150">
      <c r="A150" s="91"/>
      <c r="B150" s="57"/>
      <c r="C150" s="92"/>
      <c r="D150" s="57"/>
      <c r="E150" s="92"/>
      <c r="F150" s="92"/>
      <c r="G150" s="92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</row>
    <row r="151">
      <c r="A151" s="91"/>
      <c r="B151" s="57"/>
      <c r="C151" s="92"/>
      <c r="D151" s="57"/>
      <c r="E151" s="92"/>
      <c r="F151" s="92"/>
      <c r="G151" s="92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</row>
    <row r="152">
      <c r="A152" s="91"/>
      <c r="B152" s="57"/>
      <c r="C152" s="92"/>
      <c r="D152" s="57"/>
      <c r="E152" s="92"/>
      <c r="F152" s="92"/>
      <c r="G152" s="92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</row>
    <row r="153">
      <c r="A153" s="91"/>
      <c r="B153" s="57"/>
      <c r="C153" s="92"/>
      <c r="D153" s="57"/>
      <c r="E153" s="92"/>
      <c r="F153" s="92"/>
      <c r="G153" s="92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</row>
    <row r="154">
      <c r="A154" s="91"/>
      <c r="B154" s="57"/>
      <c r="C154" s="92"/>
      <c r="D154" s="57"/>
      <c r="E154" s="92"/>
      <c r="F154" s="92"/>
      <c r="G154" s="92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</row>
    <row r="155">
      <c r="A155" s="91"/>
      <c r="B155" s="57"/>
      <c r="C155" s="92"/>
      <c r="D155" s="57"/>
      <c r="E155" s="92"/>
      <c r="F155" s="92"/>
      <c r="G155" s="92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</row>
    <row r="156">
      <c r="A156" s="91"/>
      <c r="B156" s="57"/>
      <c r="C156" s="92"/>
      <c r="D156" s="57"/>
      <c r="E156" s="92"/>
      <c r="F156" s="92"/>
      <c r="G156" s="92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</row>
    <row r="157">
      <c r="A157" s="91"/>
      <c r="B157" s="57"/>
      <c r="C157" s="92"/>
      <c r="D157" s="57"/>
      <c r="E157" s="92"/>
      <c r="F157" s="92"/>
      <c r="G157" s="92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</row>
    <row r="158">
      <c r="A158" s="91"/>
      <c r="B158" s="57"/>
      <c r="C158" s="92"/>
      <c r="D158" s="57"/>
      <c r="E158" s="92"/>
      <c r="F158" s="92"/>
      <c r="G158" s="92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</row>
    <row r="159">
      <c r="A159" s="91"/>
      <c r="B159" s="57"/>
      <c r="C159" s="92"/>
      <c r="D159" s="57"/>
      <c r="E159" s="92"/>
      <c r="F159" s="92"/>
      <c r="G159" s="92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</row>
    <row r="160">
      <c r="A160" s="91"/>
      <c r="B160" s="57"/>
      <c r="C160" s="92"/>
      <c r="D160" s="57"/>
      <c r="E160" s="92"/>
      <c r="F160" s="92"/>
      <c r="G160" s="92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</row>
    <row r="161">
      <c r="A161" s="91"/>
      <c r="B161" s="57"/>
      <c r="C161" s="92"/>
      <c r="D161" s="57"/>
      <c r="E161" s="92"/>
      <c r="F161" s="92"/>
      <c r="G161" s="92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</row>
    <row r="162">
      <c r="A162" s="91"/>
      <c r="B162" s="57"/>
      <c r="C162" s="92"/>
      <c r="D162" s="57"/>
      <c r="E162" s="92"/>
      <c r="F162" s="92"/>
      <c r="G162" s="92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</row>
    <row r="163">
      <c r="A163" s="91"/>
      <c r="B163" s="57"/>
      <c r="C163" s="92"/>
      <c r="D163" s="57"/>
      <c r="E163" s="92"/>
      <c r="F163" s="92"/>
      <c r="G163" s="92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</row>
    <row r="164">
      <c r="A164" s="91"/>
      <c r="B164" s="57"/>
      <c r="C164" s="92"/>
      <c r="D164" s="57"/>
      <c r="E164" s="92"/>
      <c r="F164" s="92"/>
      <c r="G164" s="92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</row>
    <row r="165">
      <c r="A165" s="91"/>
      <c r="B165" s="57"/>
      <c r="C165" s="92"/>
      <c r="D165" s="57"/>
      <c r="E165" s="92"/>
      <c r="F165" s="92"/>
      <c r="G165" s="92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</row>
    <row r="166">
      <c r="A166" s="91"/>
      <c r="B166" s="57"/>
      <c r="C166" s="92"/>
      <c r="D166" s="57"/>
      <c r="E166" s="92"/>
      <c r="F166" s="92"/>
      <c r="G166" s="92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</row>
    <row r="167">
      <c r="A167" s="91"/>
      <c r="B167" s="57"/>
      <c r="C167" s="92"/>
      <c r="D167" s="57"/>
      <c r="E167" s="92"/>
      <c r="F167" s="92"/>
      <c r="G167" s="92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</row>
    <row r="168">
      <c r="A168" s="91"/>
      <c r="B168" s="57"/>
      <c r="C168" s="92"/>
      <c r="D168" s="57"/>
      <c r="E168" s="92"/>
      <c r="F168" s="92"/>
      <c r="G168" s="92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</row>
    <row r="169">
      <c r="A169" s="91"/>
      <c r="B169" s="57"/>
      <c r="C169" s="92"/>
      <c r="D169" s="57"/>
      <c r="E169" s="92"/>
      <c r="F169" s="92"/>
      <c r="G169" s="92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</row>
    <row r="170">
      <c r="A170" s="91"/>
      <c r="B170" s="57"/>
      <c r="C170" s="92"/>
      <c r="D170" s="57"/>
      <c r="E170" s="92"/>
      <c r="F170" s="92"/>
      <c r="G170" s="92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</row>
    <row r="171">
      <c r="A171" s="91"/>
      <c r="B171" s="57"/>
      <c r="C171" s="92"/>
      <c r="D171" s="57"/>
      <c r="E171" s="92"/>
      <c r="F171" s="92"/>
      <c r="G171" s="92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</row>
    <row r="172">
      <c r="A172" s="91"/>
      <c r="B172" s="57"/>
      <c r="C172" s="92"/>
      <c r="D172" s="57"/>
      <c r="E172" s="92"/>
      <c r="F172" s="92"/>
      <c r="G172" s="92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</row>
    <row r="173">
      <c r="A173" s="91"/>
      <c r="B173" s="57"/>
      <c r="C173" s="92"/>
      <c r="D173" s="57"/>
      <c r="E173" s="92"/>
      <c r="F173" s="92"/>
      <c r="G173" s="92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</row>
    <row r="174">
      <c r="A174" s="91"/>
      <c r="B174" s="57"/>
      <c r="C174" s="92"/>
      <c r="D174" s="57"/>
      <c r="E174" s="92"/>
      <c r="F174" s="92"/>
      <c r="G174" s="92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</row>
    <row r="175">
      <c r="A175" s="91"/>
      <c r="B175" s="57"/>
      <c r="C175" s="92"/>
      <c r="D175" s="57"/>
      <c r="E175" s="92"/>
      <c r="F175" s="92"/>
      <c r="G175" s="92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</row>
    <row r="176">
      <c r="A176" s="91"/>
      <c r="B176" s="57"/>
      <c r="C176" s="92"/>
      <c r="D176" s="57"/>
      <c r="E176" s="92"/>
      <c r="F176" s="92"/>
      <c r="G176" s="92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</row>
    <row r="177">
      <c r="A177" s="91"/>
      <c r="B177" s="57"/>
      <c r="C177" s="92"/>
      <c r="D177" s="57"/>
      <c r="E177" s="92"/>
      <c r="F177" s="92"/>
      <c r="G177" s="92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</row>
    <row r="178">
      <c r="A178" s="91"/>
      <c r="B178" s="57"/>
      <c r="C178" s="92"/>
      <c r="D178" s="57"/>
      <c r="E178" s="92"/>
      <c r="F178" s="92"/>
      <c r="G178" s="92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</row>
    <row r="179">
      <c r="A179" s="91"/>
      <c r="B179" s="57"/>
      <c r="C179" s="92"/>
      <c r="D179" s="57"/>
      <c r="E179" s="92"/>
      <c r="F179" s="92"/>
      <c r="G179" s="92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</row>
    <row r="180">
      <c r="A180" s="91"/>
      <c r="B180" s="57"/>
      <c r="C180" s="92"/>
      <c r="D180" s="57"/>
      <c r="E180" s="92"/>
      <c r="F180" s="92"/>
      <c r="G180" s="92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</row>
    <row r="181">
      <c r="A181" s="91"/>
      <c r="B181" s="57"/>
      <c r="C181" s="92"/>
      <c r="D181" s="57"/>
      <c r="E181" s="92"/>
      <c r="F181" s="92"/>
      <c r="G181" s="92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</row>
    <row r="182">
      <c r="A182" s="91"/>
      <c r="B182" s="57"/>
      <c r="C182" s="92"/>
      <c r="D182" s="57"/>
      <c r="E182" s="92"/>
      <c r="F182" s="92"/>
      <c r="G182" s="92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</row>
    <row r="183">
      <c r="A183" s="91"/>
      <c r="B183" s="57"/>
      <c r="C183" s="92"/>
      <c r="D183" s="57"/>
      <c r="E183" s="92"/>
      <c r="F183" s="92"/>
      <c r="G183" s="92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</row>
    <row r="184">
      <c r="A184" s="91"/>
      <c r="B184" s="57"/>
      <c r="C184" s="92"/>
      <c r="D184" s="57"/>
      <c r="E184" s="92"/>
      <c r="F184" s="92"/>
      <c r="G184" s="92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</row>
    <row r="185">
      <c r="A185" s="91"/>
      <c r="B185" s="57"/>
      <c r="C185" s="92"/>
      <c r="D185" s="57"/>
      <c r="E185" s="92"/>
      <c r="F185" s="92"/>
      <c r="G185" s="92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</row>
    <row r="186">
      <c r="A186" s="91"/>
      <c r="B186" s="57"/>
      <c r="C186" s="92"/>
      <c r="D186" s="57"/>
      <c r="E186" s="92"/>
      <c r="F186" s="92"/>
      <c r="G186" s="92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</row>
    <row r="187">
      <c r="A187" s="91"/>
      <c r="B187" s="57"/>
      <c r="C187" s="92"/>
      <c r="D187" s="57"/>
      <c r="E187" s="92"/>
      <c r="F187" s="92"/>
      <c r="G187" s="92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</row>
    <row r="188">
      <c r="A188" s="91"/>
      <c r="B188" s="57"/>
      <c r="C188" s="92"/>
      <c r="D188" s="57"/>
      <c r="E188" s="92"/>
      <c r="F188" s="92"/>
      <c r="G188" s="92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</row>
    <row r="189">
      <c r="A189" s="91"/>
      <c r="B189" s="57"/>
      <c r="C189" s="92"/>
      <c r="D189" s="57"/>
      <c r="E189" s="92"/>
      <c r="F189" s="92"/>
      <c r="G189" s="92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</row>
    <row r="190">
      <c r="A190" s="91"/>
      <c r="B190" s="57"/>
      <c r="C190" s="92"/>
      <c r="D190" s="57"/>
      <c r="E190" s="92"/>
      <c r="F190" s="92"/>
      <c r="G190" s="92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</row>
    <row r="191">
      <c r="A191" s="91"/>
      <c r="B191" s="57"/>
      <c r="C191" s="92"/>
      <c r="D191" s="57"/>
      <c r="E191" s="92"/>
      <c r="F191" s="92"/>
      <c r="G191" s="92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</row>
    <row r="192">
      <c r="A192" s="91"/>
      <c r="B192" s="57"/>
      <c r="C192" s="92"/>
      <c r="D192" s="57"/>
      <c r="E192" s="92"/>
      <c r="F192" s="92"/>
      <c r="G192" s="92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</row>
    <row r="193">
      <c r="A193" s="91"/>
      <c r="B193" s="57"/>
      <c r="C193" s="92"/>
      <c r="D193" s="57"/>
      <c r="E193" s="92"/>
      <c r="F193" s="92"/>
      <c r="G193" s="92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</row>
    <row r="194">
      <c r="A194" s="91"/>
      <c r="B194" s="57"/>
      <c r="C194" s="92"/>
      <c r="D194" s="57"/>
      <c r="E194" s="92"/>
      <c r="F194" s="92"/>
      <c r="G194" s="92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</row>
    <row r="195">
      <c r="A195" s="91"/>
      <c r="B195" s="57"/>
      <c r="C195" s="92"/>
      <c r="D195" s="57"/>
      <c r="E195" s="92"/>
      <c r="F195" s="92"/>
      <c r="G195" s="92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</row>
    <row r="196">
      <c r="A196" s="91"/>
      <c r="B196" s="57"/>
      <c r="C196" s="92"/>
      <c r="D196" s="57"/>
      <c r="E196" s="92"/>
      <c r="F196" s="92"/>
      <c r="G196" s="92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</row>
    <row r="197">
      <c r="A197" s="91"/>
      <c r="B197" s="57"/>
      <c r="C197" s="92"/>
      <c r="D197" s="57"/>
      <c r="E197" s="92"/>
      <c r="F197" s="92"/>
      <c r="G197" s="92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</row>
    <row r="198">
      <c r="A198" s="91"/>
      <c r="B198" s="57"/>
      <c r="C198" s="92"/>
      <c r="D198" s="57"/>
      <c r="E198" s="92"/>
      <c r="F198" s="92"/>
      <c r="G198" s="92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</row>
    <row r="199">
      <c r="A199" s="91"/>
      <c r="B199" s="57"/>
      <c r="C199" s="92"/>
      <c r="D199" s="57"/>
      <c r="E199" s="92"/>
      <c r="F199" s="92"/>
      <c r="G199" s="92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</row>
    <row r="200">
      <c r="A200" s="91"/>
      <c r="B200" s="57"/>
      <c r="C200" s="92"/>
      <c r="D200" s="57"/>
      <c r="E200" s="92"/>
      <c r="F200" s="92"/>
      <c r="G200" s="92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</row>
    <row r="201">
      <c r="A201" s="91"/>
      <c r="B201" s="57"/>
      <c r="C201" s="92"/>
      <c r="D201" s="57"/>
      <c r="E201" s="92"/>
      <c r="F201" s="92"/>
      <c r="G201" s="92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</row>
    <row r="202">
      <c r="A202" s="91"/>
      <c r="B202" s="57"/>
      <c r="C202" s="92"/>
      <c r="D202" s="57"/>
      <c r="E202" s="92"/>
      <c r="F202" s="92"/>
      <c r="G202" s="92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</row>
    <row r="203">
      <c r="A203" s="91"/>
      <c r="B203" s="57"/>
      <c r="C203" s="92"/>
      <c r="D203" s="57"/>
      <c r="E203" s="92"/>
      <c r="F203" s="92"/>
      <c r="G203" s="92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</row>
    <row r="204">
      <c r="A204" s="91"/>
      <c r="B204" s="57"/>
      <c r="C204" s="92"/>
      <c r="D204" s="57"/>
      <c r="E204" s="92"/>
      <c r="F204" s="92"/>
      <c r="G204" s="92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</row>
    <row r="205">
      <c r="A205" s="91"/>
      <c r="B205" s="57"/>
      <c r="C205" s="92"/>
      <c r="D205" s="57"/>
      <c r="E205" s="92"/>
      <c r="F205" s="92"/>
      <c r="G205" s="92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</row>
    <row r="206">
      <c r="A206" s="91"/>
      <c r="B206" s="57"/>
      <c r="C206" s="92"/>
      <c r="D206" s="57"/>
      <c r="E206" s="92"/>
      <c r="F206" s="92"/>
      <c r="G206" s="92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</row>
    <row r="207">
      <c r="A207" s="91"/>
      <c r="B207" s="57"/>
      <c r="C207" s="92"/>
      <c r="D207" s="57"/>
      <c r="E207" s="92"/>
      <c r="F207" s="92"/>
      <c r="G207" s="92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</row>
    <row r="208">
      <c r="A208" s="91"/>
      <c r="B208" s="57"/>
      <c r="C208" s="92"/>
      <c r="D208" s="57"/>
      <c r="E208" s="92"/>
      <c r="F208" s="92"/>
      <c r="G208" s="92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</row>
    <row r="209">
      <c r="A209" s="91"/>
      <c r="B209" s="57"/>
      <c r="C209" s="92"/>
      <c r="D209" s="57"/>
      <c r="E209" s="92"/>
      <c r="F209" s="92"/>
      <c r="G209" s="92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</row>
    <row r="210">
      <c r="A210" s="91"/>
      <c r="B210" s="57"/>
      <c r="C210" s="92"/>
      <c r="D210" s="57"/>
      <c r="E210" s="92"/>
      <c r="F210" s="92"/>
      <c r="G210" s="92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</row>
    <row r="211">
      <c r="A211" s="91"/>
      <c r="B211" s="57"/>
      <c r="C211" s="92"/>
      <c r="D211" s="57"/>
      <c r="E211" s="92"/>
      <c r="F211" s="92"/>
      <c r="G211" s="92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</row>
    <row r="212">
      <c r="A212" s="91"/>
      <c r="B212" s="57"/>
      <c r="C212" s="92"/>
      <c r="D212" s="57"/>
      <c r="E212" s="92"/>
      <c r="F212" s="92"/>
      <c r="G212" s="92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</row>
    <row r="213">
      <c r="A213" s="91"/>
      <c r="B213" s="57"/>
      <c r="C213" s="92"/>
      <c r="D213" s="57"/>
      <c r="E213" s="92"/>
      <c r="F213" s="92"/>
      <c r="G213" s="92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</row>
    <row r="214">
      <c r="A214" s="91"/>
      <c r="B214" s="57"/>
      <c r="C214" s="92"/>
      <c r="D214" s="57"/>
      <c r="E214" s="92"/>
      <c r="F214" s="92"/>
      <c r="G214" s="92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</row>
    <row r="215">
      <c r="A215" s="91"/>
      <c r="B215" s="57"/>
      <c r="C215" s="92"/>
      <c r="D215" s="57"/>
      <c r="E215" s="92"/>
      <c r="F215" s="92"/>
      <c r="G215" s="92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</row>
    <row r="216">
      <c r="A216" s="91"/>
      <c r="B216" s="57"/>
      <c r="C216" s="92"/>
      <c r="D216" s="57"/>
      <c r="E216" s="92"/>
      <c r="F216" s="92"/>
      <c r="G216" s="92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</row>
    <row r="217">
      <c r="A217" s="91"/>
      <c r="B217" s="57"/>
      <c r="C217" s="92"/>
      <c r="D217" s="57"/>
      <c r="E217" s="92"/>
      <c r="F217" s="92"/>
      <c r="G217" s="92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</row>
    <row r="218">
      <c r="A218" s="91"/>
      <c r="B218" s="57"/>
      <c r="C218" s="92"/>
      <c r="D218" s="57"/>
      <c r="E218" s="92"/>
      <c r="F218" s="92"/>
      <c r="G218" s="92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</row>
    <row r="219">
      <c r="A219" s="91"/>
      <c r="B219" s="57"/>
      <c r="C219" s="92"/>
      <c r="D219" s="57"/>
      <c r="E219" s="92"/>
      <c r="F219" s="92"/>
      <c r="G219" s="92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</row>
    <row r="220">
      <c r="A220" s="91"/>
      <c r="B220" s="57"/>
      <c r="C220" s="92"/>
      <c r="D220" s="57"/>
      <c r="E220" s="92"/>
      <c r="F220" s="92"/>
      <c r="G220" s="92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</row>
    <row r="221">
      <c r="A221" s="91"/>
      <c r="B221" s="57"/>
      <c r="C221" s="92"/>
      <c r="D221" s="57"/>
      <c r="E221" s="92"/>
      <c r="F221" s="92"/>
      <c r="G221" s="92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</row>
    <row r="222">
      <c r="A222" s="91"/>
      <c r="B222" s="57"/>
      <c r="C222" s="92"/>
      <c r="D222" s="57"/>
      <c r="E222" s="92"/>
      <c r="F222" s="92"/>
      <c r="G222" s="92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</row>
    <row r="223">
      <c r="A223" s="91"/>
      <c r="B223" s="57"/>
      <c r="C223" s="92"/>
      <c r="D223" s="57"/>
      <c r="E223" s="92"/>
      <c r="F223" s="92"/>
      <c r="G223" s="92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</row>
    <row r="224">
      <c r="A224" s="91"/>
      <c r="B224" s="57"/>
      <c r="C224" s="92"/>
      <c r="D224" s="57"/>
      <c r="E224" s="92"/>
      <c r="F224" s="92"/>
      <c r="G224" s="92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</row>
    <row r="225">
      <c r="A225" s="91"/>
      <c r="B225" s="57"/>
      <c r="C225" s="92"/>
      <c r="D225" s="57"/>
      <c r="E225" s="92"/>
      <c r="F225" s="92"/>
      <c r="G225" s="92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</row>
    <row r="226">
      <c r="A226" s="91"/>
      <c r="B226" s="57"/>
      <c r="C226" s="92"/>
      <c r="D226" s="57"/>
      <c r="E226" s="92"/>
      <c r="F226" s="92"/>
      <c r="G226" s="92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</row>
    <row r="227">
      <c r="A227" s="91"/>
      <c r="B227" s="57"/>
      <c r="C227" s="92"/>
      <c r="D227" s="57"/>
      <c r="E227" s="92"/>
      <c r="F227" s="92"/>
      <c r="G227" s="92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</row>
    <row r="228">
      <c r="A228" s="91"/>
      <c r="B228" s="57"/>
      <c r="C228" s="92"/>
      <c r="D228" s="57"/>
      <c r="E228" s="92"/>
      <c r="F228" s="92"/>
      <c r="G228" s="92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</row>
    <row r="229">
      <c r="A229" s="91"/>
      <c r="B229" s="57"/>
      <c r="C229" s="92"/>
      <c r="D229" s="57"/>
      <c r="E229" s="92"/>
      <c r="F229" s="92"/>
      <c r="G229" s="92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</row>
    <row r="230">
      <c r="A230" s="91"/>
      <c r="B230" s="57"/>
      <c r="C230" s="92"/>
      <c r="D230" s="57"/>
      <c r="E230" s="92"/>
      <c r="F230" s="92"/>
      <c r="G230" s="92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</row>
    <row r="231">
      <c r="A231" s="91"/>
      <c r="B231" s="57"/>
      <c r="C231" s="92"/>
      <c r="D231" s="57"/>
      <c r="E231" s="92"/>
      <c r="F231" s="92"/>
      <c r="G231" s="92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</row>
    <row r="232">
      <c r="A232" s="91"/>
      <c r="B232" s="57"/>
      <c r="C232" s="92"/>
      <c r="D232" s="57"/>
      <c r="E232" s="92"/>
      <c r="F232" s="92"/>
      <c r="G232" s="92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</row>
    <row r="233">
      <c r="A233" s="91"/>
      <c r="B233" s="57"/>
      <c r="C233" s="92"/>
      <c r="D233" s="57"/>
      <c r="E233" s="92"/>
      <c r="F233" s="92"/>
      <c r="G233" s="92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</row>
    <row r="234">
      <c r="A234" s="91"/>
      <c r="B234" s="57"/>
      <c r="C234" s="92"/>
      <c r="D234" s="57"/>
      <c r="E234" s="92"/>
      <c r="F234" s="92"/>
      <c r="G234" s="92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</row>
    <row r="235">
      <c r="A235" s="91"/>
      <c r="B235" s="57"/>
      <c r="C235" s="92"/>
      <c r="D235" s="57"/>
      <c r="E235" s="92"/>
      <c r="F235" s="92"/>
      <c r="G235" s="92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</row>
    <row r="236">
      <c r="A236" s="91"/>
      <c r="B236" s="57"/>
      <c r="C236" s="92"/>
      <c r="D236" s="57"/>
      <c r="E236" s="92"/>
      <c r="F236" s="92"/>
      <c r="G236" s="92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</row>
    <row r="237">
      <c r="A237" s="91"/>
      <c r="B237" s="57"/>
      <c r="C237" s="92"/>
      <c r="D237" s="57"/>
      <c r="E237" s="92"/>
      <c r="F237" s="92"/>
      <c r="G237" s="92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</row>
    <row r="238">
      <c r="A238" s="91"/>
      <c r="B238" s="57"/>
      <c r="C238" s="92"/>
      <c r="D238" s="57"/>
      <c r="E238" s="92"/>
      <c r="F238" s="92"/>
      <c r="G238" s="92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</row>
    <row r="239">
      <c r="A239" s="91"/>
      <c r="B239" s="57"/>
      <c r="C239" s="92"/>
      <c r="D239" s="57"/>
      <c r="E239" s="92"/>
      <c r="F239" s="92"/>
      <c r="G239" s="92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</row>
    <row r="240">
      <c r="A240" s="91"/>
      <c r="B240" s="57"/>
      <c r="C240" s="92"/>
      <c r="D240" s="57"/>
      <c r="E240" s="92"/>
      <c r="F240" s="92"/>
      <c r="G240" s="92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</row>
    <row r="241">
      <c r="A241" s="91"/>
      <c r="B241" s="57"/>
      <c r="C241" s="92"/>
      <c r="D241" s="57"/>
      <c r="E241" s="92"/>
      <c r="F241" s="92"/>
      <c r="G241" s="92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</row>
    <row r="242">
      <c r="A242" s="91"/>
      <c r="B242" s="57"/>
      <c r="C242" s="92"/>
      <c r="D242" s="57"/>
      <c r="E242" s="92"/>
      <c r="F242" s="92"/>
      <c r="G242" s="92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</row>
    <row r="243">
      <c r="A243" s="91"/>
      <c r="B243" s="57"/>
      <c r="C243" s="92"/>
      <c r="D243" s="57"/>
      <c r="E243" s="92"/>
      <c r="F243" s="92"/>
      <c r="G243" s="92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</row>
    <row r="244">
      <c r="A244" s="91"/>
      <c r="B244" s="57"/>
      <c r="C244" s="92"/>
      <c r="D244" s="57"/>
      <c r="E244" s="92"/>
      <c r="F244" s="92"/>
      <c r="G244" s="92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</row>
    <row r="245">
      <c r="A245" s="91"/>
      <c r="B245" s="57"/>
      <c r="C245" s="92"/>
      <c r="D245" s="57"/>
      <c r="E245" s="92"/>
      <c r="F245" s="92"/>
      <c r="G245" s="92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</row>
    <row r="246">
      <c r="A246" s="91"/>
      <c r="B246" s="57"/>
      <c r="C246" s="92"/>
      <c r="D246" s="57"/>
      <c r="E246" s="92"/>
      <c r="F246" s="92"/>
      <c r="G246" s="92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</row>
    <row r="247">
      <c r="A247" s="91"/>
      <c r="B247" s="57"/>
      <c r="C247" s="92"/>
      <c r="D247" s="57"/>
      <c r="E247" s="92"/>
      <c r="F247" s="92"/>
      <c r="G247" s="92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</row>
    <row r="248">
      <c r="A248" s="91"/>
      <c r="B248" s="57"/>
      <c r="C248" s="92"/>
      <c r="D248" s="57"/>
      <c r="E248" s="92"/>
      <c r="F248" s="92"/>
      <c r="G248" s="92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</row>
    <row r="249">
      <c r="A249" s="91"/>
      <c r="B249" s="57"/>
      <c r="C249" s="92"/>
      <c r="D249" s="57"/>
      <c r="E249" s="92"/>
      <c r="F249" s="92"/>
      <c r="G249" s="92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</row>
    <row r="250">
      <c r="A250" s="91"/>
      <c r="B250" s="57"/>
      <c r="C250" s="92"/>
      <c r="D250" s="57"/>
      <c r="E250" s="92"/>
      <c r="F250" s="92"/>
      <c r="G250" s="92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</row>
    <row r="251">
      <c r="A251" s="91"/>
      <c r="B251" s="57"/>
      <c r="C251" s="92"/>
      <c r="D251" s="57"/>
      <c r="E251" s="92"/>
      <c r="F251" s="92"/>
      <c r="G251" s="92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</row>
    <row r="252">
      <c r="A252" s="91"/>
      <c r="B252" s="57"/>
      <c r="C252" s="92"/>
      <c r="D252" s="57"/>
      <c r="E252" s="92"/>
      <c r="F252" s="92"/>
      <c r="G252" s="92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</row>
    <row r="253">
      <c r="A253" s="91"/>
      <c r="B253" s="57"/>
      <c r="C253" s="92"/>
      <c r="D253" s="57"/>
      <c r="E253" s="92"/>
      <c r="F253" s="92"/>
      <c r="G253" s="92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</row>
    <row r="254">
      <c r="A254" s="91"/>
      <c r="B254" s="57"/>
      <c r="C254" s="92"/>
      <c r="D254" s="57"/>
      <c r="E254" s="92"/>
      <c r="F254" s="92"/>
      <c r="G254" s="92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</row>
    <row r="255">
      <c r="A255" s="91"/>
      <c r="B255" s="57"/>
      <c r="C255" s="92"/>
      <c r="D255" s="57"/>
      <c r="E255" s="92"/>
      <c r="F255" s="92"/>
      <c r="G255" s="92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</row>
    <row r="256">
      <c r="A256" s="91"/>
      <c r="B256" s="57"/>
      <c r="C256" s="92"/>
      <c r="D256" s="57"/>
      <c r="E256" s="92"/>
      <c r="F256" s="92"/>
      <c r="G256" s="92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</row>
    <row r="257">
      <c r="A257" s="91"/>
      <c r="B257" s="57"/>
      <c r="C257" s="92"/>
      <c r="D257" s="57"/>
      <c r="E257" s="92"/>
      <c r="F257" s="92"/>
      <c r="G257" s="92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</row>
    <row r="258">
      <c r="A258" s="91"/>
      <c r="B258" s="57"/>
      <c r="C258" s="92"/>
      <c r="D258" s="57"/>
      <c r="E258" s="92"/>
      <c r="F258" s="92"/>
      <c r="G258" s="92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</row>
    <row r="259">
      <c r="A259" s="91"/>
      <c r="B259" s="57"/>
      <c r="C259" s="92"/>
      <c r="D259" s="57"/>
      <c r="E259" s="92"/>
      <c r="F259" s="92"/>
      <c r="G259" s="92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</row>
    <row r="260">
      <c r="A260" s="91"/>
      <c r="B260" s="57"/>
      <c r="C260" s="92"/>
      <c r="D260" s="57"/>
      <c r="E260" s="92"/>
      <c r="F260" s="92"/>
      <c r="G260" s="92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</row>
    <row r="261">
      <c r="A261" s="91"/>
      <c r="B261" s="57"/>
      <c r="C261" s="92"/>
      <c r="D261" s="57"/>
      <c r="E261" s="92"/>
      <c r="F261" s="92"/>
      <c r="G261" s="92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</row>
    <row r="262">
      <c r="A262" s="91"/>
      <c r="B262" s="57"/>
      <c r="C262" s="92"/>
      <c r="D262" s="57"/>
      <c r="E262" s="92"/>
      <c r="F262" s="92"/>
      <c r="G262" s="92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</row>
    <row r="263">
      <c r="A263" s="91"/>
      <c r="B263" s="57"/>
      <c r="C263" s="92"/>
      <c r="D263" s="57"/>
      <c r="E263" s="92"/>
      <c r="F263" s="92"/>
      <c r="G263" s="92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</row>
    <row r="264">
      <c r="A264" s="91"/>
      <c r="B264" s="57"/>
      <c r="C264" s="92"/>
      <c r="D264" s="57"/>
      <c r="E264" s="92"/>
      <c r="F264" s="92"/>
      <c r="G264" s="92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</row>
    <row r="265">
      <c r="A265" s="91"/>
      <c r="B265" s="57"/>
      <c r="C265" s="92"/>
      <c r="D265" s="57"/>
      <c r="E265" s="92"/>
      <c r="F265" s="92"/>
      <c r="G265" s="92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</row>
    <row r="266">
      <c r="A266" s="91"/>
      <c r="B266" s="57"/>
      <c r="C266" s="92"/>
      <c r="D266" s="57"/>
      <c r="E266" s="92"/>
      <c r="F266" s="92"/>
      <c r="G266" s="92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</row>
    <row r="267">
      <c r="A267" s="91"/>
      <c r="B267" s="57"/>
      <c r="C267" s="92"/>
      <c r="D267" s="57"/>
      <c r="E267" s="92"/>
      <c r="F267" s="92"/>
      <c r="G267" s="92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</row>
    <row r="268">
      <c r="A268" s="91"/>
      <c r="B268" s="57"/>
      <c r="C268" s="92"/>
      <c r="D268" s="57"/>
      <c r="E268" s="92"/>
      <c r="F268" s="92"/>
      <c r="G268" s="92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</row>
    <row r="269">
      <c r="A269" s="91"/>
      <c r="B269" s="57"/>
      <c r="C269" s="92"/>
      <c r="D269" s="57"/>
      <c r="E269" s="92"/>
      <c r="F269" s="92"/>
      <c r="G269" s="92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</row>
    <row r="270">
      <c r="A270" s="91"/>
      <c r="B270" s="57"/>
      <c r="C270" s="92"/>
      <c r="D270" s="57"/>
      <c r="E270" s="92"/>
      <c r="F270" s="92"/>
      <c r="G270" s="92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</row>
    <row r="271">
      <c r="A271" s="91"/>
      <c r="B271" s="57"/>
      <c r="C271" s="92"/>
      <c r="D271" s="57"/>
      <c r="E271" s="92"/>
      <c r="F271" s="92"/>
      <c r="G271" s="92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</row>
    <row r="272">
      <c r="A272" s="91"/>
      <c r="B272" s="57"/>
      <c r="C272" s="92"/>
      <c r="D272" s="57"/>
      <c r="E272" s="92"/>
      <c r="F272" s="92"/>
      <c r="G272" s="92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</row>
    <row r="273">
      <c r="A273" s="91"/>
      <c r="B273" s="57"/>
      <c r="C273" s="92"/>
      <c r="D273" s="57"/>
      <c r="E273" s="92"/>
      <c r="F273" s="92"/>
      <c r="G273" s="92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</row>
    <row r="274">
      <c r="A274" s="91"/>
      <c r="B274" s="57"/>
      <c r="C274" s="92"/>
      <c r="D274" s="57"/>
      <c r="E274" s="92"/>
      <c r="F274" s="92"/>
      <c r="G274" s="92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</row>
    <row r="275">
      <c r="A275" s="91"/>
      <c r="B275" s="57"/>
      <c r="C275" s="92"/>
      <c r="D275" s="57"/>
      <c r="E275" s="92"/>
      <c r="F275" s="92"/>
      <c r="G275" s="92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</row>
    <row r="276">
      <c r="A276" s="91"/>
      <c r="B276" s="57"/>
      <c r="C276" s="92"/>
      <c r="D276" s="57"/>
      <c r="E276" s="92"/>
      <c r="F276" s="92"/>
      <c r="G276" s="92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</row>
    <row r="277">
      <c r="A277" s="91"/>
      <c r="B277" s="57"/>
      <c r="C277" s="92"/>
      <c r="D277" s="57"/>
      <c r="E277" s="92"/>
      <c r="F277" s="92"/>
      <c r="G277" s="92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</row>
    <row r="278">
      <c r="A278" s="91"/>
      <c r="B278" s="57"/>
      <c r="C278" s="92"/>
      <c r="D278" s="57"/>
      <c r="E278" s="92"/>
      <c r="F278" s="92"/>
      <c r="G278" s="92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</row>
    <row r="279">
      <c r="A279" s="91"/>
      <c r="B279" s="57"/>
      <c r="C279" s="92"/>
      <c r="D279" s="57"/>
      <c r="E279" s="92"/>
      <c r="F279" s="92"/>
      <c r="G279" s="92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</row>
    <row r="280">
      <c r="A280" s="91"/>
      <c r="B280" s="57"/>
      <c r="C280" s="92"/>
      <c r="D280" s="57"/>
      <c r="E280" s="92"/>
      <c r="F280" s="92"/>
      <c r="G280" s="92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</row>
    <row r="281">
      <c r="A281" s="91"/>
      <c r="B281" s="57"/>
      <c r="C281" s="92"/>
      <c r="D281" s="57"/>
      <c r="E281" s="92"/>
      <c r="F281" s="92"/>
      <c r="G281" s="92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</row>
    <row r="282">
      <c r="A282" s="91"/>
      <c r="B282" s="57"/>
      <c r="C282" s="92"/>
      <c r="D282" s="57"/>
      <c r="E282" s="92"/>
      <c r="F282" s="92"/>
      <c r="G282" s="92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</row>
    <row r="283">
      <c r="A283" s="91"/>
      <c r="B283" s="57"/>
      <c r="C283" s="92"/>
      <c r="D283" s="57"/>
      <c r="E283" s="92"/>
      <c r="F283" s="92"/>
      <c r="G283" s="92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</row>
    <row r="284">
      <c r="A284" s="91"/>
      <c r="B284" s="57"/>
      <c r="C284" s="92"/>
      <c r="D284" s="57"/>
      <c r="E284" s="92"/>
      <c r="F284" s="92"/>
      <c r="G284" s="92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</row>
    <row r="285">
      <c r="A285" s="91"/>
      <c r="B285" s="57"/>
      <c r="C285" s="92"/>
      <c r="D285" s="57"/>
      <c r="E285" s="92"/>
      <c r="F285" s="92"/>
      <c r="G285" s="92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</row>
    <row r="286">
      <c r="A286" s="91"/>
      <c r="B286" s="57"/>
      <c r="C286" s="92"/>
      <c r="D286" s="57"/>
      <c r="E286" s="92"/>
      <c r="F286" s="92"/>
      <c r="G286" s="92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</row>
    <row r="287">
      <c r="A287" s="91"/>
      <c r="B287" s="57"/>
      <c r="C287" s="92"/>
      <c r="D287" s="57"/>
      <c r="E287" s="92"/>
      <c r="F287" s="92"/>
      <c r="G287" s="92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</row>
    <row r="288">
      <c r="A288" s="91"/>
      <c r="B288" s="57"/>
      <c r="C288" s="92"/>
      <c r="D288" s="57"/>
      <c r="E288" s="92"/>
      <c r="F288" s="92"/>
      <c r="G288" s="92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</row>
    <row r="289">
      <c r="A289" s="91"/>
      <c r="B289" s="57"/>
      <c r="C289" s="92"/>
      <c r="D289" s="57"/>
      <c r="E289" s="92"/>
      <c r="F289" s="92"/>
      <c r="G289" s="92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</row>
    <row r="290">
      <c r="A290" s="91"/>
      <c r="B290" s="57"/>
      <c r="C290" s="92"/>
      <c r="D290" s="57"/>
      <c r="E290" s="92"/>
      <c r="F290" s="92"/>
      <c r="G290" s="92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</row>
    <row r="291">
      <c r="A291" s="91"/>
      <c r="B291" s="57"/>
      <c r="C291" s="92"/>
      <c r="D291" s="57"/>
      <c r="E291" s="92"/>
      <c r="F291" s="92"/>
      <c r="G291" s="92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</row>
    <row r="292">
      <c r="A292" s="91"/>
      <c r="B292" s="57"/>
      <c r="C292" s="92"/>
      <c r="D292" s="57"/>
      <c r="E292" s="92"/>
      <c r="F292" s="92"/>
      <c r="G292" s="92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</row>
    <row r="293">
      <c r="A293" s="91"/>
      <c r="B293" s="57"/>
      <c r="C293" s="92"/>
      <c r="D293" s="57"/>
      <c r="E293" s="92"/>
      <c r="F293" s="92"/>
      <c r="G293" s="92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</row>
    <row r="294">
      <c r="A294" s="91"/>
      <c r="B294" s="57"/>
      <c r="C294" s="92"/>
      <c r="D294" s="57"/>
      <c r="E294" s="92"/>
      <c r="F294" s="92"/>
      <c r="G294" s="92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</row>
    <row r="295">
      <c r="A295" s="91"/>
      <c r="B295" s="57"/>
      <c r="C295" s="92"/>
      <c r="D295" s="57"/>
      <c r="E295" s="92"/>
      <c r="F295" s="92"/>
      <c r="G295" s="92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</row>
    <row r="296">
      <c r="A296" s="91"/>
      <c r="B296" s="57"/>
      <c r="C296" s="92"/>
      <c r="D296" s="57"/>
      <c r="E296" s="92"/>
      <c r="F296" s="92"/>
      <c r="G296" s="92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</row>
    <row r="297">
      <c r="A297" s="91"/>
      <c r="B297" s="57"/>
      <c r="C297" s="92"/>
      <c r="D297" s="57"/>
      <c r="E297" s="92"/>
      <c r="F297" s="92"/>
      <c r="G297" s="92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</row>
    <row r="298">
      <c r="A298" s="91"/>
      <c r="B298" s="57"/>
      <c r="C298" s="92"/>
      <c r="D298" s="57"/>
      <c r="E298" s="92"/>
      <c r="F298" s="92"/>
      <c r="G298" s="92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</row>
    <row r="299">
      <c r="A299" s="91"/>
      <c r="B299" s="57"/>
      <c r="C299" s="92"/>
      <c r="D299" s="57"/>
      <c r="E299" s="92"/>
      <c r="F299" s="92"/>
      <c r="G299" s="92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</row>
    <row r="300">
      <c r="A300" s="91"/>
      <c r="B300" s="57"/>
      <c r="C300" s="92"/>
      <c r="D300" s="57"/>
      <c r="E300" s="92"/>
      <c r="F300" s="92"/>
      <c r="G300" s="92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</row>
    <row r="301">
      <c r="A301" s="91"/>
      <c r="B301" s="57"/>
      <c r="C301" s="92"/>
      <c r="D301" s="57"/>
      <c r="E301" s="92"/>
      <c r="F301" s="92"/>
      <c r="G301" s="92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</row>
    <row r="302">
      <c r="A302" s="91"/>
      <c r="B302" s="57"/>
      <c r="C302" s="92"/>
      <c r="D302" s="57"/>
      <c r="E302" s="92"/>
      <c r="F302" s="92"/>
      <c r="G302" s="92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</row>
    <row r="303">
      <c r="A303" s="91"/>
      <c r="B303" s="57"/>
      <c r="C303" s="92"/>
      <c r="D303" s="57"/>
      <c r="E303" s="92"/>
      <c r="F303" s="92"/>
      <c r="G303" s="92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</row>
    <row r="304">
      <c r="A304" s="91"/>
      <c r="B304" s="57"/>
      <c r="C304" s="92"/>
      <c r="D304" s="57"/>
      <c r="E304" s="92"/>
      <c r="F304" s="92"/>
      <c r="G304" s="92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</row>
    <row r="305">
      <c r="A305" s="91"/>
      <c r="B305" s="57"/>
      <c r="C305" s="92"/>
      <c r="D305" s="57"/>
      <c r="E305" s="92"/>
      <c r="F305" s="92"/>
      <c r="G305" s="92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</row>
    <row r="306">
      <c r="A306" s="91"/>
      <c r="B306" s="57"/>
      <c r="C306" s="92"/>
      <c r="D306" s="57"/>
      <c r="E306" s="92"/>
      <c r="F306" s="92"/>
      <c r="G306" s="92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</row>
    <row r="307">
      <c r="A307" s="91"/>
      <c r="B307" s="57"/>
      <c r="C307" s="92"/>
      <c r="D307" s="57"/>
      <c r="E307" s="92"/>
      <c r="F307" s="92"/>
      <c r="G307" s="92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</row>
    <row r="308">
      <c r="A308" s="91"/>
      <c r="B308" s="57"/>
      <c r="C308" s="92"/>
      <c r="D308" s="57"/>
      <c r="E308" s="92"/>
      <c r="F308" s="92"/>
      <c r="G308" s="92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</row>
    <row r="309">
      <c r="A309" s="91"/>
      <c r="B309" s="57"/>
      <c r="C309" s="92"/>
      <c r="D309" s="57"/>
      <c r="E309" s="92"/>
      <c r="F309" s="92"/>
      <c r="G309" s="92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</row>
    <row r="310">
      <c r="A310" s="91"/>
      <c r="B310" s="57"/>
      <c r="C310" s="92"/>
      <c r="D310" s="57"/>
      <c r="E310" s="92"/>
      <c r="F310" s="92"/>
      <c r="G310" s="92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</row>
    <row r="311">
      <c r="A311" s="91"/>
      <c r="B311" s="57"/>
      <c r="C311" s="92"/>
      <c r="D311" s="57"/>
      <c r="E311" s="92"/>
      <c r="F311" s="92"/>
      <c r="G311" s="92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</row>
    <row r="312">
      <c r="A312" s="91"/>
      <c r="B312" s="57"/>
      <c r="C312" s="92"/>
      <c r="D312" s="57"/>
      <c r="E312" s="92"/>
      <c r="F312" s="92"/>
      <c r="G312" s="92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</row>
    <row r="313">
      <c r="A313" s="91"/>
      <c r="B313" s="57"/>
      <c r="C313" s="92"/>
      <c r="D313" s="57"/>
      <c r="E313" s="92"/>
      <c r="F313" s="92"/>
      <c r="G313" s="92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</row>
    <row r="314">
      <c r="A314" s="91"/>
      <c r="B314" s="57"/>
      <c r="C314" s="92"/>
      <c r="D314" s="57"/>
      <c r="E314" s="92"/>
      <c r="F314" s="92"/>
      <c r="G314" s="92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</row>
    <row r="315">
      <c r="A315" s="91"/>
      <c r="B315" s="57"/>
      <c r="C315" s="92"/>
      <c r="D315" s="57"/>
      <c r="E315" s="92"/>
      <c r="F315" s="92"/>
      <c r="G315" s="92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</row>
    <row r="316">
      <c r="A316" s="91"/>
      <c r="B316" s="57"/>
      <c r="C316" s="92"/>
      <c r="D316" s="57"/>
      <c r="E316" s="92"/>
      <c r="F316" s="92"/>
      <c r="G316" s="92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</row>
    <row r="317">
      <c r="A317" s="91"/>
      <c r="B317" s="57"/>
      <c r="C317" s="92"/>
      <c r="D317" s="57"/>
      <c r="E317" s="92"/>
      <c r="F317" s="92"/>
      <c r="G317" s="92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</row>
    <row r="318">
      <c r="A318" s="91"/>
      <c r="B318" s="57"/>
      <c r="C318" s="92"/>
      <c r="D318" s="57"/>
      <c r="E318" s="92"/>
      <c r="F318" s="92"/>
      <c r="G318" s="92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</row>
    <row r="319">
      <c r="A319" s="91"/>
      <c r="B319" s="57"/>
      <c r="C319" s="92"/>
      <c r="D319" s="57"/>
      <c r="E319" s="92"/>
      <c r="F319" s="92"/>
      <c r="G319" s="92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</row>
    <row r="320">
      <c r="A320" s="91"/>
      <c r="B320" s="57"/>
      <c r="C320" s="92"/>
      <c r="D320" s="57"/>
      <c r="E320" s="92"/>
      <c r="F320" s="92"/>
      <c r="G320" s="92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</row>
    <row r="321">
      <c r="A321" s="91"/>
      <c r="B321" s="57"/>
      <c r="C321" s="92"/>
      <c r="D321" s="57"/>
      <c r="E321" s="92"/>
      <c r="F321" s="92"/>
      <c r="G321" s="92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</row>
    <row r="322">
      <c r="A322" s="91"/>
      <c r="B322" s="57"/>
      <c r="C322" s="92"/>
      <c r="D322" s="57"/>
      <c r="E322" s="92"/>
      <c r="F322" s="92"/>
      <c r="G322" s="92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</row>
    <row r="323">
      <c r="A323" s="91"/>
      <c r="B323" s="57"/>
      <c r="C323" s="92"/>
      <c r="D323" s="57"/>
      <c r="E323" s="92"/>
      <c r="F323" s="92"/>
      <c r="G323" s="92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</row>
    <row r="324">
      <c r="A324" s="91"/>
      <c r="B324" s="57"/>
      <c r="C324" s="92"/>
      <c r="D324" s="57"/>
      <c r="E324" s="92"/>
      <c r="F324" s="92"/>
      <c r="G324" s="92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</row>
    <row r="325">
      <c r="A325" s="91"/>
      <c r="B325" s="57"/>
      <c r="C325" s="92"/>
      <c r="D325" s="57"/>
      <c r="E325" s="92"/>
      <c r="F325" s="92"/>
      <c r="G325" s="92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</row>
    <row r="326">
      <c r="A326" s="91"/>
      <c r="B326" s="57"/>
      <c r="C326" s="92"/>
      <c r="D326" s="57"/>
      <c r="E326" s="92"/>
      <c r="F326" s="92"/>
      <c r="G326" s="92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</row>
    <row r="327">
      <c r="A327" s="91"/>
      <c r="B327" s="57"/>
      <c r="C327" s="92"/>
      <c r="D327" s="57"/>
      <c r="E327" s="92"/>
      <c r="F327" s="92"/>
      <c r="G327" s="92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</row>
    <row r="328">
      <c r="A328" s="91"/>
      <c r="B328" s="57"/>
      <c r="C328" s="92"/>
      <c r="D328" s="57"/>
      <c r="E328" s="92"/>
      <c r="F328" s="92"/>
      <c r="G328" s="92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</row>
    <row r="329">
      <c r="A329" s="91"/>
      <c r="B329" s="57"/>
      <c r="C329" s="92"/>
      <c r="D329" s="57"/>
      <c r="E329" s="92"/>
      <c r="F329" s="92"/>
      <c r="G329" s="92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</row>
    <row r="330">
      <c r="A330" s="91"/>
      <c r="B330" s="57"/>
      <c r="C330" s="92"/>
      <c r="D330" s="57"/>
      <c r="E330" s="92"/>
      <c r="F330" s="92"/>
      <c r="G330" s="92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</row>
    <row r="331">
      <c r="A331" s="91"/>
      <c r="B331" s="57"/>
      <c r="C331" s="92"/>
      <c r="D331" s="57"/>
      <c r="E331" s="92"/>
      <c r="F331" s="92"/>
      <c r="G331" s="92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</row>
    <row r="332">
      <c r="A332" s="91"/>
      <c r="B332" s="57"/>
      <c r="C332" s="92"/>
      <c r="D332" s="57"/>
      <c r="E332" s="92"/>
      <c r="F332" s="92"/>
      <c r="G332" s="92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</row>
    <row r="333">
      <c r="A333" s="91"/>
      <c r="B333" s="57"/>
      <c r="C333" s="92"/>
      <c r="D333" s="57"/>
      <c r="E333" s="92"/>
      <c r="F333" s="92"/>
      <c r="G333" s="92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</row>
    <row r="334">
      <c r="A334" s="91"/>
      <c r="B334" s="57"/>
      <c r="C334" s="92"/>
      <c r="D334" s="57"/>
      <c r="E334" s="92"/>
      <c r="F334" s="92"/>
      <c r="G334" s="92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</row>
    <row r="335">
      <c r="A335" s="91"/>
      <c r="B335" s="57"/>
      <c r="C335" s="92"/>
      <c r="D335" s="57"/>
      <c r="E335" s="92"/>
      <c r="F335" s="92"/>
      <c r="G335" s="92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</row>
    <row r="336">
      <c r="A336" s="91"/>
      <c r="B336" s="57"/>
      <c r="C336" s="92"/>
      <c r="D336" s="57"/>
      <c r="E336" s="92"/>
      <c r="F336" s="92"/>
      <c r="G336" s="92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</row>
    <row r="337">
      <c r="A337" s="91"/>
      <c r="B337" s="57"/>
      <c r="C337" s="92"/>
      <c r="D337" s="57"/>
      <c r="E337" s="92"/>
      <c r="F337" s="92"/>
      <c r="G337" s="92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</row>
    <row r="338">
      <c r="A338" s="91"/>
      <c r="B338" s="57"/>
      <c r="C338" s="92"/>
      <c r="D338" s="57"/>
      <c r="E338" s="92"/>
      <c r="F338" s="92"/>
      <c r="G338" s="92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</row>
    <row r="339">
      <c r="A339" s="91"/>
      <c r="B339" s="57"/>
      <c r="C339" s="92"/>
      <c r="D339" s="57"/>
      <c r="E339" s="92"/>
      <c r="F339" s="92"/>
      <c r="G339" s="92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</row>
    <row r="340">
      <c r="A340" s="91"/>
      <c r="B340" s="57"/>
      <c r="C340" s="92"/>
      <c r="D340" s="57"/>
      <c r="E340" s="92"/>
      <c r="F340" s="92"/>
      <c r="G340" s="92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</row>
    <row r="341">
      <c r="A341" s="91"/>
      <c r="B341" s="57"/>
      <c r="C341" s="92"/>
      <c r="D341" s="57"/>
      <c r="E341" s="92"/>
      <c r="F341" s="92"/>
      <c r="G341" s="92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</row>
    <row r="342">
      <c r="A342" s="91"/>
      <c r="B342" s="57"/>
      <c r="C342" s="92"/>
      <c r="D342" s="57"/>
      <c r="E342" s="92"/>
      <c r="F342" s="92"/>
      <c r="G342" s="92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</row>
    <row r="343">
      <c r="A343" s="91"/>
      <c r="B343" s="57"/>
      <c r="C343" s="92"/>
      <c r="D343" s="57"/>
      <c r="E343" s="92"/>
      <c r="F343" s="92"/>
      <c r="G343" s="92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</row>
    <row r="344">
      <c r="A344" s="91"/>
      <c r="B344" s="57"/>
      <c r="C344" s="92"/>
      <c r="D344" s="57"/>
      <c r="E344" s="92"/>
      <c r="F344" s="92"/>
      <c r="G344" s="92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</row>
    <row r="345">
      <c r="A345" s="91"/>
      <c r="B345" s="57"/>
      <c r="C345" s="92"/>
      <c r="D345" s="57"/>
      <c r="E345" s="92"/>
      <c r="F345" s="92"/>
      <c r="G345" s="92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</row>
    <row r="346">
      <c r="A346" s="91"/>
      <c r="B346" s="57"/>
      <c r="C346" s="92"/>
      <c r="D346" s="57"/>
      <c r="E346" s="92"/>
      <c r="F346" s="92"/>
      <c r="G346" s="92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</row>
    <row r="347">
      <c r="A347" s="91"/>
      <c r="B347" s="57"/>
      <c r="C347" s="92"/>
      <c r="D347" s="57"/>
      <c r="E347" s="92"/>
      <c r="F347" s="92"/>
      <c r="G347" s="92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</row>
    <row r="348">
      <c r="A348" s="91"/>
      <c r="B348" s="57"/>
      <c r="C348" s="92"/>
      <c r="D348" s="57"/>
      <c r="E348" s="92"/>
      <c r="F348" s="92"/>
      <c r="G348" s="92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</row>
    <row r="349">
      <c r="A349" s="91"/>
      <c r="B349" s="57"/>
      <c r="C349" s="92"/>
      <c r="D349" s="57"/>
      <c r="E349" s="92"/>
      <c r="F349" s="92"/>
      <c r="G349" s="92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</row>
    <row r="350">
      <c r="A350" s="91"/>
      <c r="B350" s="57"/>
      <c r="C350" s="92"/>
      <c r="D350" s="57"/>
      <c r="E350" s="92"/>
      <c r="F350" s="92"/>
      <c r="G350" s="92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</row>
    <row r="351">
      <c r="A351" s="91"/>
      <c r="B351" s="57"/>
      <c r="C351" s="92"/>
      <c r="D351" s="57"/>
      <c r="E351" s="92"/>
      <c r="F351" s="92"/>
      <c r="G351" s="92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</row>
    <row r="352">
      <c r="A352" s="91"/>
      <c r="B352" s="57"/>
      <c r="C352" s="92"/>
      <c r="D352" s="57"/>
      <c r="E352" s="92"/>
      <c r="F352" s="92"/>
      <c r="G352" s="92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</row>
    <row r="353">
      <c r="A353" s="91"/>
      <c r="B353" s="57"/>
      <c r="C353" s="92"/>
      <c r="D353" s="57"/>
      <c r="E353" s="92"/>
      <c r="F353" s="92"/>
      <c r="G353" s="92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</row>
    <row r="354">
      <c r="A354" s="91"/>
      <c r="B354" s="57"/>
      <c r="C354" s="92"/>
      <c r="D354" s="57"/>
      <c r="E354" s="92"/>
      <c r="F354" s="92"/>
      <c r="G354" s="92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</row>
    <row r="355">
      <c r="A355" s="91"/>
      <c r="B355" s="57"/>
      <c r="C355" s="92"/>
      <c r="D355" s="57"/>
      <c r="E355" s="92"/>
      <c r="F355" s="92"/>
      <c r="G355" s="92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</row>
    <row r="356">
      <c r="A356" s="91"/>
      <c r="B356" s="57"/>
      <c r="C356" s="92"/>
      <c r="D356" s="57"/>
      <c r="E356" s="92"/>
      <c r="F356" s="92"/>
      <c r="G356" s="92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</row>
    <row r="357">
      <c r="A357" s="91"/>
      <c r="B357" s="57"/>
      <c r="C357" s="92"/>
      <c r="D357" s="57"/>
      <c r="E357" s="92"/>
      <c r="F357" s="92"/>
      <c r="G357" s="92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</row>
    <row r="358">
      <c r="A358" s="91"/>
      <c r="B358" s="57"/>
      <c r="C358" s="92"/>
      <c r="D358" s="57"/>
      <c r="E358" s="92"/>
      <c r="F358" s="92"/>
      <c r="G358" s="92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</row>
    <row r="359">
      <c r="A359" s="91"/>
      <c r="B359" s="57"/>
      <c r="C359" s="92"/>
      <c r="D359" s="57"/>
      <c r="E359" s="92"/>
      <c r="F359" s="92"/>
      <c r="G359" s="92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</row>
    <row r="360">
      <c r="A360" s="91"/>
      <c r="B360" s="57"/>
      <c r="C360" s="92"/>
      <c r="D360" s="57"/>
      <c r="E360" s="92"/>
      <c r="F360" s="92"/>
      <c r="G360" s="92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</row>
    <row r="361">
      <c r="A361" s="91"/>
      <c r="B361" s="57"/>
      <c r="C361" s="92"/>
      <c r="D361" s="57"/>
      <c r="E361" s="92"/>
      <c r="F361" s="92"/>
      <c r="G361" s="92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</row>
    <row r="362">
      <c r="A362" s="91"/>
      <c r="B362" s="57"/>
      <c r="C362" s="92"/>
      <c r="D362" s="57"/>
      <c r="E362" s="92"/>
      <c r="F362" s="92"/>
      <c r="G362" s="92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</row>
    <row r="363">
      <c r="A363" s="91"/>
      <c r="B363" s="57"/>
      <c r="C363" s="92"/>
      <c r="D363" s="57"/>
      <c r="E363" s="92"/>
      <c r="F363" s="92"/>
      <c r="G363" s="92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</row>
    <row r="364">
      <c r="A364" s="91"/>
      <c r="B364" s="57"/>
      <c r="C364" s="92"/>
      <c r="D364" s="57"/>
      <c r="E364" s="92"/>
      <c r="F364" s="92"/>
      <c r="G364" s="92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</row>
    <row r="365">
      <c r="A365" s="91"/>
      <c r="B365" s="57"/>
      <c r="C365" s="92"/>
      <c r="D365" s="57"/>
      <c r="E365" s="92"/>
      <c r="F365" s="92"/>
      <c r="G365" s="92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</row>
    <row r="366">
      <c r="A366" s="91"/>
      <c r="B366" s="57"/>
      <c r="C366" s="92"/>
      <c r="D366" s="57"/>
      <c r="E366" s="92"/>
      <c r="F366" s="92"/>
      <c r="G366" s="92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</row>
    <row r="367">
      <c r="A367" s="91"/>
      <c r="B367" s="57"/>
      <c r="C367" s="92"/>
      <c r="D367" s="57"/>
      <c r="E367" s="92"/>
      <c r="F367" s="92"/>
      <c r="G367" s="92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</row>
    <row r="368">
      <c r="A368" s="91"/>
      <c r="B368" s="57"/>
      <c r="C368" s="92"/>
      <c r="D368" s="57"/>
      <c r="E368" s="92"/>
      <c r="F368" s="92"/>
      <c r="G368" s="92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</row>
    <row r="369">
      <c r="A369" s="91"/>
      <c r="B369" s="57"/>
      <c r="C369" s="92"/>
      <c r="D369" s="57"/>
      <c r="E369" s="92"/>
      <c r="F369" s="92"/>
      <c r="G369" s="92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</row>
    <row r="370">
      <c r="A370" s="91"/>
      <c r="B370" s="57"/>
      <c r="C370" s="92"/>
      <c r="D370" s="57"/>
      <c r="E370" s="92"/>
      <c r="F370" s="92"/>
      <c r="G370" s="92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</row>
    <row r="371">
      <c r="A371" s="91"/>
      <c r="B371" s="57"/>
      <c r="C371" s="92"/>
      <c r="D371" s="57"/>
      <c r="E371" s="92"/>
      <c r="F371" s="92"/>
      <c r="G371" s="92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</row>
    <row r="372">
      <c r="A372" s="91"/>
      <c r="B372" s="57"/>
      <c r="C372" s="92"/>
      <c r="D372" s="57"/>
      <c r="E372" s="92"/>
      <c r="F372" s="92"/>
      <c r="G372" s="92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</row>
    <row r="373">
      <c r="A373" s="91"/>
      <c r="B373" s="57"/>
      <c r="C373" s="92"/>
      <c r="D373" s="57"/>
      <c r="E373" s="92"/>
      <c r="F373" s="92"/>
      <c r="G373" s="92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</row>
    <row r="374">
      <c r="A374" s="91"/>
      <c r="B374" s="57"/>
      <c r="C374" s="92"/>
      <c r="D374" s="57"/>
      <c r="E374" s="92"/>
      <c r="F374" s="92"/>
      <c r="G374" s="92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</row>
    <row r="375">
      <c r="A375" s="91"/>
      <c r="B375" s="57"/>
      <c r="C375" s="92"/>
      <c r="D375" s="57"/>
      <c r="E375" s="92"/>
      <c r="F375" s="92"/>
      <c r="G375" s="92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</row>
    <row r="376">
      <c r="A376" s="91"/>
      <c r="B376" s="57"/>
      <c r="C376" s="92"/>
      <c r="D376" s="57"/>
      <c r="E376" s="92"/>
      <c r="F376" s="92"/>
      <c r="G376" s="92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</row>
    <row r="377">
      <c r="A377" s="91"/>
      <c r="B377" s="57"/>
      <c r="C377" s="92"/>
      <c r="D377" s="57"/>
      <c r="E377" s="92"/>
      <c r="F377" s="92"/>
      <c r="G377" s="92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</row>
    <row r="378">
      <c r="A378" s="91"/>
      <c r="B378" s="57"/>
      <c r="C378" s="92"/>
      <c r="D378" s="57"/>
      <c r="E378" s="92"/>
      <c r="F378" s="92"/>
      <c r="G378" s="92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</row>
    <row r="379">
      <c r="A379" s="91"/>
      <c r="B379" s="57"/>
      <c r="C379" s="92"/>
      <c r="D379" s="57"/>
      <c r="E379" s="92"/>
      <c r="F379" s="92"/>
      <c r="G379" s="92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</row>
    <row r="380">
      <c r="A380" s="91"/>
      <c r="B380" s="57"/>
      <c r="C380" s="92"/>
      <c r="D380" s="57"/>
      <c r="E380" s="92"/>
      <c r="F380" s="92"/>
      <c r="G380" s="92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</row>
    <row r="381">
      <c r="A381" s="91"/>
      <c r="B381" s="57"/>
      <c r="C381" s="92"/>
      <c r="D381" s="57"/>
      <c r="E381" s="92"/>
      <c r="F381" s="92"/>
      <c r="G381" s="92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</row>
    <row r="382">
      <c r="A382" s="91"/>
      <c r="B382" s="57"/>
      <c r="C382" s="92"/>
      <c r="D382" s="57"/>
      <c r="E382" s="92"/>
      <c r="F382" s="92"/>
      <c r="G382" s="92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</row>
    <row r="383">
      <c r="A383" s="91"/>
      <c r="B383" s="57"/>
      <c r="C383" s="92"/>
      <c r="D383" s="57"/>
      <c r="E383" s="92"/>
      <c r="F383" s="92"/>
      <c r="G383" s="92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</row>
    <row r="384">
      <c r="A384" s="91"/>
      <c r="B384" s="57"/>
      <c r="C384" s="92"/>
      <c r="D384" s="57"/>
      <c r="E384" s="92"/>
      <c r="F384" s="92"/>
      <c r="G384" s="92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</row>
    <row r="385">
      <c r="A385" s="91"/>
      <c r="B385" s="57"/>
      <c r="C385" s="92"/>
      <c r="D385" s="57"/>
      <c r="E385" s="92"/>
      <c r="F385" s="92"/>
      <c r="G385" s="92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</row>
    <row r="386">
      <c r="A386" s="91"/>
      <c r="B386" s="57"/>
      <c r="C386" s="92"/>
      <c r="D386" s="57"/>
      <c r="E386" s="92"/>
      <c r="F386" s="92"/>
      <c r="G386" s="92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</row>
    <row r="387">
      <c r="A387" s="91"/>
      <c r="B387" s="57"/>
      <c r="C387" s="92"/>
      <c r="D387" s="57"/>
      <c r="E387" s="92"/>
      <c r="F387" s="92"/>
      <c r="G387" s="92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</row>
    <row r="388">
      <c r="A388" s="91"/>
      <c r="B388" s="57"/>
      <c r="C388" s="92"/>
      <c r="D388" s="57"/>
      <c r="E388" s="92"/>
      <c r="F388" s="92"/>
      <c r="G388" s="92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</row>
    <row r="389">
      <c r="A389" s="91"/>
      <c r="B389" s="57"/>
      <c r="C389" s="92"/>
      <c r="D389" s="57"/>
      <c r="E389" s="92"/>
      <c r="F389" s="92"/>
      <c r="G389" s="92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</row>
    <row r="390">
      <c r="A390" s="91"/>
      <c r="B390" s="57"/>
      <c r="C390" s="92"/>
      <c r="D390" s="57"/>
      <c r="E390" s="92"/>
      <c r="F390" s="92"/>
      <c r="G390" s="92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</row>
    <row r="391">
      <c r="A391" s="91"/>
      <c r="B391" s="57"/>
      <c r="C391" s="92"/>
      <c r="D391" s="57"/>
      <c r="E391" s="92"/>
      <c r="F391" s="92"/>
      <c r="G391" s="92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</row>
    <row r="392">
      <c r="A392" s="91"/>
      <c r="B392" s="57"/>
      <c r="C392" s="92"/>
      <c r="D392" s="57"/>
      <c r="E392" s="92"/>
      <c r="F392" s="92"/>
      <c r="G392" s="92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</row>
    <row r="393">
      <c r="A393" s="91"/>
      <c r="B393" s="57"/>
      <c r="C393" s="92"/>
      <c r="D393" s="57"/>
      <c r="E393" s="92"/>
      <c r="F393" s="92"/>
      <c r="G393" s="92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</row>
    <row r="394">
      <c r="A394" s="91"/>
      <c r="B394" s="57"/>
      <c r="C394" s="92"/>
      <c r="D394" s="57"/>
      <c r="E394" s="92"/>
      <c r="F394" s="92"/>
      <c r="G394" s="92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</row>
    <row r="395">
      <c r="A395" s="91"/>
      <c r="B395" s="57"/>
      <c r="C395" s="92"/>
      <c r="D395" s="57"/>
      <c r="E395" s="92"/>
      <c r="F395" s="92"/>
      <c r="G395" s="92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</row>
    <row r="396">
      <c r="A396" s="91"/>
      <c r="B396" s="57"/>
      <c r="C396" s="92"/>
      <c r="D396" s="57"/>
      <c r="E396" s="92"/>
      <c r="F396" s="92"/>
      <c r="G396" s="92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</row>
    <row r="397">
      <c r="A397" s="91"/>
      <c r="B397" s="57"/>
      <c r="C397" s="92"/>
      <c r="D397" s="57"/>
      <c r="E397" s="92"/>
      <c r="F397" s="92"/>
      <c r="G397" s="92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</row>
    <row r="398">
      <c r="A398" s="91"/>
      <c r="B398" s="57"/>
      <c r="C398" s="92"/>
      <c r="D398" s="57"/>
      <c r="E398" s="92"/>
      <c r="F398" s="92"/>
      <c r="G398" s="92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</row>
    <row r="399">
      <c r="A399" s="91"/>
      <c r="B399" s="57"/>
      <c r="C399" s="92"/>
      <c r="D399" s="57"/>
      <c r="E399" s="92"/>
      <c r="F399" s="92"/>
      <c r="G399" s="92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</row>
    <row r="400">
      <c r="A400" s="91"/>
      <c r="B400" s="57"/>
      <c r="C400" s="92"/>
      <c r="D400" s="57"/>
      <c r="E400" s="92"/>
      <c r="F400" s="92"/>
      <c r="G400" s="92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</row>
    <row r="401">
      <c r="A401" s="91"/>
      <c r="B401" s="57"/>
      <c r="C401" s="92"/>
      <c r="D401" s="57"/>
      <c r="E401" s="92"/>
      <c r="F401" s="92"/>
      <c r="G401" s="92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</row>
    <row r="402">
      <c r="A402" s="91"/>
      <c r="B402" s="57"/>
      <c r="C402" s="92"/>
      <c r="D402" s="57"/>
      <c r="E402" s="92"/>
      <c r="F402" s="92"/>
      <c r="G402" s="92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</row>
    <row r="403">
      <c r="A403" s="91"/>
      <c r="B403" s="57"/>
      <c r="C403" s="92"/>
      <c r="D403" s="57"/>
      <c r="E403" s="92"/>
      <c r="F403" s="92"/>
      <c r="G403" s="92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</row>
    <row r="404">
      <c r="A404" s="91"/>
      <c r="B404" s="57"/>
      <c r="C404" s="92"/>
      <c r="D404" s="57"/>
      <c r="E404" s="92"/>
      <c r="F404" s="92"/>
      <c r="G404" s="92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</row>
    <row r="405">
      <c r="A405" s="91"/>
      <c r="B405" s="57"/>
      <c r="C405" s="92"/>
      <c r="D405" s="57"/>
      <c r="E405" s="92"/>
      <c r="F405" s="92"/>
      <c r="G405" s="92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</row>
    <row r="406">
      <c r="A406" s="91"/>
      <c r="B406" s="57"/>
      <c r="C406" s="92"/>
      <c r="D406" s="57"/>
      <c r="E406" s="92"/>
      <c r="F406" s="92"/>
      <c r="G406" s="92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</row>
    <row r="407">
      <c r="A407" s="91"/>
      <c r="B407" s="57"/>
      <c r="C407" s="92"/>
      <c r="D407" s="57"/>
      <c r="E407" s="92"/>
      <c r="F407" s="92"/>
      <c r="G407" s="92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</row>
    <row r="408">
      <c r="A408" s="91"/>
      <c r="B408" s="57"/>
      <c r="C408" s="92"/>
      <c r="D408" s="57"/>
      <c r="E408" s="92"/>
      <c r="F408" s="92"/>
      <c r="G408" s="92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</row>
    <row r="409">
      <c r="A409" s="91"/>
      <c r="B409" s="57"/>
      <c r="C409" s="92"/>
      <c r="D409" s="57"/>
      <c r="E409" s="92"/>
      <c r="F409" s="92"/>
      <c r="G409" s="92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</row>
    <row r="410">
      <c r="A410" s="91"/>
      <c r="B410" s="57"/>
      <c r="C410" s="92"/>
      <c r="D410" s="57"/>
      <c r="E410" s="92"/>
      <c r="F410" s="92"/>
      <c r="G410" s="92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</row>
    <row r="411">
      <c r="A411" s="91"/>
      <c r="B411" s="57"/>
      <c r="C411" s="92"/>
      <c r="D411" s="57"/>
      <c r="E411" s="92"/>
      <c r="F411" s="92"/>
      <c r="G411" s="92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</row>
    <row r="412">
      <c r="A412" s="91"/>
      <c r="B412" s="57"/>
      <c r="C412" s="92"/>
      <c r="D412" s="57"/>
      <c r="E412" s="92"/>
      <c r="F412" s="92"/>
      <c r="G412" s="92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</row>
    <row r="413">
      <c r="A413" s="91"/>
      <c r="B413" s="57"/>
      <c r="C413" s="92"/>
      <c r="D413" s="57"/>
      <c r="E413" s="92"/>
      <c r="F413" s="92"/>
      <c r="G413" s="92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</row>
    <row r="414">
      <c r="A414" s="91"/>
      <c r="B414" s="57"/>
      <c r="C414" s="92"/>
      <c r="D414" s="57"/>
      <c r="E414" s="92"/>
      <c r="F414" s="92"/>
      <c r="G414" s="92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</row>
    <row r="415">
      <c r="A415" s="91"/>
      <c r="B415" s="57"/>
      <c r="C415" s="92"/>
      <c r="D415" s="57"/>
      <c r="E415" s="92"/>
      <c r="F415" s="92"/>
      <c r="G415" s="92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</row>
    <row r="416">
      <c r="A416" s="91"/>
      <c r="B416" s="57"/>
      <c r="C416" s="92"/>
      <c r="D416" s="57"/>
      <c r="E416" s="92"/>
      <c r="F416" s="92"/>
      <c r="G416" s="92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</row>
    <row r="417">
      <c r="A417" s="91"/>
      <c r="B417" s="57"/>
      <c r="C417" s="92"/>
      <c r="D417" s="57"/>
      <c r="E417" s="92"/>
      <c r="F417" s="92"/>
      <c r="G417" s="92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</row>
    <row r="418">
      <c r="A418" s="91"/>
      <c r="B418" s="57"/>
      <c r="C418" s="92"/>
      <c r="D418" s="57"/>
      <c r="E418" s="92"/>
      <c r="F418" s="92"/>
      <c r="G418" s="92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</row>
    <row r="419">
      <c r="A419" s="91"/>
      <c r="B419" s="57"/>
      <c r="C419" s="92"/>
      <c r="D419" s="57"/>
      <c r="E419" s="92"/>
      <c r="F419" s="92"/>
      <c r="G419" s="92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</row>
    <row r="420">
      <c r="A420" s="91"/>
      <c r="B420" s="57"/>
      <c r="C420" s="92"/>
      <c r="D420" s="57"/>
      <c r="E420" s="92"/>
      <c r="F420" s="92"/>
      <c r="G420" s="92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</row>
    <row r="421">
      <c r="A421" s="91"/>
      <c r="B421" s="57"/>
      <c r="C421" s="92"/>
      <c r="D421" s="57"/>
      <c r="E421" s="92"/>
      <c r="F421" s="92"/>
      <c r="G421" s="92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</row>
    <row r="422">
      <c r="A422" s="91"/>
      <c r="B422" s="57"/>
      <c r="C422" s="92"/>
      <c r="D422" s="57"/>
      <c r="E422" s="92"/>
      <c r="F422" s="92"/>
      <c r="G422" s="92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</row>
    <row r="423">
      <c r="A423" s="91"/>
      <c r="B423" s="57"/>
      <c r="C423" s="92"/>
      <c r="D423" s="57"/>
      <c r="E423" s="92"/>
      <c r="F423" s="92"/>
      <c r="G423" s="92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</row>
    <row r="424">
      <c r="A424" s="91"/>
      <c r="B424" s="57"/>
      <c r="C424" s="92"/>
      <c r="D424" s="57"/>
      <c r="E424" s="92"/>
      <c r="F424" s="92"/>
      <c r="G424" s="92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</row>
    <row r="425">
      <c r="A425" s="91"/>
      <c r="B425" s="57"/>
      <c r="C425" s="92"/>
      <c r="D425" s="57"/>
      <c r="E425" s="92"/>
      <c r="F425" s="92"/>
      <c r="G425" s="92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</row>
    <row r="426">
      <c r="A426" s="91"/>
      <c r="B426" s="57"/>
      <c r="C426" s="92"/>
      <c r="D426" s="57"/>
      <c r="E426" s="92"/>
      <c r="F426" s="92"/>
      <c r="G426" s="92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</row>
    <row r="427">
      <c r="A427" s="91"/>
      <c r="B427" s="57"/>
      <c r="C427" s="92"/>
      <c r="D427" s="57"/>
      <c r="E427" s="92"/>
      <c r="F427" s="92"/>
      <c r="G427" s="92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</row>
    <row r="428">
      <c r="A428" s="91"/>
      <c r="B428" s="57"/>
      <c r="C428" s="92"/>
      <c r="D428" s="57"/>
      <c r="E428" s="92"/>
      <c r="F428" s="92"/>
      <c r="G428" s="92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</row>
    <row r="429">
      <c r="A429" s="91"/>
      <c r="B429" s="57"/>
      <c r="C429" s="92"/>
      <c r="D429" s="57"/>
      <c r="E429" s="92"/>
      <c r="F429" s="92"/>
      <c r="G429" s="92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</row>
    <row r="430">
      <c r="A430" s="91"/>
      <c r="B430" s="57"/>
      <c r="C430" s="92"/>
      <c r="D430" s="57"/>
      <c r="E430" s="92"/>
      <c r="F430" s="92"/>
      <c r="G430" s="92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</row>
    <row r="431">
      <c r="A431" s="91"/>
      <c r="B431" s="57"/>
      <c r="C431" s="92"/>
      <c r="D431" s="57"/>
      <c r="E431" s="92"/>
      <c r="F431" s="92"/>
      <c r="G431" s="92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</row>
    <row r="432">
      <c r="A432" s="91"/>
      <c r="B432" s="57"/>
      <c r="C432" s="92"/>
      <c r="D432" s="57"/>
      <c r="E432" s="92"/>
      <c r="F432" s="92"/>
      <c r="G432" s="92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</row>
    <row r="433">
      <c r="A433" s="91"/>
      <c r="B433" s="57"/>
      <c r="C433" s="92"/>
      <c r="D433" s="57"/>
      <c r="E433" s="92"/>
      <c r="F433" s="92"/>
      <c r="G433" s="92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</row>
    <row r="434">
      <c r="A434" s="91"/>
      <c r="B434" s="57"/>
      <c r="C434" s="92"/>
      <c r="D434" s="57"/>
      <c r="E434" s="92"/>
      <c r="F434" s="92"/>
      <c r="G434" s="92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</row>
    <row r="435">
      <c r="A435" s="91"/>
      <c r="B435" s="57"/>
      <c r="C435" s="92"/>
      <c r="D435" s="57"/>
      <c r="E435" s="92"/>
      <c r="F435" s="92"/>
      <c r="G435" s="92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</row>
    <row r="436">
      <c r="A436" s="91"/>
      <c r="B436" s="57"/>
      <c r="C436" s="92"/>
      <c r="D436" s="57"/>
      <c r="E436" s="92"/>
      <c r="F436" s="92"/>
      <c r="G436" s="92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</row>
    <row r="437">
      <c r="A437" s="91"/>
      <c r="B437" s="57"/>
      <c r="C437" s="92"/>
      <c r="D437" s="57"/>
      <c r="E437" s="92"/>
      <c r="F437" s="92"/>
      <c r="G437" s="92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</row>
    <row r="438">
      <c r="A438" s="91"/>
      <c r="B438" s="57"/>
      <c r="C438" s="92"/>
      <c r="D438" s="57"/>
      <c r="E438" s="92"/>
      <c r="F438" s="92"/>
      <c r="G438" s="92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</row>
    <row r="439">
      <c r="A439" s="91"/>
      <c r="B439" s="57"/>
      <c r="C439" s="92"/>
      <c r="D439" s="57"/>
      <c r="E439" s="92"/>
      <c r="F439" s="92"/>
      <c r="G439" s="92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</row>
    <row r="440">
      <c r="A440" s="91"/>
      <c r="B440" s="57"/>
      <c r="C440" s="92"/>
      <c r="D440" s="57"/>
      <c r="E440" s="92"/>
      <c r="F440" s="92"/>
      <c r="G440" s="92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</row>
    <row r="441">
      <c r="A441" s="91"/>
      <c r="B441" s="57"/>
      <c r="C441" s="92"/>
      <c r="D441" s="57"/>
      <c r="E441" s="92"/>
      <c r="F441" s="92"/>
      <c r="G441" s="92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</row>
    <row r="442">
      <c r="A442" s="91"/>
      <c r="B442" s="57"/>
      <c r="C442" s="92"/>
      <c r="D442" s="57"/>
      <c r="E442" s="92"/>
      <c r="F442" s="92"/>
      <c r="G442" s="92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</row>
    <row r="443">
      <c r="A443" s="91"/>
      <c r="B443" s="57"/>
      <c r="C443" s="92"/>
      <c r="D443" s="57"/>
      <c r="E443" s="92"/>
      <c r="F443" s="92"/>
      <c r="G443" s="92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</row>
    <row r="444">
      <c r="A444" s="91"/>
      <c r="B444" s="57"/>
      <c r="C444" s="92"/>
      <c r="D444" s="57"/>
      <c r="E444" s="92"/>
      <c r="F444" s="92"/>
      <c r="G444" s="92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</row>
    <row r="445">
      <c r="A445" s="91"/>
      <c r="B445" s="57"/>
      <c r="C445" s="92"/>
      <c r="D445" s="57"/>
      <c r="E445" s="92"/>
      <c r="F445" s="92"/>
      <c r="G445" s="92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</row>
    <row r="446">
      <c r="A446" s="91"/>
      <c r="B446" s="57"/>
      <c r="C446" s="92"/>
      <c r="D446" s="57"/>
      <c r="E446" s="92"/>
      <c r="F446" s="92"/>
      <c r="G446" s="92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</row>
    <row r="447">
      <c r="A447" s="91"/>
      <c r="B447" s="57"/>
      <c r="C447" s="92"/>
      <c r="D447" s="57"/>
      <c r="E447" s="92"/>
      <c r="F447" s="92"/>
      <c r="G447" s="92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</row>
    <row r="448">
      <c r="A448" s="91"/>
      <c r="B448" s="57"/>
      <c r="C448" s="92"/>
      <c r="D448" s="57"/>
      <c r="E448" s="92"/>
      <c r="F448" s="92"/>
      <c r="G448" s="92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</row>
    <row r="449">
      <c r="A449" s="91"/>
      <c r="B449" s="57"/>
      <c r="C449" s="92"/>
      <c r="D449" s="57"/>
      <c r="E449" s="92"/>
      <c r="F449" s="92"/>
      <c r="G449" s="92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</row>
    <row r="450">
      <c r="A450" s="91"/>
      <c r="B450" s="57"/>
      <c r="C450" s="92"/>
      <c r="D450" s="57"/>
      <c r="E450" s="92"/>
      <c r="F450" s="92"/>
      <c r="G450" s="92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</row>
    <row r="451">
      <c r="A451" s="91"/>
      <c r="B451" s="57"/>
      <c r="C451" s="92"/>
      <c r="D451" s="57"/>
      <c r="E451" s="92"/>
      <c r="F451" s="92"/>
      <c r="G451" s="92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</row>
    <row r="452">
      <c r="A452" s="91"/>
      <c r="B452" s="57"/>
      <c r="C452" s="92"/>
      <c r="D452" s="57"/>
      <c r="E452" s="92"/>
      <c r="F452" s="92"/>
      <c r="G452" s="92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</row>
    <row r="453">
      <c r="A453" s="91"/>
      <c r="B453" s="57"/>
      <c r="C453" s="92"/>
      <c r="D453" s="57"/>
      <c r="E453" s="92"/>
      <c r="F453" s="92"/>
      <c r="G453" s="92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</row>
    <row r="454">
      <c r="A454" s="91"/>
      <c r="B454" s="57"/>
      <c r="C454" s="92"/>
      <c r="D454" s="57"/>
      <c r="E454" s="92"/>
      <c r="F454" s="92"/>
      <c r="G454" s="92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</row>
    <row r="455">
      <c r="A455" s="91"/>
      <c r="B455" s="57"/>
      <c r="C455" s="92"/>
      <c r="D455" s="57"/>
      <c r="E455" s="92"/>
      <c r="F455" s="92"/>
      <c r="G455" s="92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</row>
    <row r="456">
      <c r="A456" s="91"/>
      <c r="B456" s="57"/>
      <c r="C456" s="92"/>
      <c r="D456" s="57"/>
      <c r="E456" s="92"/>
      <c r="F456" s="92"/>
      <c r="G456" s="92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</row>
    <row r="457">
      <c r="A457" s="91"/>
      <c r="B457" s="57"/>
      <c r="C457" s="92"/>
      <c r="D457" s="57"/>
      <c r="E457" s="92"/>
      <c r="F457" s="92"/>
      <c r="G457" s="92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</row>
    <row r="458">
      <c r="A458" s="91"/>
      <c r="B458" s="57"/>
      <c r="C458" s="92"/>
      <c r="D458" s="57"/>
      <c r="E458" s="92"/>
      <c r="F458" s="92"/>
      <c r="G458" s="92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</row>
    <row r="459">
      <c r="A459" s="91"/>
      <c r="B459" s="57"/>
      <c r="C459" s="92"/>
      <c r="D459" s="57"/>
      <c r="E459" s="92"/>
      <c r="F459" s="92"/>
      <c r="G459" s="92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</row>
    <row r="460">
      <c r="A460" s="91"/>
      <c r="B460" s="57"/>
      <c r="C460" s="92"/>
      <c r="D460" s="57"/>
      <c r="E460" s="92"/>
      <c r="F460" s="92"/>
      <c r="G460" s="92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</row>
    <row r="461">
      <c r="A461" s="91"/>
      <c r="B461" s="57"/>
      <c r="C461" s="92"/>
      <c r="D461" s="57"/>
      <c r="E461" s="92"/>
      <c r="F461" s="92"/>
      <c r="G461" s="92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</row>
    <row r="462">
      <c r="A462" s="91"/>
      <c r="B462" s="57"/>
      <c r="C462" s="92"/>
      <c r="D462" s="57"/>
      <c r="E462" s="92"/>
      <c r="F462" s="92"/>
      <c r="G462" s="92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</row>
    <row r="463">
      <c r="A463" s="91"/>
      <c r="B463" s="57"/>
      <c r="C463" s="92"/>
      <c r="D463" s="57"/>
      <c r="E463" s="92"/>
      <c r="F463" s="92"/>
      <c r="G463" s="92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</row>
    <row r="464">
      <c r="A464" s="91"/>
      <c r="B464" s="57"/>
      <c r="C464" s="92"/>
      <c r="D464" s="57"/>
      <c r="E464" s="92"/>
      <c r="F464" s="92"/>
      <c r="G464" s="92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</row>
    <row r="465">
      <c r="A465" s="91"/>
      <c r="B465" s="57"/>
      <c r="C465" s="92"/>
      <c r="D465" s="57"/>
      <c r="E465" s="92"/>
      <c r="F465" s="92"/>
      <c r="G465" s="92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</row>
    <row r="466">
      <c r="A466" s="91"/>
      <c r="B466" s="57"/>
      <c r="C466" s="92"/>
      <c r="D466" s="57"/>
      <c r="E466" s="92"/>
      <c r="F466" s="92"/>
      <c r="G466" s="92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</row>
    <row r="467">
      <c r="A467" s="91"/>
      <c r="B467" s="57"/>
      <c r="C467" s="92"/>
      <c r="D467" s="57"/>
      <c r="E467" s="92"/>
      <c r="F467" s="92"/>
      <c r="G467" s="92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</row>
    <row r="468">
      <c r="A468" s="91"/>
      <c r="B468" s="57"/>
      <c r="C468" s="92"/>
      <c r="D468" s="57"/>
      <c r="E468" s="92"/>
      <c r="F468" s="92"/>
      <c r="G468" s="92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</row>
    <row r="469">
      <c r="A469" s="91"/>
      <c r="B469" s="57"/>
      <c r="C469" s="92"/>
      <c r="D469" s="57"/>
      <c r="E469" s="92"/>
      <c r="F469" s="92"/>
      <c r="G469" s="92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</row>
    <row r="470">
      <c r="A470" s="91"/>
      <c r="B470" s="57"/>
      <c r="C470" s="92"/>
      <c r="D470" s="57"/>
      <c r="E470" s="92"/>
      <c r="F470" s="92"/>
      <c r="G470" s="92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</row>
    <row r="471">
      <c r="A471" s="91"/>
      <c r="B471" s="57"/>
      <c r="C471" s="92"/>
      <c r="D471" s="57"/>
      <c r="E471" s="92"/>
      <c r="F471" s="92"/>
      <c r="G471" s="92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</row>
    <row r="472">
      <c r="A472" s="91"/>
      <c r="B472" s="57"/>
      <c r="C472" s="92"/>
      <c r="D472" s="57"/>
      <c r="E472" s="92"/>
      <c r="F472" s="92"/>
      <c r="G472" s="92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</row>
    <row r="473">
      <c r="A473" s="91"/>
      <c r="B473" s="57"/>
      <c r="C473" s="92"/>
      <c r="D473" s="57"/>
      <c r="E473" s="92"/>
      <c r="F473" s="92"/>
      <c r="G473" s="92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</row>
    <row r="474">
      <c r="A474" s="91"/>
      <c r="B474" s="57"/>
      <c r="C474" s="92"/>
      <c r="D474" s="57"/>
      <c r="E474" s="92"/>
      <c r="F474" s="92"/>
      <c r="G474" s="92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</row>
    <row r="475">
      <c r="A475" s="91"/>
      <c r="B475" s="57"/>
      <c r="C475" s="92"/>
      <c r="D475" s="57"/>
      <c r="E475" s="92"/>
      <c r="F475" s="92"/>
      <c r="G475" s="92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</row>
    <row r="476">
      <c r="A476" s="91"/>
      <c r="B476" s="57"/>
      <c r="C476" s="92"/>
      <c r="D476" s="57"/>
      <c r="E476" s="92"/>
      <c r="F476" s="92"/>
      <c r="G476" s="92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</row>
    <row r="477">
      <c r="A477" s="91"/>
      <c r="B477" s="57"/>
      <c r="C477" s="92"/>
      <c r="D477" s="57"/>
      <c r="E477" s="92"/>
      <c r="F477" s="92"/>
      <c r="G477" s="92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</row>
    <row r="478">
      <c r="A478" s="91"/>
      <c r="B478" s="57"/>
      <c r="C478" s="92"/>
      <c r="D478" s="57"/>
      <c r="E478" s="92"/>
      <c r="F478" s="92"/>
      <c r="G478" s="92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</row>
    <row r="479">
      <c r="A479" s="91"/>
      <c r="B479" s="57"/>
      <c r="C479" s="92"/>
      <c r="D479" s="57"/>
      <c r="E479" s="92"/>
      <c r="F479" s="92"/>
      <c r="G479" s="92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</row>
    <row r="480">
      <c r="A480" s="91"/>
      <c r="B480" s="57"/>
      <c r="C480" s="92"/>
      <c r="D480" s="57"/>
      <c r="E480" s="92"/>
      <c r="F480" s="92"/>
      <c r="G480" s="92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</row>
    <row r="481">
      <c r="A481" s="91"/>
      <c r="B481" s="57"/>
      <c r="C481" s="92"/>
      <c r="D481" s="57"/>
      <c r="E481" s="92"/>
      <c r="F481" s="92"/>
      <c r="G481" s="92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</row>
    <row r="482">
      <c r="A482" s="91"/>
      <c r="B482" s="57"/>
      <c r="C482" s="92"/>
      <c r="D482" s="57"/>
      <c r="E482" s="92"/>
      <c r="F482" s="92"/>
      <c r="G482" s="92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</row>
    <row r="483">
      <c r="A483" s="91"/>
      <c r="B483" s="57"/>
      <c r="C483" s="92"/>
      <c r="D483" s="57"/>
      <c r="E483" s="92"/>
      <c r="F483" s="92"/>
      <c r="G483" s="92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</row>
    <row r="484">
      <c r="A484" s="91"/>
      <c r="B484" s="57"/>
      <c r="C484" s="92"/>
      <c r="D484" s="57"/>
      <c r="E484" s="92"/>
      <c r="F484" s="92"/>
      <c r="G484" s="92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</row>
    <row r="485">
      <c r="A485" s="91"/>
      <c r="B485" s="57"/>
      <c r="C485" s="92"/>
      <c r="D485" s="57"/>
      <c r="E485" s="92"/>
      <c r="F485" s="92"/>
      <c r="G485" s="92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</row>
    <row r="486">
      <c r="A486" s="91"/>
      <c r="B486" s="57"/>
      <c r="C486" s="92"/>
      <c r="D486" s="57"/>
      <c r="E486" s="92"/>
      <c r="F486" s="92"/>
      <c r="G486" s="92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</row>
    <row r="487">
      <c r="A487" s="91"/>
      <c r="B487" s="57"/>
      <c r="C487" s="92"/>
      <c r="D487" s="57"/>
      <c r="E487" s="92"/>
      <c r="F487" s="92"/>
      <c r="G487" s="92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</row>
    <row r="488">
      <c r="A488" s="91"/>
      <c r="B488" s="57"/>
      <c r="C488" s="92"/>
      <c r="D488" s="57"/>
      <c r="E488" s="92"/>
      <c r="F488" s="92"/>
      <c r="G488" s="92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</row>
    <row r="489">
      <c r="A489" s="91"/>
      <c r="B489" s="57"/>
      <c r="C489" s="92"/>
      <c r="D489" s="57"/>
      <c r="E489" s="92"/>
      <c r="F489" s="92"/>
      <c r="G489" s="92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</row>
    <row r="490">
      <c r="A490" s="91"/>
      <c r="B490" s="57"/>
      <c r="C490" s="92"/>
      <c r="D490" s="57"/>
      <c r="E490" s="92"/>
      <c r="F490" s="92"/>
      <c r="G490" s="92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</row>
    <row r="491">
      <c r="A491" s="91"/>
      <c r="B491" s="57"/>
      <c r="C491" s="92"/>
      <c r="D491" s="57"/>
      <c r="E491" s="92"/>
      <c r="F491" s="92"/>
      <c r="G491" s="92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</row>
    <row r="492">
      <c r="A492" s="91"/>
      <c r="B492" s="57"/>
      <c r="C492" s="92"/>
      <c r="D492" s="57"/>
      <c r="E492" s="92"/>
      <c r="F492" s="92"/>
      <c r="G492" s="92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</row>
    <row r="493">
      <c r="A493" s="91"/>
      <c r="B493" s="57"/>
      <c r="C493" s="92"/>
      <c r="D493" s="57"/>
      <c r="E493" s="92"/>
      <c r="F493" s="92"/>
      <c r="G493" s="92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</row>
    <row r="494">
      <c r="A494" s="91"/>
      <c r="B494" s="57"/>
      <c r="C494" s="92"/>
      <c r="D494" s="57"/>
      <c r="E494" s="92"/>
      <c r="F494" s="92"/>
      <c r="G494" s="92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</row>
    <row r="495">
      <c r="A495" s="91"/>
      <c r="B495" s="57"/>
      <c r="C495" s="92"/>
      <c r="D495" s="57"/>
      <c r="E495" s="92"/>
      <c r="F495" s="92"/>
      <c r="G495" s="92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</row>
    <row r="496">
      <c r="A496" s="91"/>
      <c r="B496" s="57"/>
      <c r="C496" s="92"/>
      <c r="D496" s="57"/>
      <c r="E496" s="92"/>
      <c r="F496" s="92"/>
      <c r="G496" s="92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</row>
    <row r="497">
      <c r="A497" s="91"/>
      <c r="B497" s="57"/>
      <c r="C497" s="92"/>
      <c r="D497" s="57"/>
      <c r="E497" s="92"/>
      <c r="F497" s="92"/>
      <c r="G497" s="92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</row>
    <row r="498">
      <c r="A498" s="91"/>
      <c r="B498" s="57"/>
      <c r="C498" s="92"/>
      <c r="D498" s="57"/>
      <c r="E498" s="92"/>
      <c r="F498" s="92"/>
      <c r="G498" s="92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</row>
    <row r="499">
      <c r="A499" s="91"/>
      <c r="B499" s="57"/>
      <c r="C499" s="92"/>
      <c r="D499" s="57"/>
      <c r="E499" s="92"/>
      <c r="F499" s="92"/>
      <c r="G499" s="92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</row>
    <row r="500">
      <c r="A500" s="91"/>
      <c r="B500" s="57"/>
      <c r="C500" s="92"/>
      <c r="D500" s="57"/>
      <c r="E500" s="92"/>
      <c r="F500" s="92"/>
      <c r="G500" s="92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</row>
    <row r="501">
      <c r="A501" s="91"/>
      <c r="B501" s="57"/>
      <c r="C501" s="92"/>
      <c r="D501" s="57"/>
      <c r="E501" s="92"/>
      <c r="F501" s="92"/>
      <c r="G501" s="92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</row>
    <row r="502">
      <c r="A502" s="91"/>
      <c r="B502" s="57"/>
      <c r="C502" s="92"/>
      <c r="D502" s="57"/>
      <c r="E502" s="92"/>
      <c r="F502" s="92"/>
      <c r="G502" s="92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</row>
    <row r="503">
      <c r="A503" s="91"/>
      <c r="B503" s="57"/>
      <c r="C503" s="92"/>
      <c r="D503" s="57"/>
      <c r="E503" s="92"/>
      <c r="F503" s="92"/>
      <c r="G503" s="92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</row>
    <row r="504">
      <c r="A504" s="91"/>
      <c r="B504" s="57"/>
      <c r="C504" s="92"/>
      <c r="D504" s="57"/>
      <c r="E504" s="92"/>
      <c r="F504" s="92"/>
      <c r="G504" s="92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</row>
    <row r="505">
      <c r="A505" s="91"/>
      <c r="B505" s="57"/>
      <c r="C505" s="92"/>
      <c r="D505" s="57"/>
      <c r="E505" s="92"/>
      <c r="F505" s="92"/>
      <c r="G505" s="92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</row>
    <row r="506">
      <c r="A506" s="91"/>
      <c r="B506" s="57"/>
      <c r="C506" s="92"/>
      <c r="D506" s="57"/>
      <c r="E506" s="92"/>
      <c r="F506" s="92"/>
      <c r="G506" s="92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</row>
    <row r="507">
      <c r="A507" s="91"/>
      <c r="B507" s="57"/>
      <c r="C507" s="92"/>
      <c r="D507" s="57"/>
      <c r="E507" s="92"/>
      <c r="F507" s="92"/>
      <c r="G507" s="92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</row>
    <row r="508">
      <c r="A508" s="91"/>
      <c r="B508" s="57"/>
      <c r="C508" s="92"/>
      <c r="D508" s="57"/>
      <c r="E508" s="92"/>
      <c r="F508" s="92"/>
      <c r="G508" s="92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</row>
    <row r="509">
      <c r="A509" s="91"/>
      <c r="B509" s="57"/>
      <c r="C509" s="92"/>
      <c r="D509" s="57"/>
      <c r="E509" s="92"/>
      <c r="F509" s="92"/>
      <c r="G509" s="92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</row>
    <row r="510">
      <c r="A510" s="91"/>
      <c r="B510" s="57"/>
      <c r="C510" s="92"/>
      <c r="D510" s="57"/>
      <c r="E510" s="92"/>
      <c r="F510" s="92"/>
      <c r="G510" s="92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</row>
    <row r="511">
      <c r="A511" s="91"/>
      <c r="B511" s="57"/>
      <c r="C511" s="92"/>
      <c r="D511" s="57"/>
      <c r="E511" s="92"/>
      <c r="F511" s="92"/>
      <c r="G511" s="92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</row>
    <row r="512">
      <c r="A512" s="91"/>
      <c r="B512" s="57"/>
      <c r="C512" s="92"/>
      <c r="D512" s="57"/>
      <c r="E512" s="92"/>
      <c r="F512" s="92"/>
      <c r="G512" s="92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</row>
    <row r="513">
      <c r="A513" s="91"/>
      <c r="B513" s="57"/>
      <c r="C513" s="92"/>
      <c r="D513" s="57"/>
      <c r="E513" s="92"/>
      <c r="F513" s="92"/>
      <c r="G513" s="92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</row>
    <row r="514">
      <c r="A514" s="91"/>
      <c r="B514" s="57"/>
      <c r="C514" s="92"/>
      <c r="D514" s="57"/>
      <c r="E514" s="92"/>
      <c r="F514" s="92"/>
      <c r="G514" s="92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</row>
    <row r="515">
      <c r="A515" s="91"/>
      <c r="B515" s="57"/>
      <c r="C515" s="92"/>
      <c r="D515" s="57"/>
      <c r="E515" s="92"/>
      <c r="F515" s="92"/>
      <c r="G515" s="92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</row>
    <row r="516">
      <c r="A516" s="91"/>
      <c r="B516" s="57"/>
      <c r="C516" s="92"/>
      <c r="D516" s="57"/>
      <c r="E516" s="92"/>
      <c r="F516" s="92"/>
      <c r="G516" s="92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</row>
    <row r="517">
      <c r="A517" s="91"/>
      <c r="B517" s="57"/>
      <c r="C517" s="92"/>
      <c r="D517" s="57"/>
      <c r="E517" s="92"/>
      <c r="F517" s="92"/>
      <c r="G517" s="92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</row>
    <row r="518">
      <c r="A518" s="91"/>
      <c r="B518" s="57"/>
      <c r="C518" s="92"/>
      <c r="D518" s="57"/>
      <c r="E518" s="92"/>
      <c r="F518" s="92"/>
      <c r="G518" s="92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</row>
    <row r="519">
      <c r="A519" s="91"/>
      <c r="B519" s="57"/>
      <c r="C519" s="92"/>
      <c r="D519" s="57"/>
      <c r="E519" s="92"/>
      <c r="F519" s="92"/>
      <c r="G519" s="92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</row>
    <row r="520">
      <c r="A520" s="91"/>
      <c r="B520" s="57"/>
      <c r="C520" s="92"/>
      <c r="D520" s="57"/>
      <c r="E520" s="92"/>
      <c r="F520" s="92"/>
      <c r="G520" s="92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</row>
    <row r="521">
      <c r="A521" s="91"/>
      <c r="B521" s="57"/>
      <c r="C521" s="92"/>
      <c r="D521" s="57"/>
      <c r="E521" s="92"/>
      <c r="F521" s="92"/>
      <c r="G521" s="92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</row>
    <row r="522">
      <c r="A522" s="91"/>
      <c r="B522" s="57"/>
      <c r="C522" s="92"/>
      <c r="D522" s="57"/>
      <c r="E522" s="92"/>
      <c r="F522" s="92"/>
      <c r="G522" s="92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</row>
    <row r="523">
      <c r="A523" s="91"/>
      <c r="B523" s="57"/>
      <c r="C523" s="92"/>
      <c r="D523" s="57"/>
      <c r="E523" s="92"/>
      <c r="F523" s="92"/>
      <c r="G523" s="92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</row>
    <row r="524">
      <c r="A524" s="91"/>
      <c r="B524" s="57"/>
      <c r="C524" s="92"/>
      <c r="D524" s="57"/>
      <c r="E524" s="92"/>
      <c r="F524" s="92"/>
      <c r="G524" s="92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</row>
    <row r="525">
      <c r="A525" s="91"/>
      <c r="B525" s="57"/>
      <c r="C525" s="92"/>
      <c r="D525" s="57"/>
      <c r="E525" s="92"/>
      <c r="F525" s="92"/>
      <c r="G525" s="92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</row>
    <row r="526">
      <c r="A526" s="91"/>
      <c r="B526" s="57"/>
      <c r="C526" s="92"/>
      <c r="D526" s="57"/>
      <c r="E526" s="92"/>
      <c r="F526" s="92"/>
      <c r="G526" s="92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</row>
    <row r="527">
      <c r="A527" s="91"/>
      <c r="B527" s="57"/>
      <c r="C527" s="92"/>
      <c r="D527" s="57"/>
      <c r="E527" s="92"/>
      <c r="F527" s="92"/>
      <c r="G527" s="92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</row>
    <row r="528">
      <c r="A528" s="91"/>
      <c r="B528" s="57"/>
      <c r="C528" s="92"/>
      <c r="D528" s="57"/>
      <c r="E528" s="92"/>
      <c r="F528" s="92"/>
      <c r="G528" s="92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</row>
    <row r="529">
      <c r="A529" s="91"/>
      <c r="B529" s="57"/>
      <c r="C529" s="92"/>
      <c r="D529" s="57"/>
      <c r="E529" s="92"/>
      <c r="F529" s="92"/>
      <c r="G529" s="92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</row>
    <row r="530">
      <c r="A530" s="91"/>
      <c r="B530" s="57"/>
      <c r="C530" s="92"/>
      <c r="D530" s="57"/>
      <c r="E530" s="92"/>
      <c r="F530" s="92"/>
      <c r="G530" s="92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</row>
    <row r="531">
      <c r="A531" s="91"/>
      <c r="B531" s="57"/>
      <c r="C531" s="92"/>
      <c r="D531" s="57"/>
      <c r="E531" s="92"/>
      <c r="F531" s="92"/>
      <c r="G531" s="92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</row>
    <row r="532">
      <c r="A532" s="91"/>
      <c r="B532" s="57"/>
      <c r="C532" s="92"/>
      <c r="D532" s="57"/>
      <c r="E532" s="92"/>
      <c r="F532" s="92"/>
      <c r="G532" s="92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</row>
    <row r="533">
      <c r="A533" s="91"/>
      <c r="B533" s="57"/>
      <c r="C533" s="92"/>
      <c r="D533" s="57"/>
      <c r="E533" s="92"/>
      <c r="F533" s="92"/>
      <c r="G533" s="92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</row>
    <row r="534">
      <c r="A534" s="91"/>
      <c r="B534" s="57"/>
      <c r="C534" s="92"/>
      <c r="D534" s="57"/>
      <c r="E534" s="92"/>
      <c r="F534" s="92"/>
      <c r="G534" s="92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</row>
    <row r="535">
      <c r="A535" s="91"/>
      <c r="B535" s="57"/>
      <c r="C535" s="92"/>
      <c r="D535" s="57"/>
      <c r="E535" s="92"/>
      <c r="F535" s="92"/>
      <c r="G535" s="92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</row>
    <row r="536">
      <c r="A536" s="91"/>
      <c r="B536" s="57"/>
      <c r="C536" s="92"/>
      <c r="D536" s="57"/>
      <c r="E536" s="92"/>
      <c r="F536" s="92"/>
      <c r="G536" s="92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</row>
    <row r="537">
      <c r="A537" s="91"/>
      <c r="B537" s="57"/>
      <c r="C537" s="92"/>
      <c r="D537" s="57"/>
      <c r="E537" s="92"/>
      <c r="F537" s="92"/>
      <c r="G537" s="92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</row>
    <row r="538">
      <c r="A538" s="91"/>
      <c r="B538" s="57"/>
      <c r="C538" s="92"/>
      <c r="D538" s="57"/>
      <c r="E538" s="92"/>
      <c r="F538" s="92"/>
      <c r="G538" s="92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</row>
    <row r="539">
      <c r="A539" s="91"/>
      <c r="B539" s="57"/>
      <c r="C539" s="92"/>
      <c r="D539" s="57"/>
      <c r="E539" s="92"/>
      <c r="F539" s="92"/>
      <c r="G539" s="92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</row>
    <row r="540">
      <c r="A540" s="91"/>
      <c r="B540" s="57"/>
      <c r="C540" s="92"/>
      <c r="D540" s="57"/>
      <c r="E540" s="92"/>
      <c r="F540" s="92"/>
      <c r="G540" s="92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</row>
    <row r="541">
      <c r="A541" s="91"/>
      <c r="B541" s="57"/>
      <c r="C541" s="92"/>
      <c r="D541" s="57"/>
      <c r="E541" s="92"/>
      <c r="F541" s="92"/>
      <c r="G541" s="92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</row>
    <row r="542">
      <c r="A542" s="91"/>
      <c r="B542" s="57"/>
      <c r="C542" s="92"/>
      <c r="D542" s="57"/>
      <c r="E542" s="92"/>
      <c r="F542" s="92"/>
      <c r="G542" s="92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</row>
    <row r="543">
      <c r="A543" s="91"/>
      <c r="B543" s="57"/>
      <c r="C543" s="92"/>
      <c r="D543" s="57"/>
      <c r="E543" s="92"/>
      <c r="F543" s="92"/>
      <c r="G543" s="92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</row>
    <row r="544">
      <c r="A544" s="91"/>
      <c r="B544" s="57"/>
      <c r="C544" s="92"/>
      <c r="D544" s="57"/>
      <c r="E544" s="92"/>
      <c r="F544" s="92"/>
      <c r="G544" s="92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</row>
    <row r="545">
      <c r="A545" s="91"/>
      <c r="B545" s="57"/>
      <c r="C545" s="92"/>
      <c r="D545" s="57"/>
      <c r="E545" s="92"/>
      <c r="F545" s="92"/>
      <c r="G545" s="92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</row>
    <row r="546">
      <c r="A546" s="91"/>
      <c r="B546" s="57"/>
      <c r="C546" s="92"/>
      <c r="D546" s="57"/>
      <c r="E546" s="92"/>
      <c r="F546" s="92"/>
      <c r="G546" s="92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</row>
    <row r="547">
      <c r="A547" s="91"/>
      <c r="B547" s="57"/>
      <c r="C547" s="92"/>
      <c r="D547" s="57"/>
      <c r="E547" s="92"/>
      <c r="F547" s="92"/>
      <c r="G547" s="92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</row>
    <row r="548">
      <c r="A548" s="91"/>
      <c r="B548" s="57"/>
      <c r="C548" s="92"/>
      <c r="D548" s="57"/>
      <c r="E548" s="92"/>
      <c r="F548" s="92"/>
      <c r="G548" s="92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</row>
    <row r="549">
      <c r="A549" s="91"/>
      <c r="B549" s="57"/>
      <c r="C549" s="92"/>
      <c r="D549" s="57"/>
      <c r="E549" s="92"/>
      <c r="F549" s="92"/>
      <c r="G549" s="92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</row>
    <row r="550">
      <c r="A550" s="91"/>
      <c r="B550" s="57"/>
      <c r="C550" s="92"/>
      <c r="D550" s="57"/>
      <c r="E550" s="92"/>
      <c r="F550" s="92"/>
      <c r="G550" s="92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</row>
    <row r="551">
      <c r="A551" s="91"/>
      <c r="B551" s="57"/>
      <c r="C551" s="92"/>
      <c r="D551" s="57"/>
      <c r="E551" s="92"/>
      <c r="F551" s="92"/>
      <c r="G551" s="92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</row>
    <row r="552">
      <c r="A552" s="91"/>
      <c r="B552" s="57"/>
      <c r="C552" s="92"/>
      <c r="D552" s="57"/>
      <c r="E552" s="92"/>
      <c r="F552" s="92"/>
      <c r="G552" s="92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</row>
    <row r="553">
      <c r="A553" s="91"/>
      <c r="B553" s="57"/>
      <c r="C553" s="92"/>
      <c r="D553" s="57"/>
      <c r="E553" s="92"/>
      <c r="F553" s="92"/>
      <c r="G553" s="92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</row>
    <row r="554">
      <c r="A554" s="91"/>
      <c r="B554" s="57"/>
      <c r="C554" s="92"/>
      <c r="D554" s="57"/>
      <c r="E554" s="92"/>
      <c r="F554" s="92"/>
      <c r="G554" s="92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</row>
    <row r="555">
      <c r="A555" s="91"/>
      <c r="B555" s="57"/>
      <c r="C555" s="92"/>
      <c r="D555" s="57"/>
      <c r="E555" s="92"/>
      <c r="F555" s="92"/>
      <c r="G555" s="92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</row>
    <row r="556">
      <c r="A556" s="91"/>
      <c r="B556" s="57"/>
      <c r="C556" s="92"/>
      <c r="D556" s="57"/>
      <c r="E556" s="92"/>
      <c r="F556" s="92"/>
      <c r="G556" s="92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</row>
    <row r="557">
      <c r="A557" s="91"/>
      <c r="B557" s="57"/>
      <c r="C557" s="92"/>
      <c r="D557" s="57"/>
      <c r="E557" s="92"/>
      <c r="F557" s="92"/>
      <c r="G557" s="92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</row>
    <row r="558">
      <c r="A558" s="91"/>
      <c r="B558" s="57"/>
      <c r="C558" s="92"/>
      <c r="D558" s="57"/>
      <c r="E558" s="92"/>
      <c r="F558" s="92"/>
      <c r="G558" s="92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</row>
    <row r="559">
      <c r="A559" s="91"/>
      <c r="B559" s="57"/>
      <c r="C559" s="92"/>
      <c r="D559" s="57"/>
      <c r="E559" s="92"/>
      <c r="F559" s="92"/>
      <c r="G559" s="92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</row>
    <row r="560">
      <c r="A560" s="91"/>
      <c r="B560" s="57"/>
      <c r="C560" s="92"/>
      <c r="D560" s="57"/>
      <c r="E560" s="92"/>
      <c r="F560" s="92"/>
      <c r="G560" s="92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</row>
    <row r="561">
      <c r="A561" s="91"/>
      <c r="B561" s="57"/>
      <c r="C561" s="92"/>
      <c r="D561" s="57"/>
      <c r="E561" s="92"/>
      <c r="F561" s="92"/>
      <c r="G561" s="92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</row>
    <row r="562">
      <c r="A562" s="91"/>
      <c r="B562" s="57"/>
      <c r="C562" s="92"/>
      <c r="D562" s="57"/>
      <c r="E562" s="92"/>
      <c r="F562" s="92"/>
      <c r="G562" s="92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</row>
    <row r="563">
      <c r="A563" s="91"/>
      <c r="B563" s="57"/>
      <c r="C563" s="92"/>
      <c r="D563" s="57"/>
      <c r="E563" s="92"/>
      <c r="F563" s="92"/>
      <c r="G563" s="92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</row>
    <row r="564">
      <c r="A564" s="91"/>
      <c r="B564" s="57"/>
      <c r="C564" s="92"/>
      <c r="D564" s="57"/>
      <c r="E564" s="92"/>
      <c r="F564" s="92"/>
      <c r="G564" s="92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</row>
    <row r="565">
      <c r="A565" s="91"/>
      <c r="B565" s="57"/>
      <c r="C565" s="92"/>
      <c r="D565" s="57"/>
      <c r="E565" s="92"/>
      <c r="F565" s="92"/>
      <c r="G565" s="92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</row>
    <row r="566">
      <c r="A566" s="91"/>
      <c r="B566" s="57"/>
      <c r="C566" s="92"/>
      <c r="D566" s="57"/>
      <c r="E566" s="92"/>
      <c r="F566" s="92"/>
      <c r="G566" s="92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</row>
    <row r="567">
      <c r="A567" s="91"/>
      <c r="B567" s="57"/>
      <c r="C567" s="92"/>
      <c r="D567" s="57"/>
      <c r="E567" s="92"/>
      <c r="F567" s="92"/>
      <c r="G567" s="92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</row>
    <row r="568">
      <c r="A568" s="91"/>
      <c r="B568" s="57"/>
      <c r="C568" s="92"/>
      <c r="D568" s="57"/>
      <c r="E568" s="92"/>
      <c r="F568" s="92"/>
      <c r="G568" s="92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</row>
    <row r="569">
      <c r="A569" s="91"/>
      <c r="B569" s="57"/>
      <c r="C569" s="92"/>
      <c r="D569" s="57"/>
      <c r="E569" s="92"/>
      <c r="F569" s="92"/>
      <c r="G569" s="92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</row>
    <row r="570">
      <c r="A570" s="91"/>
      <c r="B570" s="57"/>
      <c r="C570" s="92"/>
      <c r="D570" s="57"/>
      <c r="E570" s="92"/>
      <c r="F570" s="92"/>
      <c r="G570" s="92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</row>
    <row r="571">
      <c r="A571" s="91"/>
      <c r="B571" s="57"/>
      <c r="C571" s="92"/>
      <c r="D571" s="57"/>
      <c r="E571" s="92"/>
      <c r="F571" s="92"/>
      <c r="G571" s="92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</row>
    <row r="572">
      <c r="A572" s="91"/>
      <c r="B572" s="57"/>
      <c r="C572" s="92"/>
      <c r="D572" s="57"/>
      <c r="E572" s="92"/>
      <c r="F572" s="92"/>
      <c r="G572" s="92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</row>
    <row r="573">
      <c r="A573" s="91"/>
      <c r="B573" s="57"/>
      <c r="C573" s="92"/>
      <c r="D573" s="57"/>
      <c r="E573" s="92"/>
      <c r="F573" s="92"/>
      <c r="G573" s="92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</row>
    <row r="574">
      <c r="A574" s="91"/>
      <c r="B574" s="57"/>
      <c r="C574" s="92"/>
      <c r="D574" s="57"/>
      <c r="E574" s="92"/>
      <c r="F574" s="92"/>
      <c r="G574" s="92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</row>
    <row r="575">
      <c r="A575" s="91"/>
      <c r="B575" s="57"/>
      <c r="C575" s="92"/>
      <c r="D575" s="57"/>
      <c r="E575" s="92"/>
      <c r="F575" s="92"/>
      <c r="G575" s="92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</row>
    <row r="576">
      <c r="A576" s="91"/>
      <c r="B576" s="57"/>
      <c r="C576" s="92"/>
      <c r="D576" s="57"/>
      <c r="E576" s="92"/>
      <c r="F576" s="92"/>
      <c r="G576" s="92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</row>
    <row r="577">
      <c r="A577" s="91"/>
      <c r="B577" s="57"/>
      <c r="C577" s="92"/>
      <c r="D577" s="57"/>
      <c r="E577" s="92"/>
      <c r="F577" s="92"/>
      <c r="G577" s="92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</row>
    <row r="578">
      <c r="A578" s="91"/>
      <c r="B578" s="57"/>
      <c r="C578" s="92"/>
      <c r="D578" s="57"/>
      <c r="E578" s="92"/>
      <c r="F578" s="92"/>
      <c r="G578" s="92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</row>
    <row r="579">
      <c r="A579" s="91"/>
      <c r="B579" s="57"/>
      <c r="C579" s="92"/>
      <c r="D579" s="57"/>
      <c r="E579" s="92"/>
      <c r="F579" s="92"/>
      <c r="G579" s="92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</row>
    <row r="580">
      <c r="A580" s="91"/>
      <c r="B580" s="57"/>
      <c r="C580" s="92"/>
      <c r="D580" s="57"/>
      <c r="E580" s="92"/>
      <c r="F580" s="92"/>
      <c r="G580" s="92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</row>
    <row r="581">
      <c r="A581" s="91"/>
      <c r="B581" s="57"/>
      <c r="C581" s="92"/>
      <c r="D581" s="57"/>
      <c r="E581" s="92"/>
      <c r="F581" s="92"/>
      <c r="G581" s="92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</row>
    <row r="582">
      <c r="A582" s="91"/>
      <c r="B582" s="57"/>
      <c r="C582" s="92"/>
      <c r="D582" s="57"/>
      <c r="E582" s="92"/>
      <c r="F582" s="92"/>
      <c r="G582" s="92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</row>
    <row r="583">
      <c r="A583" s="91"/>
      <c r="B583" s="57"/>
      <c r="C583" s="92"/>
      <c r="D583" s="57"/>
      <c r="E583" s="92"/>
      <c r="F583" s="92"/>
      <c r="G583" s="92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</row>
    <row r="584">
      <c r="A584" s="91"/>
      <c r="B584" s="57"/>
      <c r="C584" s="92"/>
      <c r="D584" s="57"/>
      <c r="E584" s="92"/>
      <c r="F584" s="92"/>
      <c r="G584" s="92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</row>
    <row r="585">
      <c r="A585" s="91"/>
      <c r="B585" s="57"/>
      <c r="C585" s="92"/>
      <c r="D585" s="57"/>
      <c r="E585" s="92"/>
      <c r="F585" s="92"/>
      <c r="G585" s="92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</row>
    <row r="586">
      <c r="A586" s="91"/>
      <c r="B586" s="57"/>
      <c r="C586" s="92"/>
      <c r="D586" s="57"/>
      <c r="E586" s="92"/>
      <c r="F586" s="92"/>
      <c r="G586" s="92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</row>
    <row r="587">
      <c r="A587" s="91"/>
      <c r="B587" s="57"/>
      <c r="C587" s="92"/>
      <c r="D587" s="57"/>
      <c r="E587" s="92"/>
      <c r="F587" s="92"/>
      <c r="G587" s="92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</row>
    <row r="588">
      <c r="A588" s="91"/>
      <c r="B588" s="57"/>
      <c r="C588" s="92"/>
      <c r="D588" s="57"/>
      <c r="E588" s="92"/>
      <c r="F588" s="92"/>
      <c r="G588" s="92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</row>
    <row r="589">
      <c r="A589" s="91"/>
      <c r="B589" s="57"/>
      <c r="C589" s="92"/>
      <c r="D589" s="57"/>
      <c r="E589" s="92"/>
      <c r="F589" s="92"/>
      <c r="G589" s="92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</row>
    <row r="590">
      <c r="A590" s="91"/>
      <c r="B590" s="57"/>
      <c r="C590" s="92"/>
      <c r="D590" s="57"/>
      <c r="E590" s="92"/>
      <c r="F590" s="92"/>
      <c r="G590" s="92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</row>
    <row r="591">
      <c r="A591" s="91"/>
      <c r="B591" s="57"/>
      <c r="C591" s="92"/>
      <c r="D591" s="57"/>
      <c r="E591" s="92"/>
      <c r="F591" s="92"/>
      <c r="G591" s="92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</row>
    <row r="592">
      <c r="A592" s="91"/>
      <c r="B592" s="57"/>
      <c r="C592" s="92"/>
      <c r="D592" s="57"/>
      <c r="E592" s="92"/>
      <c r="F592" s="92"/>
      <c r="G592" s="92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</row>
    <row r="593">
      <c r="A593" s="91"/>
      <c r="B593" s="57"/>
      <c r="C593" s="92"/>
      <c r="D593" s="57"/>
      <c r="E593" s="92"/>
      <c r="F593" s="92"/>
      <c r="G593" s="92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</row>
    <row r="594">
      <c r="A594" s="91"/>
      <c r="B594" s="57"/>
      <c r="C594" s="92"/>
      <c r="D594" s="57"/>
      <c r="E594" s="92"/>
      <c r="F594" s="92"/>
      <c r="G594" s="92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</row>
    <row r="595">
      <c r="A595" s="91"/>
      <c r="B595" s="57"/>
      <c r="C595" s="92"/>
      <c r="D595" s="57"/>
      <c r="E595" s="92"/>
      <c r="F595" s="92"/>
      <c r="G595" s="92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</row>
    <row r="596">
      <c r="A596" s="91"/>
      <c r="B596" s="57"/>
      <c r="C596" s="92"/>
      <c r="D596" s="57"/>
      <c r="E596" s="92"/>
      <c r="F596" s="92"/>
      <c r="G596" s="92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</row>
    <row r="597">
      <c r="A597" s="91"/>
      <c r="B597" s="57"/>
      <c r="C597" s="92"/>
      <c r="D597" s="57"/>
      <c r="E597" s="92"/>
      <c r="F597" s="92"/>
      <c r="G597" s="92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</row>
    <row r="598">
      <c r="A598" s="91"/>
      <c r="B598" s="57"/>
      <c r="C598" s="92"/>
      <c r="D598" s="57"/>
      <c r="E598" s="92"/>
      <c r="F598" s="92"/>
      <c r="G598" s="92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</row>
    <row r="599">
      <c r="A599" s="91"/>
      <c r="B599" s="57"/>
      <c r="C599" s="92"/>
      <c r="D599" s="57"/>
      <c r="E599" s="92"/>
      <c r="F599" s="92"/>
      <c r="G599" s="92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</row>
    <row r="600">
      <c r="A600" s="91"/>
      <c r="B600" s="57"/>
      <c r="C600" s="92"/>
      <c r="D600" s="57"/>
      <c r="E600" s="92"/>
      <c r="F600" s="92"/>
      <c r="G600" s="92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</row>
    <row r="601">
      <c r="A601" s="91"/>
      <c r="B601" s="57"/>
      <c r="C601" s="92"/>
      <c r="D601" s="57"/>
      <c r="E601" s="92"/>
      <c r="F601" s="92"/>
      <c r="G601" s="92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</row>
    <row r="602">
      <c r="A602" s="91"/>
      <c r="B602" s="57"/>
      <c r="C602" s="92"/>
      <c r="D602" s="57"/>
      <c r="E602" s="92"/>
      <c r="F602" s="92"/>
      <c r="G602" s="92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</row>
    <row r="603">
      <c r="A603" s="91"/>
      <c r="B603" s="57"/>
      <c r="C603" s="92"/>
      <c r="D603" s="57"/>
      <c r="E603" s="92"/>
      <c r="F603" s="92"/>
      <c r="G603" s="92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</row>
    <row r="604">
      <c r="A604" s="91"/>
      <c r="B604" s="57"/>
      <c r="C604" s="92"/>
      <c r="D604" s="57"/>
      <c r="E604" s="92"/>
      <c r="F604" s="92"/>
      <c r="G604" s="92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</row>
    <row r="605">
      <c r="A605" s="91"/>
      <c r="B605" s="57"/>
      <c r="C605" s="92"/>
      <c r="D605" s="57"/>
      <c r="E605" s="92"/>
      <c r="F605" s="92"/>
      <c r="G605" s="92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</row>
    <row r="606">
      <c r="A606" s="91"/>
      <c r="B606" s="57"/>
      <c r="C606" s="92"/>
      <c r="D606" s="57"/>
      <c r="E606" s="92"/>
      <c r="F606" s="92"/>
      <c r="G606" s="92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</row>
    <row r="607">
      <c r="A607" s="91"/>
      <c r="B607" s="57"/>
      <c r="C607" s="92"/>
      <c r="D607" s="57"/>
      <c r="E607" s="92"/>
      <c r="F607" s="92"/>
      <c r="G607" s="92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</row>
    <row r="608">
      <c r="A608" s="91"/>
      <c r="B608" s="57"/>
      <c r="C608" s="92"/>
      <c r="D608" s="57"/>
      <c r="E608" s="92"/>
      <c r="F608" s="92"/>
      <c r="G608" s="92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</row>
    <row r="609">
      <c r="A609" s="91"/>
      <c r="B609" s="57"/>
      <c r="C609" s="92"/>
      <c r="D609" s="57"/>
      <c r="E609" s="92"/>
      <c r="F609" s="92"/>
      <c r="G609" s="92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</row>
    <row r="610">
      <c r="A610" s="91"/>
      <c r="B610" s="57"/>
      <c r="C610" s="92"/>
      <c r="D610" s="57"/>
      <c r="E610" s="92"/>
      <c r="F610" s="92"/>
      <c r="G610" s="92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</row>
    <row r="611">
      <c r="A611" s="91"/>
      <c r="B611" s="57"/>
      <c r="C611" s="92"/>
      <c r="D611" s="57"/>
      <c r="E611" s="92"/>
      <c r="F611" s="92"/>
      <c r="G611" s="92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</row>
    <row r="612">
      <c r="A612" s="91"/>
      <c r="B612" s="57"/>
      <c r="C612" s="92"/>
      <c r="D612" s="57"/>
      <c r="E612" s="92"/>
      <c r="F612" s="92"/>
      <c r="G612" s="92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</row>
    <row r="613">
      <c r="A613" s="91"/>
      <c r="B613" s="57"/>
      <c r="C613" s="92"/>
      <c r="D613" s="57"/>
      <c r="E613" s="92"/>
      <c r="F613" s="92"/>
      <c r="G613" s="92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</row>
    <row r="614">
      <c r="A614" s="91"/>
      <c r="B614" s="57"/>
      <c r="C614" s="92"/>
      <c r="D614" s="57"/>
      <c r="E614" s="92"/>
      <c r="F614" s="92"/>
      <c r="G614" s="92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</row>
    <row r="615">
      <c r="A615" s="91"/>
      <c r="B615" s="57"/>
      <c r="C615" s="92"/>
      <c r="D615" s="57"/>
      <c r="E615" s="92"/>
      <c r="F615" s="92"/>
      <c r="G615" s="92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</row>
    <row r="616">
      <c r="A616" s="91"/>
      <c r="B616" s="57"/>
      <c r="C616" s="92"/>
      <c r="D616" s="57"/>
      <c r="E616" s="92"/>
      <c r="F616" s="92"/>
      <c r="G616" s="92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</row>
    <row r="617">
      <c r="A617" s="91"/>
      <c r="B617" s="57"/>
      <c r="C617" s="92"/>
      <c r="D617" s="57"/>
      <c r="E617" s="92"/>
      <c r="F617" s="92"/>
      <c r="G617" s="92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</row>
    <row r="618">
      <c r="A618" s="91"/>
      <c r="B618" s="57"/>
      <c r="C618" s="92"/>
      <c r="D618" s="57"/>
      <c r="E618" s="92"/>
      <c r="F618" s="92"/>
      <c r="G618" s="92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</row>
    <row r="619">
      <c r="A619" s="91"/>
      <c r="B619" s="57"/>
      <c r="C619" s="92"/>
      <c r="D619" s="57"/>
      <c r="E619" s="92"/>
      <c r="F619" s="92"/>
      <c r="G619" s="92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</row>
    <row r="620">
      <c r="A620" s="91"/>
      <c r="B620" s="57"/>
      <c r="C620" s="92"/>
      <c r="D620" s="57"/>
      <c r="E620" s="92"/>
      <c r="F620" s="92"/>
      <c r="G620" s="92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</row>
    <row r="621">
      <c r="A621" s="91"/>
      <c r="B621" s="57"/>
      <c r="C621" s="92"/>
      <c r="D621" s="57"/>
      <c r="E621" s="92"/>
      <c r="F621" s="92"/>
      <c r="G621" s="92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</row>
    <row r="622">
      <c r="A622" s="91"/>
      <c r="B622" s="57"/>
      <c r="C622" s="92"/>
      <c r="D622" s="57"/>
      <c r="E622" s="92"/>
      <c r="F622" s="92"/>
      <c r="G622" s="92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</row>
    <row r="623">
      <c r="A623" s="91"/>
      <c r="B623" s="57"/>
      <c r="C623" s="92"/>
      <c r="D623" s="57"/>
      <c r="E623" s="92"/>
      <c r="F623" s="92"/>
      <c r="G623" s="92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</row>
    <row r="624">
      <c r="A624" s="91"/>
      <c r="B624" s="57"/>
      <c r="C624" s="92"/>
      <c r="D624" s="57"/>
      <c r="E624" s="92"/>
      <c r="F624" s="92"/>
      <c r="G624" s="92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</row>
    <row r="625">
      <c r="A625" s="91"/>
      <c r="B625" s="57"/>
      <c r="C625" s="92"/>
      <c r="D625" s="57"/>
      <c r="E625" s="92"/>
      <c r="F625" s="92"/>
      <c r="G625" s="92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</row>
    <row r="626">
      <c r="A626" s="91"/>
      <c r="B626" s="57"/>
      <c r="C626" s="92"/>
      <c r="D626" s="57"/>
      <c r="E626" s="92"/>
      <c r="F626" s="92"/>
      <c r="G626" s="92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</row>
    <row r="627">
      <c r="A627" s="91"/>
      <c r="B627" s="57"/>
      <c r="C627" s="92"/>
      <c r="D627" s="57"/>
      <c r="E627" s="92"/>
      <c r="F627" s="92"/>
      <c r="G627" s="92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</row>
    <row r="628">
      <c r="A628" s="91"/>
      <c r="B628" s="57"/>
      <c r="C628" s="92"/>
      <c r="D628" s="57"/>
      <c r="E628" s="92"/>
      <c r="F628" s="92"/>
      <c r="G628" s="92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</row>
    <row r="629">
      <c r="A629" s="91"/>
      <c r="B629" s="57"/>
      <c r="C629" s="92"/>
      <c r="D629" s="57"/>
      <c r="E629" s="92"/>
      <c r="F629" s="92"/>
      <c r="G629" s="92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</row>
    <row r="630">
      <c r="A630" s="91"/>
      <c r="B630" s="57"/>
      <c r="C630" s="92"/>
      <c r="D630" s="57"/>
      <c r="E630" s="92"/>
      <c r="F630" s="92"/>
      <c r="G630" s="92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</row>
    <row r="631">
      <c r="A631" s="91"/>
      <c r="B631" s="57"/>
      <c r="C631" s="92"/>
      <c r="D631" s="57"/>
      <c r="E631" s="92"/>
      <c r="F631" s="92"/>
      <c r="G631" s="92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</row>
    <row r="632">
      <c r="A632" s="91"/>
      <c r="B632" s="57"/>
      <c r="C632" s="92"/>
      <c r="D632" s="57"/>
      <c r="E632" s="92"/>
      <c r="F632" s="92"/>
      <c r="G632" s="92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</row>
    <row r="633">
      <c r="A633" s="91"/>
      <c r="B633" s="57"/>
      <c r="C633" s="92"/>
      <c r="D633" s="57"/>
      <c r="E633" s="92"/>
      <c r="F633" s="92"/>
      <c r="G633" s="92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</row>
    <row r="634">
      <c r="A634" s="91"/>
      <c r="B634" s="57"/>
      <c r="C634" s="92"/>
      <c r="D634" s="57"/>
      <c r="E634" s="92"/>
      <c r="F634" s="92"/>
      <c r="G634" s="92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</row>
    <row r="635">
      <c r="A635" s="91"/>
      <c r="B635" s="57"/>
      <c r="C635" s="92"/>
      <c r="D635" s="57"/>
      <c r="E635" s="92"/>
      <c r="F635" s="92"/>
      <c r="G635" s="92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</row>
    <row r="636">
      <c r="A636" s="91"/>
      <c r="B636" s="57"/>
      <c r="C636" s="92"/>
      <c r="D636" s="57"/>
      <c r="E636" s="92"/>
      <c r="F636" s="92"/>
      <c r="G636" s="92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</row>
    <row r="637">
      <c r="A637" s="91"/>
      <c r="B637" s="57"/>
      <c r="C637" s="92"/>
      <c r="D637" s="57"/>
      <c r="E637" s="92"/>
      <c r="F637" s="92"/>
      <c r="G637" s="92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</row>
    <row r="638">
      <c r="A638" s="91"/>
      <c r="B638" s="57"/>
      <c r="C638" s="92"/>
      <c r="D638" s="57"/>
      <c r="E638" s="92"/>
      <c r="F638" s="92"/>
      <c r="G638" s="92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</row>
    <row r="639">
      <c r="A639" s="91"/>
      <c r="B639" s="57"/>
      <c r="C639" s="92"/>
      <c r="D639" s="57"/>
      <c r="E639" s="92"/>
      <c r="F639" s="92"/>
      <c r="G639" s="92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</row>
    <row r="640">
      <c r="A640" s="91"/>
      <c r="B640" s="57"/>
      <c r="C640" s="92"/>
      <c r="D640" s="57"/>
      <c r="E640" s="92"/>
      <c r="F640" s="92"/>
      <c r="G640" s="92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</row>
    <row r="641">
      <c r="A641" s="91"/>
      <c r="B641" s="57"/>
      <c r="C641" s="92"/>
      <c r="D641" s="57"/>
      <c r="E641" s="92"/>
      <c r="F641" s="92"/>
      <c r="G641" s="92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</row>
    <row r="642">
      <c r="A642" s="91"/>
      <c r="B642" s="57"/>
      <c r="C642" s="92"/>
      <c r="D642" s="57"/>
      <c r="E642" s="92"/>
      <c r="F642" s="92"/>
      <c r="G642" s="92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</row>
    <row r="643">
      <c r="A643" s="91"/>
      <c r="B643" s="57"/>
      <c r="C643" s="92"/>
      <c r="D643" s="57"/>
      <c r="E643" s="92"/>
      <c r="F643" s="92"/>
      <c r="G643" s="92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</row>
    <row r="644">
      <c r="A644" s="91"/>
      <c r="B644" s="57"/>
      <c r="C644" s="92"/>
      <c r="D644" s="57"/>
      <c r="E644" s="92"/>
      <c r="F644" s="92"/>
      <c r="G644" s="92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</row>
    <row r="645">
      <c r="A645" s="91"/>
      <c r="B645" s="57"/>
      <c r="C645" s="92"/>
      <c r="D645" s="57"/>
      <c r="E645" s="92"/>
      <c r="F645" s="92"/>
      <c r="G645" s="92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</row>
    <row r="646">
      <c r="A646" s="91"/>
      <c r="B646" s="57"/>
      <c r="C646" s="92"/>
      <c r="D646" s="57"/>
      <c r="E646" s="92"/>
      <c r="F646" s="92"/>
      <c r="G646" s="92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</row>
    <row r="647">
      <c r="A647" s="91"/>
      <c r="B647" s="57"/>
      <c r="C647" s="92"/>
      <c r="D647" s="57"/>
      <c r="E647" s="92"/>
      <c r="F647" s="92"/>
      <c r="G647" s="92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</row>
    <row r="648">
      <c r="A648" s="91"/>
      <c r="B648" s="57"/>
      <c r="C648" s="92"/>
      <c r="D648" s="57"/>
      <c r="E648" s="92"/>
      <c r="F648" s="92"/>
      <c r="G648" s="92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</row>
    <row r="649">
      <c r="A649" s="91"/>
      <c r="B649" s="57"/>
      <c r="C649" s="92"/>
      <c r="D649" s="57"/>
      <c r="E649" s="92"/>
      <c r="F649" s="92"/>
      <c r="G649" s="92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</row>
    <row r="650">
      <c r="A650" s="91"/>
      <c r="B650" s="57"/>
      <c r="C650" s="92"/>
      <c r="D650" s="57"/>
      <c r="E650" s="92"/>
      <c r="F650" s="92"/>
      <c r="G650" s="92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</row>
    <row r="651">
      <c r="A651" s="91"/>
      <c r="B651" s="57"/>
      <c r="C651" s="92"/>
      <c r="D651" s="57"/>
      <c r="E651" s="92"/>
      <c r="F651" s="92"/>
      <c r="G651" s="92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</row>
    <row r="652">
      <c r="A652" s="91"/>
      <c r="B652" s="57"/>
      <c r="C652" s="92"/>
      <c r="D652" s="57"/>
      <c r="E652" s="92"/>
      <c r="F652" s="92"/>
      <c r="G652" s="92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</row>
    <row r="653">
      <c r="A653" s="91"/>
      <c r="B653" s="57"/>
      <c r="C653" s="92"/>
      <c r="D653" s="57"/>
      <c r="E653" s="92"/>
      <c r="F653" s="92"/>
      <c r="G653" s="92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</row>
    <row r="654">
      <c r="A654" s="91"/>
      <c r="B654" s="57"/>
      <c r="C654" s="92"/>
      <c r="D654" s="57"/>
      <c r="E654" s="92"/>
      <c r="F654" s="92"/>
      <c r="G654" s="92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</row>
    <row r="655">
      <c r="A655" s="91"/>
      <c r="B655" s="57"/>
      <c r="C655" s="92"/>
      <c r="D655" s="57"/>
      <c r="E655" s="92"/>
      <c r="F655" s="92"/>
      <c r="G655" s="92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</row>
    <row r="656">
      <c r="A656" s="91"/>
      <c r="B656" s="57"/>
      <c r="C656" s="92"/>
      <c r="D656" s="57"/>
      <c r="E656" s="92"/>
      <c r="F656" s="92"/>
      <c r="G656" s="92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</row>
    <row r="657">
      <c r="A657" s="91"/>
      <c r="B657" s="57"/>
      <c r="C657" s="92"/>
      <c r="D657" s="57"/>
      <c r="E657" s="92"/>
      <c r="F657" s="92"/>
      <c r="G657" s="92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</row>
    <row r="658">
      <c r="A658" s="91"/>
      <c r="B658" s="57"/>
      <c r="C658" s="92"/>
      <c r="D658" s="57"/>
      <c r="E658" s="92"/>
      <c r="F658" s="92"/>
      <c r="G658" s="92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</row>
    <row r="659">
      <c r="A659" s="91"/>
      <c r="B659" s="57"/>
      <c r="C659" s="92"/>
      <c r="D659" s="57"/>
      <c r="E659" s="92"/>
      <c r="F659" s="92"/>
      <c r="G659" s="92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</row>
    <row r="660">
      <c r="A660" s="91"/>
      <c r="B660" s="57"/>
      <c r="C660" s="92"/>
      <c r="D660" s="57"/>
      <c r="E660" s="92"/>
      <c r="F660" s="92"/>
      <c r="G660" s="92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</row>
    <row r="661">
      <c r="A661" s="91"/>
      <c r="B661" s="57"/>
      <c r="C661" s="92"/>
      <c r="D661" s="57"/>
      <c r="E661" s="92"/>
      <c r="F661" s="92"/>
      <c r="G661" s="92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</row>
    <row r="662">
      <c r="A662" s="91"/>
      <c r="B662" s="57"/>
      <c r="C662" s="92"/>
      <c r="D662" s="57"/>
      <c r="E662" s="92"/>
      <c r="F662" s="92"/>
      <c r="G662" s="92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</row>
    <row r="663">
      <c r="A663" s="91"/>
      <c r="B663" s="57"/>
      <c r="C663" s="92"/>
      <c r="D663" s="57"/>
      <c r="E663" s="92"/>
      <c r="F663" s="92"/>
      <c r="G663" s="92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</row>
    <row r="664">
      <c r="A664" s="91"/>
      <c r="B664" s="57"/>
      <c r="C664" s="92"/>
      <c r="D664" s="57"/>
      <c r="E664" s="92"/>
      <c r="F664" s="92"/>
      <c r="G664" s="92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</row>
    <row r="665">
      <c r="A665" s="91"/>
      <c r="B665" s="57"/>
      <c r="C665" s="92"/>
      <c r="D665" s="57"/>
      <c r="E665" s="92"/>
      <c r="F665" s="92"/>
      <c r="G665" s="92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</row>
    <row r="666">
      <c r="A666" s="91"/>
      <c r="B666" s="57"/>
      <c r="C666" s="92"/>
      <c r="D666" s="57"/>
      <c r="E666" s="92"/>
      <c r="F666" s="92"/>
      <c r="G666" s="92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</row>
    <row r="667">
      <c r="A667" s="91"/>
      <c r="B667" s="57"/>
      <c r="C667" s="92"/>
      <c r="D667" s="57"/>
      <c r="E667" s="92"/>
      <c r="F667" s="92"/>
      <c r="G667" s="92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</row>
    <row r="668">
      <c r="A668" s="91"/>
      <c r="B668" s="57"/>
      <c r="C668" s="92"/>
      <c r="D668" s="57"/>
      <c r="E668" s="92"/>
      <c r="F668" s="92"/>
      <c r="G668" s="92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</row>
    <row r="669">
      <c r="A669" s="91"/>
      <c r="B669" s="57"/>
      <c r="C669" s="92"/>
      <c r="D669" s="57"/>
      <c r="E669" s="92"/>
      <c r="F669" s="92"/>
      <c r="G669" s="92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</row>
    <row r="670">
      <c r="A670" s="91"/>
      <c r="B670" s="57"/>
      <c r="C670" s="92"/>
      <c r="D670" s="57"/>
      <c r="E670" s="92"/>
      <c r="F670" s="92"/>
      <c r="G670" s="92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</row>
    <row r="671">
      <c r="A671" s="91"/>
      <c r="B671" s="57"/>
      <c r="C671" s="92"/>
      <c r="D671" s="57"/>
      <c r="E671" s="92"/>
      <c r="F671" s="92"/>
      <c r="G671" s="92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</row>
    <row r="672">
      <c r="A672" s="91"/>
      <c r="B672" s="57"/>
      <c r="C672" s="92"/>
      <c r="D672" s="57"/>
      <c r="E672" s="92"/>
      <c r="F672" s="92"/>
      <c r="G672" s="92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</row>
    <row r="673">
      <c r="A673" s="91"/>
      <c r="B673" s="57"/>
      <c r="C673" s="92"/>
      <c r="D673" s="57"/>
      <c r="E673" s="92"/>
      <c r="F673" s="92"/>
      <c r="G673" s="92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</row>
    <row r="674">
      <c r="A674" s="91"/>
      <c r="B674" s="57"/>
      <c r="C674" s="92"/>
      <c r="D674" s="57"/>
      <c r="E674" s="92"/>
      <c r="F674" s="92"/>
      <c r="G674" s="92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</row>
    <row r="675">
      <c r="A675" s="91"/>
      <c r="B675" s="57"/>
      <c r="C675" s="92"/>
      <c r="D675" s="57"/>
      <c r="E675" s="92"/>
      <c r="F675" s="92"/>
      <c r="G675" s="92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</row>
    <row r="676">
      <c r="A676" s="91"/>
      <c r="B676" s="57"/>
      <c r="C676" s="92"/>
      <c r="D676" s="57"/>
      <c r="E676" s="92"/>
      <c r="F676" s="92"/>
      <c r="G676" s="92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</row>
    <row r="677">
      <c r="A677" s="91"/>
      <c r="B677" s="57"/>
      <c r="C677" s="92"/>
      <c r="D677" s="57"/>
      <c r="E677" s="92"/>
      <c r="F677" s="92"/>
      <c r="G677" s="92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</row>
    <row r="678">
      <c r="A678" s="91"/>
      <c r="B678" s="57"/>
      <c r="C678" s="92"/>
      <c r="D678" s="57"/>
      <c r="E678" s="92"/>
      <c r="F678" s="92"/>
      <c r="G678" s="92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</row>
    <row r="679">
      <c r="A679" s="91"/>
      <c r="B679" s="57"/>
      <c r="C679" s="92"/>
      <c r="D679" s="57"/>
      <c r="E679" s="92"/>
      <c r="F679" s="92"/>
      <c r="G679" s="92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</row>
    <row r="680">
      <c r="A680" s="91"/>
      <c r="B680" s="57"/>
      <c r="C680" s="92"/>
      <c r="D680" s="57"/>
      <c r="E680" s="92"/>
      <c r="F680" s="92"/>
      <c r="G680" s="92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</row>
    <row r="681">
      <c r="A681" s="91"/>
      <c r="B681" s="57"/>
      <c r="C681" s="92"/>
      <c r="D681" s="57"/>
      <c r="E681" s="92"/>
      <c r="F681" s="92"/>
      <c r="G681" s="92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</row>
    <row r="682">
      <c r="A682" s="91"/>
      <c r="B682" s="57"/>
      <c r="C682" s="92"/>
      <c r="D682" s="57"/>
      <c r="E682" s="92"/>
      <c r="F682" s="92"/>
      <c r="G682" s="92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</row>
    <row r="683">
      <c r="A683" s="91"/>
      <c r="B683" s="57"/>
      <c r="C683" s="92"/>
      <c r="D683" s="57"/>
      <c r="E683" s="92"/>
      <c r="F683" s="92"/>
      <c r="G683" s="92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</row>
    <row r="684">
      <c r="A684" s="91"/>
      <c r="B684" s="57"/>
      <c r="C684" s="92"/>
      <c r="D684" s="57"/>
      <c r="E684" s="92"/>
      <c r="F684" s="92"/>
      <c r="G684" s="92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</row>
    <row r="685">
      <c r="A685" s="91"/>
      <c r="B685" s="57"/>
      <c r="C685" s="92"/>
      <c r="D685" s="57"/>
      <c r="E685" s="92"/>
      <c r="F685" s="92"/>
      <c r="G685" s="92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</row>
    <row r="686">
      <c r="A686" s="91"/>
      <c r="B686" s="57"/>
      <c r="C686" s="92"/>
      <c r="D686" s="57"/>
      <c r="E686" s="92"/>
      <c r="F686" s="92"/>
      <c r="G686" s="92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</row>
    <row r="687">
      <c r="A687" s="91"/>
      <c r="B687" s="57"/>
      <c r="C687" s="92"/>
      <c r="D687" s="57"/>
      <c r="E687" s="92"/>
      <c r="F687" s="92"/>
      <c r="G687" s="92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</row>
    <row r="688">
      <c r="A688" s="91"/>
      <c r="B688" s="57"/>
      <c r="C688" s="92"/>
      <c r="D688" s="57"/>
      <c r="E688" s="92"/>
      <c r="F688" s="92"/>
      <c r="G688" s="92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</row>
    <row r="689">
      <c r="A689" s="91"/>
      <c r="B689" s="57"/>
      <c r="C689" s="92"/>
      <c r="D689" s="57"/>
      <c r="E689" s="92"/>
      <c r="F689" s="92"/>
      <c r="G689" s="92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</row>
    <row r="690">
      <c r="A690" s="91"/>
      <c r="B690" s="57"/>
      <c r="C690" s="92"/>
      <c r="D690" s="57"/>
      <c r="E690" s="92"/>
      <c r="F690" s="92"/>
      <c r="G690" s="92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</row>
    <row r="691">
      <c r="A691" s="91"/>
      <c r="B691" s="57"/>
      <c r="C691" s="92"/>
      <c r="D691" s="57"/>
      <c r="E691" s="92"/>
      <c r="F691" s="92"/>
      <c r="G691" s="92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</row>
    <row r="692">
      <c r="A692" s="91"/>
      <c r="B692" s="57"/>
      <c r="C692" s="92"/>
      <c r="D692" s="57"/>
      <c r="E692" s="92"/>
      <c r="F692" s="92"/>
      <c r="G692" s="92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</row>
    <row r="693">
      <c r="A693" s="91"/>
      <c r="B693" s="57"/>
      <c r="C693" s="92"/>
      <c r="D693" s="57"/>
      <c r="E693" s="92"/>
      <c r="F693" s="92"/>
      <c r="G693" s="92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</row>
    <row r="694">
      <c r="A694" s="91"/>
      <c r="B694" s="57"/>
      <c r="C694" s="92"/>
      <c r="D694" s="57"/>
      <c r="E694" s="92"/>
      <c r="F694" s="92"/>
      <c r="G694" s="92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</row>
    <row r="695">
      <c r="A695" s="91"/>
      <c r="B695" s="57"/>
      <c r="C695" s="92"/>
      <c r="D695" s="57"/>
      <c r="E695" s="92"/>
      <c r="F695" s="92"/>
      <c r="G695" s="92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</row>
    <row r="696">
      <c r="A696" s="91"/>
      <c r="B696" s="57"/>
      <c r="C696" s="92"/>
      <c r="D696" s="57"/>
      <c r="E696" s="92"/>
      <c r="F696" s="92"/>
      <c r="G696" s="92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</row>
    <row r="697">
      <c r="A697" s="91"/>
      <c r="B697" s="57"/>
      <c r="C697" s="92"/>
      <c r="D697" s="57"/>
      <c r="E697" s="92"/>
      <c r="F697" s="92"/>
      <c r="G697" s="92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</row>
    <row r="698">
      <c r="A698" s="91"/>
      <c r="B698" s="57"/>
      <c r="C698" s="92"/>
      <c r="D698" s="57"/>
      <c r="E698" s="92"/>
      <c r="F698" s="92"/>
      <c r="G698" s="92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</row>
    <row r="699">
      <c r="A699" s="91"/>
      <c r="B699" s="57"/>
      <c r="C699" s="92"/>
      <c r="D699" s="57"/>
      <c r="E699" s="92"/>
      <c r="F699" s="92"/>
      <c r="G699" s="92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</row>
    <row r="700">
      <c r="A700" s="91"/>
      <c r="B700" s="57"/>
      <c r="C700" s="92"/>
      <c r="D700" s="57"/>
      <c r="E700" s="92"/>
      <c r="F700" s="92"/>
      <c r="G700" s="92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</row>
    <row r="701">
      <c r="A701" s="91"/>
      <c r="B701" s="57"/>
      <c r="C701" s="92"/>
      <c r="D701" s="57"/>
      <c r="E701" s="92"/>
      <c r="F701" s="92"/>
      <c r="G701" s="92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</row>
    <row r="702">
      <c r="A702" s="91"/>
      <c r="B702" s="57"/>
      <c r="C702" s="92"/>
      <c r="D702" s="57"/>
      <c r="E702" s="92"/>
      <c r="F702" s="92"/>
      <c r="G702" s="92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</row>
    <row r="703">
      <c r="A703" s="91"/>
      <c r="B703" s="57"/>
      <c r="C703" s="92"/>
      <c r="D703" s="57"/>
      <c r="E703" s="92"/>
      <c r="F703" s="92"/>
      <c r="G703" s="92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</row>
    <row r="704">
      <c r="A704" s="91"/>
      <c r="B704" s="57"/>
      <c r="C704" s="92"/>
      <c r="D704" s="57"/>
      <c r="E704" s="92"/>
      <c r="F704" s="92"/>
      <c r="G704" s="92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</row>
    <row r="705">
      <c r="A705" s="91"/>
      <c r="B705" s="57"/>
      <c r="C705" s="92"/>
      <c r="D705" s="57"/>
      <c r="E705" s="92"/>
      <c r="F705" s="92"/>
      <c r="G705" s="92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</row>
    <row r="706">
      <c r="A706" s="91"/>
      <c r="B706" s="57"/>
      <c r="C706" s="92"/>
      <c r="D706" s="57"/>
      <c r="E706" s="92"/>
      <c r="F706" s="92"/>
      <c r="G706" s="92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</row>
    <row r="707">
      <c r="A707" s="91"/>
      <c r="B707" s="57"/>
      <c r="C707" s="92"/>
      <c r="D707" s="57"/>
      <c r="E707" s="92"/>
      <c r="F707" s="92"/>
      <c r="G707" s="92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</row>
    <row r="708">
      <c r="A708" s="91"/>
      <c r="B708" s="57"/>
      <c r="C708" s="92"/>
      <c r="D708" s="57"/>
      <c r="E708" s="92"/>
      <c r="F708" s="92"/>
      <c r="G708" s="92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</row>
    <row r="709">
      <c r="A709" s="91"/>
      <c r="B709" s="57"/>
      <c r="C709" s="92"/>
      <c r="D709" s="57"/>
      <c r="E709" s="92"/>
      <c r="F709" s="92"/>
      <c r="G709" s="92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</row>
    <row r="710">
      <c r="A710" s="91"/>
      <c r="B710" s="57"/>
      <c r="C710" s="92"/>
      <c r="D710" s="57"/>
      <c r="E710" s="92"/>
      <c r="F710" s="92"/>
      <c r="G710" s="92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</row>
    <row r="711">
      <c r="A711" s="91"/>
      <c r="B711" s="57"/>
      <c r="C711" s="92"/>
      <c r="D711" s="57"/>
      <c r="E711" s="92"/>
      <c r="F711" s="92"/>
      <c r="G711" s="92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</row>
    <row r="712">
      <c r="A712" s="91"/>
      <c r="B712" s="57"/>
      <c r="C712" s="92"/>
      <c r="D712" s="57"/>
      <c r="E712" s="92"/>
      <c r="F712" s="92"/>
      <c r="G712" s="92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</row>
    <row r="713">
      <c r="A713" s="91"/>
      <c r="B713" s="57"/>
      <c r="C713" s="92"/>
      <c r="D713" s="57"/>
      <c r="E713" s="92"/>
      <c r="F713" s="92"/>
      <c r="G713" s="92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</row>
    <row r="714">
      <c r="A714" s="91"/>
      <c r="B714" s="57"/>
      <c r="C714" s="92"/>
      <c r="D714" s="57"/>
      <c r="E714" s="92"/>
      <c r="F714" s="92"/>
      <c r="G714" s="92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</row>
    <row r="715">
      <c r="A715" s="91"/>
      <c r="B715" s="57"/>
      <c r="C715" s="92"/>
      <c r="D715" s="57"/>
      <c r="E715" s="92"/>
      <c r="F715" s="92"/>
      <c r="G715" s="92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</row>
    <row r="716">
      <c r="A716" s="91"/>
      <c r="B716" s="57"/>
      <c r="C716" s="92"/>
      <c r="D716" s="57"/>
      <c r="E716" s="92"/>
      <c r="F716" s="92"/>
      <c r="G716" s="92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</row>
    <row r="717">
      <c r="A717" s="91"/>
      <c r="B717" s="57"/>
      <c r="C717" s="92"/>
      <c r="D717" s="57"/>
      <c r="E717" s="92"/>
      <c r="F717" s="92"/>
      <c r="G717" s="92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</row>
    <row r="718">
      <c r="A718" s="91"/>
      <c r="B718" s="57"/>
      <c r="C718" s="92"/>
      <c r="D718" s="57"/>
      <c r="E718" s="92"/>
      <c r="F718" s="92"/>
      <c r="G718" s="92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</row>
    <row r="719">
      <c r="A719" s="91"/>
      <c r="B719" s="57"/>
      <c r="C719" s="92"/>
      <c r="D719" s="57"/>
      <c r="E719" s="92"/>
      <c r="F719" s="92"/>
      <c r="G719" s="92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</row>
    <row r="720">
      <c r="A720" s="91"/>
      <c r="B720" s="57"/>
      <c r="C720" s="92"/>
      <c r="D720" s="57"/>
      <c r="E720" s="92"/>
      <c r="F720" s="92"/>
      <c r="G720" s="92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</row>
    <row r="721">
      <c r="A721" s="91"/>
      <c r="B721" s="57"/>
      <c r="C721" s="92"/>
      <c r="D721" s="57"/>
      <c r="E721" s="92"/>
      <c r="F721" s="92"/>
      <c r="G721" s="92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</row>
    <row r="722">
      <c r="A722" s="91"/>
      <c r="B722" s="57"/>
      <c r="C722" s="92"/>
      <c r="D722" s="57"/>
      <c r="E722" s="92"/>
      <c r="F722" s="92"/>
      <c r="G722" s="92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</row>
    <row r="723">
      <c r="A723" s="91"/>
      <c r="B723" s="57"/>
      <c r="C723" s="92"/>
      <c r="D723" s="57"/>
      <c r="E723" s="92"/>
      <c r="F723" s="92"/>
      <c r="G723" s="92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</row>
    <row r="724">
      <c r="A724" s="91"/>
      <c r="B724" s="57"/>
      <c r="C724" s="92"/>
      <c r="D724" s="57"/>
      <c r="E724" s="92"/>
      <c r="F724" s="92"/>
      <c r="G724" s="92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</row>
    <row r="725">
      <c r="A725" s="91"/>
      <c r="B725" s="57"/>
      <c r="C725" s="92"/>
      <c r="D725" s="57"/>
      <c r="E725" s="92"/>
      <c r="F725" s="92"/>
      <c r="G725" s="92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</row>
    <row r="726">
      <c r="A726" s="91"/>
      <c r="B726" s="57"/>
      <c r="C726" s="92"/>
      <c r="D726" s="57"/>
      <c r="E726" s="92"/>
      <c r="F726" s="92"/>
      <c r="G726" s="92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</row>
    <row r="727">
      <c r="A727" s="91"/>
      <c r="B727" s="57"/>
      <c r="C727" s="92"/>
      <c r="D727" s="57"/>
      <c r="E727" s="92"/>
      <c r="F727" s="92"/>
      <c r="G727" s="92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</row>
    <row r="728">
      <c r="A728" s="91"/>
      <c r="B728" s="57"/>
      <c r="C728" s="92"/>
      <c r="D728" s="57"/>
      <c r="E728" s="92"/>
      <c r="F728" s="92"/>
      <c r="G728" s="92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</row>
    <row r="729">
      <c r="A729" s="91"/>
      <c r="B729" s="57"/>
      <c r="C729" s="92"/>
      <c r="D729" s="57"/>
      <c r="E729" s="92"/>
      <c r="F729" s="92"/>
      <c r="G729" s="92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</row>
    <row r="730">
      <c r="A730" s="91"/>
      <c r="B730" s="57"/>
      <c r="C730" s="92"/>
      <c r="D730" s="57"/>
      <c r="E730" s="92"/>
      <c r="F730" s="92"/>
      <c r="G730" s="92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</row>
    <row r="731">
      <c r="A731" s="91"/>
      <c r="B731" s="57"/>
      <c r="C731" s="92"/>
      <c r="D731" s="57"/>
      <c r="E731" s="92"/>
      <c r="F731" s="92"/>
      <c r="G731" s="92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</row>
    <row r="732">
      <c r="A732" s="91"/>
      <c r="B732" s="57"/>
      <c r="C732" s="92"/>
      <c r="D732" s="57"/>
      <c r="E732" s="92"/>
      <c r="F732" s="92"/>
      <c r="G732" s="92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</row>
    <row r="733">
      <c r="A733" s="91"/>
      <c r="B733" s="57"/>
      <c r="C733" s="92"/>
      <c r="D733" s="57"/>
      <c r="E733" s="92"/>
      <c r="F733" s="92"/>
      <c r="G733" s="92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</row>
    <row r="734">
      <c r="A734" s="91"/>
      <c r="B734" s="57"/>
      <c r="C734" s="92"/>
      <c r="D734" s="57"/>
      <c r="E734" s="92"/>
      <c r="F734" s="92"/>
      <c r="G734" s="92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</row>
    <row r="735">
      <c r="A735" s="91"/>
      <c r="B735" s="57"/>
      <c r="C735" s="92"/>
      <c r="D735" s="57"/>
      <c r="E735" s="92"/>
      <c r="F735" s="92"/>
      <c r="G735" s="92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</row>
    <row r="736">
      <c r="A736" s="91"/>
      <c r="B736" s="57"/>
      <c r="C736" s="92"/>
      <c r="D736" s="57"/>
      <c r="E736" s="92"/>
      <c r="F736" s="92"/>
      <c r="G736" s="92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</row>
    <row r="737">
      <c r="A737" s="91"/>
      <c r="B737" s="57"/>
      <c r="C737" s="92"/>
      <c r="D737" s="57"/>
      <c r="E737" s="92"/>
      <c r="F737" s="92"/>
      <c r="G737" s="92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</row>
    <row r="738">
      <c r="A738" s="91"/>
      <c r="B738" s="57"/>
      <c r="C738" s="92"/>
      <c r="D738" s="57"/>
      <c r="E738" s="92"/>
      <c r="F738" s="92"/>
      <c r="G738" s="92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</row>
    <row r="739">
      <c r="A739" s="91"/>
      <c r="B739" s="57"/>
      <c r="C739" s="92"/>
      <c r="D739" s="57"/>
      <c r="E739" s="92"/>
      <c r="F739" s="92"/>
      <c r="G739" s="92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</row>
    <row r="740">
      <c r="A740" s="91"/>
      <c r="B740" s="57"/>
      <c r="C740" s="92"/>
      <c r="D740" s="57"/>
      <c r="E740" s="92"/>
      <c r="F740" s="92"/>
      <c r="G740" s="92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</row>
    <row r="741">
      <c r="A741" s="91"/>
      <c r="B741" s="57"/>
      <c r="C741" s="92"/>
      <c r="D741" s="57"/>
      <c r="E741" s="92"/>
      <c r="F741" s="92"/>
      <c r="G741" s="92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</row>
    <row r="742">
      <c r="A742" s="91"/>
      <c r="B742" s="57"/>
      <c r="C742" s="92"/>
      <c r="D742" s="57"/>
      <c r="E742" s="92"/>
      <c r="F742" s="92"/>
      <c r="G742" s="92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</row>
    <row r="743">
      <c r="A743" s="91"/>
      <c r="B743" s="57"/>
      <c r="C743" s="92"/>
      <c r="D743" s="57"/>
      <c r="E743" s="92"/>
      <c r="F743" s="92"/>
      <c r="G743" s="92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</row>
    <row r="744">
      <c r="A744" s="91"/>
      <c r="B744" s="57"/>
      <c r="C744" s="92"/>
      <c r="D744" s="57"/>
      <c r="E744" s="92"/>
      <c r="F744" s="92"/>
      <c r="G744" s="92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</row>
    <row r="745">
      <c r="A745" s="91"/>
      <c r="B745" s="57"/>
      <c r="C745" s="92"/>
      <c r="D745" s="57"/>
      <c r="E745" s="92"/>
      <c r="F745" s="92"/>
      <c r="G745" s="92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</row>
    <row r="746">
      <c r="A746" s="91"/>
      <c r="B746" s="57"/>
      <c r="C746" s="92"/>
      <c r="D746" s="57"/>
      <c r="E746" s="92"/>
      <c r="F746" s="92"/>
      <c r="G746" s="92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</row>
    <row r="747">
      <c r="A747" s="91"/>
      <c r="B747" s="57"/>
      <c r="C747" s="92"/>
      <c r="D747" s="57"/>
      <c r="E747" s="92"/>
      <c r="F747" s="92"/>
      <c r="G747" s="92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</row>
    <row r="748">
      <c r="A748" s="91"/>
      <c r="B748" s="57"/>
      <c r="C748" s="92"/>
      <c r="D748" s="57"/>
      <c r="E748" s="92"/>
      <c r="F748" s="92"/>
      <c r="G748" s="92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</row>
    <row r="749">
      <c r="A749" s="91"/>
      <c r="B749" s="57"/>
      <c r="C749" s="92"/>
      <c r="D749" s="57"/>
      <c r="E749" s="92"/>
      <c r="F749" s="92"/>
      <c r="G749" s="92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</row>
    <row r="750">
      <c r="A750" s="91"/>
      <c r="B750" s="57"/>
      <c r="C750" s="92"/>
      <c r="D750" s="57"/>
      <c r="E750" s="92"/>
      <c r="F750" s="92"/>
      <c r="G750" s="92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</row>
    <row r="751">
      <c r="A751" s="91"/>
      <c r="B751" s="57"/>
      <c r="C751" s="92"/>
      <c r="D751" s="57"/>
      <c r="E751" s="92"/>
      <c r="F751" s="92"/>
      <c r="G751" s="92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</row>
    <row r="752">
      <c r="A752" s="91"/>
      <c r="B752" s="57"/>
      <c r="C752" s="92"/>
      <c r="D752" s="57"/>
      <c r="E752" s="92"/>
      <c r="F752" s="92"/>
      <c r="G752" s="92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</row>
    <row r="753">
      <c r="A753" s="91"/>
      <c r="B753" s="57"/>
      <c r="C753" s="92"/>
      <c r="D753" s="57"/>
      <c r="E753" s="92"/>
      <c r="F753" s="92"/>
      <c r="G753" s="92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</row>
    <row r="754">
      <c r="A754" s="91"/>
      <c r="B754" s="57"/>
      <c r="C754" s="92"/>
      <c r="D754" s="57"/>
      <c r="E754" s="92"/>
      <c r="F754" s="92"/>
      <c r="G754" s="92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</row>
    <row r="755">
      <c r="A755" s="91"/>
      <c r="B755" s="57"/>
      <c r="C755" s="92"/>
      <c r="D755" s="57"/>
      <c r="E755" s="92"/>
      <c r="F755" s="92"/>
      <c r="G755" s="92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</row>
    <row r="756">
      <c r="A756" s="91"/>
      <c r="B756" s="57"/>
      <c r="C756" s="92"/>
      <c r="D756" s="57"/>
      <c r="E756" s="92"/>
      <c r="F756" s="92"/>
      <c r="G756" s="92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</row>
    <row r="757">
      <c r="A757" s="91"/>
      <c r="B757" s="57"/>
      <c r="C757" s="92"/>
      <c r="D757" s="57"/>
      <c r="E757" s="92"/>
      <c r="F757" s="92"/>
      <c r="G757" s="92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</row>
    <row r="758">
      <c r="A758" s="91"/>
      <c r="B758" s="57"/>
      <c r="C758" s="92"/>
      <c r="D758" s="57"/>
      <c r="E758" s="92"/>
      <c r="F758" s="92"/>
      <c r="G758" s="92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</row>
    <row r="759">
      <c r="A759" s="91"/>
      <c r="B759" s="57"/>
      <c r="C759" s="92"/>
      <c r="D759" s="57"/>
      <c r="E759" s="92"/>
      <c r="F759" s="92"/>
      <c r="G759" s="92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</row>
    <row r="760">
      <c r="A760" s="91"/>
      <c r="B760" s="57"/>
      <c r="C760" s="92"/>
      <c r="D760" s="57"/>
      <c r="E760" s="92"/>
      <c r="F760" s="92"/>
      <c r="G760" s="92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</row>
    <row r="761">
      <c r="A761" s="91"/>
      <c r="B761" s="57"/>
      <c r="C761" s="92"/>
      <c r="D761" s="57"/>
      <c r="E761" s="92"/>
      <c r="F761" s="92"/>
      <c r="G761" s="92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</row>
    <row r="762">
      <c r="A762" s="91"/>
      <c r="B762" s="57"/>
      <c r="C762" s="92"/>
      <c r="D762" s="57"/>
      <c r="E762" s="92"/>
      <c r="F762" s="92"/>
      <c r="G762" s="92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</row>
    <row r="763">
      <c r="A763" s="91"/>
      <c r="B763" s="57"/>
      <c r="C763" s="92"/>
      <c r="D763" s="57"/>
      <c r="E763" s="92"/>
      <c r="F763" s="92"/>
      <c r="G763" s="92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</row>
    <row r="764">
      <c r="A764" s="91"/>
      <c r="B764" s="57"/>
      <c r="C764" s="92"/>
      <c r="D764" s="57"/>
      <c r="E764" s="92"/>
      <c r="F764" s="92"/>
      <c r="G764" s="92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</row>
    <row r="765">
      <c r="A765" s="91"/>
      <c r="B765" s="57"/>
      <c r="C765" s="92"/>
      <c r="D765" s="57"/>
      <c r="E765" s="92"/>
      <c r="F765" s="92"/>
      <c r="G765" s="92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</row>
    <row r="766">
      <c r="A766" s="91"/>
      <c r="B766" s="57"/>
      <c r="C766" s="92"/>
      <c r="D766" s="57"/>
      <c r="E766" s="92"/>
      <c r="F766" s="92"/>
      <c r="G766" s="92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</row>
    <row r="767">
      <c r="A767" s="91"/>
      <c r="B767" s="57"/>
      <c r="C767" s="92"/>
      <c r="D767" s="57"/>
      <c r="E767" s="92"/>
      <c r="F767" s="92"/>
      <c r="G767" s="92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</row>
    <row r="768">
      <c r="A768" s="91"/>
      <c r="B768" s="57"/>
      <c r="C768" s="92"/>
      <c r="D768" s="57"/>
      <c r="E768" s="92"/>
      <c r="F768" s="92"/>
      <c r="G768" s="92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</row>
    <row r="769">
      <c r="A769" s="91"/>
      <c r="B769" s="57"/>
      <c r="C769" s="92"/>
      <c r="D769" s="57"/>
      <c r="E769" s="92"/>
      <c r="F769" s="92"/>
      <c r="G769" s="92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</row>
    <row r="770">
      <c r="A770" s="91"/>
      <c r="B770" s="57"/>
      <c r="C770" s="92"/>
      <c r="D770" s="57"/>
      <c r="E770" s="92"/>
      <c r="F770" s="92"/>
      <c r="G770" s="92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</row>
    <row r="771">
      <c r="A771" s="91"/>
      <c r="B771" s="57"/>
      <c r="C771" s="92"/>
      <c r="D771" s="57"/>
      <c r="E771" s="92"/>
      <c r="F771" s="92"/>
      <c r="G771" s="92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</row>
    <row r="772">
      <c r="A772" s="91"/>
      <c r="B772" s="57"/>
      <c r="C772" s="92"/>
      <c r="D772" s="57"/>
      <c r="E772" s="92"/>
      <c r="F772" s="92"/>
      <c r="G772" s="92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</row>
    <row r="773">
      <c r="A773" s="91"/>
      <c r="B773" s="57"/>
      <c r="C773" s="92"/>
      <c r="D773" s="57"/>
      <c r="E773" s="92"/>
      <c r="F773" s="92"/>
      <c r="G773" s="92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</row>
    <row r="774">
      <c r="A774" s="91"/>
      <c r="B774" s="57"/>
      <c r="C774" s="92"/>
      <c r="D774" s="57"/>
      <c r="E774" s="92"/>
      <c r="F774" s="92"/>
      <c r="G774" s="92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</row>
    <row r="775">
      <c r="A775" s="91"/>
      <c r="B775" s="57"/>
      <c r="C775" s="92"/>
      <c r="D775" s="57"/>
      <c r="E775" s="92"/>
      <c r="F775" s="92"/>
      <c r="G775" s="92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</row>
    <row r="776">
      <c r="A776" s="91"/>
      <c r="B776" s="57"/>
      <c r="C776" s="92"/>
      <c r="D776" s="57"/>
      <c r="E776" s="92"/>
      <c r="F776" s="92"/>
      <c r="G776" s="92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</row>
    <row r="777">
      <c r="A777" s="91"/>
      <c r="B777" s="57"/>
      <c r="C777" s="92"/>
      <c r="D777" s="57"/>
      <c r="E777" s="92"/>
      <c r="F777" s="92"/>
      <c r="G777" s="92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</row>
    <row r="778">
      <c r="A778" s="91"/>
      <c r="B778" s="57"/>
      <c r="C778" s="92"/>
      <c r="D778" s="57"/>
      <c r="E778" s="92"/>
      <c r="F778" s="92"/>
      <c r="G778" s="92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</row>
    <row r="779">
      <c r="A779" s="91"/>
      <c r="B779" s="57"/>
      <c r="C779" s="92"/>
      <c r="D779" s="57"/>
      <c r="E779" s="92"/>
      <c r="F779" s="92"/>
      <c r="G779" s="92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</row>
    <row r="780">
      <c r="A780" s="91"/>
      <c r="B780" s="57"/>
      <c r="C780" s="92"/>
      <c r="D780" s="57"/>
      <c r="E780" s="92"/>
      <c r="F780" s="92"/>
      <c r="G780" s="92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</row>
    <row r="781">
      <c r="A781" s="91"/>
      <c r="B781" s="57"/>
      <c r="C781" s="92"/>
      <c r="D781" s="57"/>
      <c r="E781" s="92"/>
      <c r="F781" s="92"/>
      <c r="G781" s="92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</row>
    <row r="782">
      <c r="A782" s="91"/>
      <c r="B782" s="57"/>
      <c r="C782" s="92"/>
      <c r="D782" s="57"/>
      <c r="E782" s="92"/>
      <c r="F782" s="92"/>
      <c r="G782" s="92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</row>
    <row r="783">
      <c r="A783" s="91"/>
      <c r="B783" s="57"/>
      <c r="C783" s="92"/>
      <c r="D783" s="57"/>
      <c r="E783" s="92"/>
      <c r="F783" s="92"/>
      <c r="G783" s="92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</row>
    <row r="784">
      <c r="A784" s="91"/>
      <c r="B784" s="57"/>
      <c r="C784" s="92"/>
      <c r="D784" s="57"/>
      <c r="E784" s="92"/>
      <c r="F784" s="92"/>
      <c r="G784" s="92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</row>
    <row r="785">
      <c r="A785" s="91"/>
      <c r="B785" s="57"/>
      <c r="C785" s="92"/>
      <c r="D785" s="57"/>
      <c r="E785" s="92"/>
      <c r="F785" s="92"/>
      <c r="G785" s="92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</row>
    <row r="786">
      <c r="A786" s="91"/>
      <c r="B786" s="57"/>
      <c r="C786" s="92"/>
      <c r="D786" s="57"/>
      <c r="E786" s="92"/>
      <c r="F786" s="92"/>
      <c r="G786" s="92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</row>
    <row r="787">
      <c r="A787" s="91"/>
      <c r="B787" s="57"/>
      <c r="C787" s="92"/>
      <c r="D787" s="57"/>
      <c r="E787" s="92"/>
      <c r="F787" s="92"/>
      <c r="G787" s="92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</row>
    <row r="788">
      <c r="A788" s="91"/>
      <c r="B788" s="57"/>
      <c r="C788" s="92"/>
      <c r="D788" s="57"/>
      <c r="E788" s="92"/>
      <c r="F788" s="92"/>
      <c r="G788" s="92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</row>
    <row r="789">
      <c r="A789" s="91"/>
      <c r="B789" s="57"/>
      <c r="C789" s="92"/>
      <c r="D789" s="57"/>
      <c r="E789" s="92"/>
      <c r="F789" s="92"/>
      <c r="G789" s="92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</row>
    <row r="790">
      <c r="A790" s="91"/>
      <c r="B790" s="57"/>
      <c r="C790" s="92"/>
      <c r="D790" s="57"/>
      <c r="E790" s="92"/>
      <c r="F790" s="92"/>
      <c r="G790" s="92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</row>
    <row r="791">
      <c r="A791" s="91"/>
      <c r="B791" s="57"/>
      <c r="C791" s="92"/>
      <c r="D791" s="57"/>
      <c r="E791" s="92"/>
      <c r="F791" s="92"/>
      <c r="G791" s="92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</row>
    <row r="792">
      <c r="A792" s="91"/>
      <c r="B792" s="57"/>
      <c r="C792" s="92"/>
      <c r="D792" s="57"/>
      <c r="E792" s="92"/>
      <c r="F792" s="92"/>
      <c r="G792" s="92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</row>
    <row r="793">
      <c r="A793" s="91"/>
      <c r="B793" s="57"/>
      <c r="C793" s="92"/>
      <c r="D793" s="57"/>
      <c r="E793" s="92"/>
      <c r="F793" s="92"/>
      <c r="G793" s="92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</row>
    <row r="794">
      <c r="A794" s="91"/>
      <c r="B794" s="57"/>
      <c r="C794" s="92"/>
      <c r="D794" s="57"/>
      <c r="E794" s="92"/>
      <c r="F794" s="92"/>
      <c r="G794" s="92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</row>
    <row r="795">
      <c r="A795" s="91"/>
      <c r="B795" s="57"/>
      <c r="C795" s="92"/>
      <c r="D795" s="57"/>
      <c r="E795" s="92"/>
      <c r="F795" s="92"/>
      <c r="G795" s="92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</row>
    <row r="796">
      <c r="A796" s="91"/>
      <c r="B796" s="57"/>
      <c r="C796" s="92"/>
      <c r="D796" s="57"/>
      <c r="E796" s="92"/>
      <c r="F796" s="92"/>
      <c r="G796" s="92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</row>
    <row r="797">
      <c r="A797" s="91"/>
      <c r="B797" s="57"/>
      <c r="C797" s="92"/>
      <c r="D797" s="57"/>
      <c r="E797" s="92"/>
      <c r="F797" s="92"/>
      <c r="G797" s="92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</row>
    <row r="798">
      <c r="A798" s="91"/>
      <c r="B798" s="57"/>
      <c r="C798" s="92"/>
      <c r="D798" s="57"/>
      <c r="E798" s="92"/>
      <c r="F798" s="92"/>
      <c r="G798" s="92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</row>
    <row r="799">
      <c r="A799" s="91"/>
      <c r="B799" s="57"/>
      <c r="C799" s="92"/>
      <c r="D799" s="57"/>
      <c r="E799" s="92"/>
      <c r="F799" s="92"/>
      <c r="G799" s="92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</row>
    <row r="800">
      <c r="A800" s="91"/>
      <c r="B800" s="57"/>
      <c r="C800" s="92"/>
      <c r="D800" s="57"/>
      <c r="E800" s="92"/>
      <c r="F800" s="92"/>
      <c r="G800" s="92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</row>
    <row r="801">
      <c r="A801" s="91"/>
      <c r="B801" s="57"/>
      <c r="C801" s="92"/>
      <c r="D801" s="57"/>
      <c r="E801" s="92"/>
      <c r="F801" s="92"/>
      <c r="G801" s="92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</row>
    <row r="802">
      <c r="A802" s="91"/>
      <c r="B802" s="57"/>
      <c r="C802" s="92"/>
      <c r="D802" s="57"/>
      <c r="E802" s="92"/>
      <c r="F802" s="92"/>
      <c r="G802" s="92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</row>
    <row r="803">
      <c r="A803" s="91"/>
      <c r="B803" s="57"/>
      <c r="C803" s="92"/>
      <c r="D803" s="57"/>
      <c r="E803" s="92"/>
      <c r="F803" s="92"/>
      <c r="G803" s="92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</row>
    <row r="804">
      <c r="A804" s="91"/>
      <c r="B804" s="57"/>
      <c r="C804" s="92"/>
      <c r="D804" s="57"/>
      <c r="E804" s="92"/>
      <c r="F804" s="92"/>
      <c r="G804" s="92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</row>
    <row r="805">
      <c r="A805" s="91"/>
      <c r="B805" s="57"/>
      <c r="C805" s="92"/>
      <c r="D805" s="57"/>
      <c r="E805" s="92"/>
      <c r="F805" s="92"/>
      <c r="G805" s="92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</row>
    <row r="806">
      <c r="A806" s="91"/>
      <c r="B806" s="57"/>
      <c r="C806" s="92"/>
      <c r="D806" s="57"/>
      <c r="E806" s="92"/>
      <c r="F806" s="92"/>
      <c r="G806" s="92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</row>
    <row r="807">
      <c r="A807" s="91"/>
      <c r="B807" s="57"/>
      <c r="C807" s="92"/>
      <c r="D807" s="57"/>
      <c r="E807" s="92"/>
      <c r="F807" s="92"/>
      <c r="G807" s="92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</row>
    <row r="808">
      <c r="A808" s="91"/>
      <c r="B808" s="57"/>
      <c r="C808" s="92"/>
      <c r="D808" s="57"/>
      <c r="E808" s="92"/>
      <c r="F808" s="92"/>
      <c r="G808" s="92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</row>
    <row r="809">
      <c r="A809" s="91"/>
      <c r="B809" s="57"/>
      <c r="C809" s="92"/>
      <c r="D809" s="57"/>
      <c r="E809" s="92"/>
      <c r="F809" s="92"/>
      <c r="G809" s="92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</row>
    <row r="810">
      <c r="A810" s="91"/>
      <c r="B810" s="57"/>
      <c r="C810" s="92"/>
      <c r="D810" s="57"/>
      <c r="E810" s="92"/>
      <c r="F810" s="92"/>
      <c r="G810" s="92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</row>
    <row r="811">
      <c r="A811" s="91"/>
      <c r="B811" s="57"/>
      <c r="C811" s="92"/>
      <c r="D811" s="57"/>
      <c r="E811" s="92"/>
      <c r="F811" s="92"/>
      <c r="G811" s="92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</row>
    <row r="812">
      <c r="A812" s="91"/>
      <c r="B812" s="57"/>
      <c r="C812" s="92"/>
      <c r="D812" s="57"/>
      <c r="E812" s="92"/>
      <c r="F812" s="92"/>
      <c r="G812" s="92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</row>
    <row r="813">
      <c r="A813" s="91"/>
      <c r="B813" s="57"/>
      <c r="C813" s="92"/>
      <c r="D813" s="57"/>
      <c r="E813" s="92"/>
      <c r="F813" s="92"/>
      <c r="G813" s="92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</row>
    <row r="814">
      <c r="A814" s="91"/>
      <c r="B814" s="57"/>
      <c r="C814" s="92"/>
      <c r="D814" s="57"/>
      <c r="E814" s="92"/>
      <c r="F814" s="92"/>
      <c r="G814" s="92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</row>
    <row r="815">
      <c r="A815" s="91"/>
      <c r="B815" s="57"/>
      <c r="C815" s="92"/>
      <c r="D815" s="57"/>
      <c r="E815" s="92"/>
      <c r="F815" s="92"/>
      <c r="G815" s="92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</row>
    <row r="816">
      <c r="A816" s="91"/>
      <c r="B816" s="57"/>
      <c r="C816" s="92"/>
      <c r="D816" s="57"/>
      <c r="E816" s="92"/>
      <c r="F816" s="92"/>
      <c r="G816" s="92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</row>
    <row r="817">
      <c r="A817" s="91"/>
      <c r="B817" s="57"/>
      <c r="C817" s="92"/>
      <c r="D817" s="57"/>
      <c r="E817" s="92"/>
      <c r="F817" s="92"/>
      <c r="G817" s="92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</row>
    <row r="818">
      <c r="A818" s="91"/>
      <c r="B818" s="57"/>
      <c r="C818" s="92"/>
      <c r="D818" s="57"/>
      <c r="E818" s="92"/>
      <c r="F818" s="92"/>
      <c r="G818" s="92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</row>
    <row r="819">
      <c r="A819" s="91"/>
      <c r="B819" s="57"/>
      <c r="C819" s="92"/>
      <c r="D819" s="57"/>
      <c r="E819" s="92"/>
      <c r="F819" s="92"/>
      <c r="G819" s="92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</row>
    <row r="820">
      <c r="A820" s="91"/>
      <c r="B820" s="57"/>
      <c r="C820" s="92"/>
      <c r="D820" s="57"/>
      <c r="E820" s="92"/>
      <c r="F820" s="92"/>
      <c r="G820" s="92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</row>
    <row r="821">
      <c r="A821" s="91"/>
      <c r="B821" s="57"/>
      <c r="C821" s="92"/>
      <c r="D821" s="57"/>
      <c r="E821" s="92"/>
      <c r="F821" s="92"/>
      <c r="G821" s="92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</row>
    <row r="822">
      <c r="A822" s="91"/>
      <c r="B822" s="57"/>
      <c r="C822" s="92"/>
      <c r="D822" s="57"/>
      <c r="E822" s="92"/>
      <c r="F822" s="92"/>
      <c r="G822" s="92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</row>
    <row r="823">
      <c r="A823" s="91"/>
      <c r="B823" s="57"/>
      <c r="C823" s="92"/>
      <c r="D823" s="57"/>
      <c r="E823" s="92"/>
      <c r="F823" s="92"/>
      <c r="G823" s="92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</row>
    <row r="824">
      <c r="A824" s="91"/>
      <c r="B824" s="57"/>
      <c r="C824" s="92"/>
      <c r="D824" s="57"/>
      <c r="E824" s="92"/>
      <c r="F824" s="92"/>
      <c r="G824" s="92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</row>
    <row r="825">
      <c r="A825" s="91"/>
      <c r="B825" s="57"/>
      <c r="C825" s="92"/>
      <c r="D825" s="57"/>
      <c r="E825" s="92"/>
      <c r="F825" s="92"/>
      <c r="G825" s="92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</row>
    <row r="826">
      <c r="A826" s="91"/>
      <c r="B826" s="57"/>
      <c r="C826" s="92"/>
      <c r="D826" s="57"/>
      <c r="E826" s="92"/>
      <c r="F826" s="92"/>
      <c r="G826" s="92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</row>
    <row r="827">
      <c r="A827" s="91"/>
      <c r="B827" s="57"/>
      <c r="C827" s="92"/>
      <c r="D827" s="57"/>
      <c r="E827" s="92"/>
      <c r="F827" s="92"/>
      <c r="G827" s="92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</row>
    <row r="828">
      <c r="A828" s="91"/>
      <c r="B828" s="57"/>
      <c r="C828" s="92"/>
      <c r="D828" s="57"/>
      <c r="E828" s="92"/>
      <c r="F828" s="92"/>
      <c r="G828" s="92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</row>
    <row r="829">
      <c r="A829" s="91"/>
      <c r="B829" s="57"/>
      <c r="C829" s="92"/>
      <c r="D829" s="57"/>
      <c r="E829" s="92"/>
      <c r="F829" s="92"/>
      <c r="G829" s="92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</row>
    <row r="830">
      <c r="A830" s="91"/>
      <c r="B830" s="57"/>
      <c r="C830" s="92"/>
      <c r="D830" s="57"/>
      <c r="E830" s="92"/>
      <c r="F830" s="92"/>
      <c r="G830" s="92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</row>
    <row r="831">
      <c r="A831" s="91"/>
      <c r="B831" s="57"/>
      <c r="C831" s="92"/>
      <c r="D831" s="57"/>
      <c r="E831" s="92"/>
      <c r="F831" s="92"/>
      <c r="G831" s="92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</row>
    <row r="832">
      <c r="A832" s="91"/>
      <c r="B832" s="57"/>
      <c r="C832" s="92"/>
      <c r="D832" s="57"/>
      <c r="E832" s="92"/>
      <c r="F832" s="92"/>
      <c r="G832" s="92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</row>
    <row r="833">
      <c r="A833" s="91"/>
      <c r="B833" s="57"/>
      <c r="C833" s="92"/>
      <c r="D833" s="57"/>
      <c r="E833" s="92"/>
      <c r="F833" s="92"/>
      <c r="G833" s="92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</row>
    <row r="834">
      <c r="A834" s="91"/>
      <c r="B834" s="57"/>
      <c r="C834" s="92"/>
      <c r="D834" s="57"/>
      <c r="E834" s="92"/>
      <c r="F834" s="92"/>
      <c r="G834" s="92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</row>
    <row r="835">
      <c r="A835" s="91"/>
      <c r="B835" s="57"/>
      <c r="C835" s="92"/>
      <c r="D835" s="57"/>
      <c r="E835" s="92"/>
      <c r="F835" s="92"/>
      <c r="G835" s="92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</row>
    <row r="836">
      <c r="A836" s="91"/>
      <c r="B836" s="57"/>
      <c r="C836" s="92"/>
      <c r="D836" s="57"/>
      <c r="E836" s="92"/>
      <c r="F836" s="92"/>
      <c r="G836" s="92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</row>
    <row r="837">
      <c r="A837" s="91"/>
      <c r="B837" s="57"/>
      <c r="C837" s="92"/>
      <c r="D837" s="57"/>
      <c r="E837" s="92"/>
      <c r="F837" s="92"/>
      <c r="G837" s="92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</row>
    <row r="838">
      <c r="A838" s="91"/>
      <c r="B838" s="57"/>
      <c r="C838" s="92"/>
      <c r="D838" s="57"/>
      <c r="E838" s="92"/>
      <c r="F838" s="92"/>
      <c r="G838" s="92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</row>
    <row r="839">
      <c r="A839" s="91"/>
      <c r="B839" s="57"/>
      <c r="C839" s="92"/>
      <c r="D839" s="57"/>
      <c r="E839" s="92"/>
      <c r="F839" s="92"/>
      <c r="G839" s="92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</row>
    <row r="840">
      <c r="A840" s="91"/>
      <c r="B840" s="57"/>
      <c r="C840" s="92"/>
      <c r="D840" s="57"/>
      <c r="E840" s="92"/>
      <c r="F840" s="92"/>
      <c r="G840" s="92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</row>
    <row r="841">
      <c r="A841" s="91"/>
      <c r="B841" s="57"/>
      <c r="C841" s="92"/>
      <c r="D841" s="57"/>
      <c r="E841" s="92"/>
      <c r="F841" s="92"/>
      <c r="G841" s="92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</row>
    <row r="842">
      <c r="A842" s="91"/>
      <c r="B842" s="57"/>
      <c r="C842" s="92"/>
      <c r="D842" s="57"/>
      <c r="E842" s="92"/>
      <c r="F842" s="92"/>
      <c r="G842" s="92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</row>
    <row r="843">
      <c r="A843" s="91"/>
      <c r="B843" s="57"/>
      <c r="C843" s="92"/>
      <c r="D843" s="57"/>
      <c r="E843" s="92"/>
      <c r="F843" s="92"/>
      <c r="G843" s="92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</row>
    <row r="844">
      <c r="A844" s="91"/>
      <c r="B844" s="57"/>
      <c r="C844" s="92"/>
      <c r="D844" s="57"/>
      <c r="E844" s="92"/>
      <c r="F844" s="92"/>
      <c r="G844" s="92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</row>
    <row r="845">
      <c r="A845" s="91"/>
      <c r="B845" s="57"/>
      <c r="C845" s="92"/>
      <c r="D845" s="57"/>
      <c r="E845" s="92"/>
      <c r="F845" s="92"/>
      <c r="G845" s="92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</row>
    <row r="846">
      <c r="A846" s="91"/>
      <c r="B846" s="57"/>
      <c r="C846" s="92"/>
      <c r="D846" s="57"/>
      <c r="E846" s="92"/>
      <c r="F846" s="92"/>
      <c r="G846" s="92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</row>
    <row r="847">
      <c r="A847" s="91"/>
      <c r="B847" s="57"/>
      <c r="C847" s="92"/>
      <c r="D847" s="57"/>
      <c r="E847" s="92"/>
      <c r="F847" s="92"/>
      <c r="G847" s="92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</row>
    <row r="848">
      <c r="A848" s="91"/>
      <c r="B848" s="57"/>
      <c r="C848" s="92"/>
      <c r="D848" s="57"/>
      <c r="E848" s="92"/>
      <c r="F848" s="92"/>
      <c r="G848" s="92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</row>
    <row r="849">
      <c r="A849" s="91"/>
      <c r="B849" s="57"/>
      <c r="C849" s="92"/>
      <c r="D849" s="57"/>
      <c r="E849" s="92"/>
      <c r="F849" s="92"/>
      <c r="G849" s="92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</row>
    <row r="850">
      <c r="A850" s="91"/>
      <c r="B850" s="57"/>
      <c r="C850" s="92"/>
      <c r="D850" s="57"/>
      <c r="E850" s="92"/>
      <c r="F850" s="92"/>
      <c r="G850" s="92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</row>
    <row r="851">
      <c r="A851" s="91"/>
      <c r="B851" s="57"/>
      <c r="C851" s="92"/>
      <c r="D851" s="57"/>
      <c r="E851" s="92"/>
      <c r="F851" s="92"/>
      <c r="G851" s="92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</row>
    <row r="852">
      <c r="A852" s="91"/>
      <c r="B852" s="57"/>
      <c r="C852" s="92"/>
      <c r="D852" s="57"/>
      <c r="E852" s="92"/>
      <c r="F852" s="92"/>
      <c r="G852" s="92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</row>
    <row r="853">
      <c r="A853" s="91"/>
      <c r="B853" s="57"/>
      <c r="C853" s="92"/>
      <c r="D853" s="57"/>
      <c r="E853" s="92"/>
      <c r="F853" s="92"/>
      <c r="G853" s="92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</row>
    <row r="854">
      <c r="A854" s="91"/>
      <c r="B854" s="57"/>
      <c r="C854" s="92"/>
      <c r="D854" s="57"/>
      <c r="E854" s="92"/>
      <c r="F854" s="92"/>
      <c r="G854" s="92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</row>
    <row r="855">
      <c r="A855" s="91"/>
      <c r="B855" s="57"/>
      <c r="C855" s="92"/>
      <c r="D855" s="57"/>
      <c r="E855" s="92"/>
      <c r="F855" s="92"/>
      <c r="G855" s="92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</row>
    <row r="856">
      <c r="A856" s="91"/>
      <c r="B856" s="57"/>
      <c r="C856" s="92"/>
      <c r="D856" s="57"/>
      <c r="E856" s="92"/>
      <c r="F856" s="92"/>
      <c r="G856" s="92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</row>
    <row r="857">
      <c r="A857" s="91"/>
      <c r="B857" s="57"/>
      <c r="C857" s="92"/>
      <c r="D857" s="57"/>
      <c r="E857" s="92"/>
      <c r="F857" s="92"/>
      <c r="G857" s="92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</row>
    <row r="858">
      <c r="A858" s="91"/>
      <c r="B858" s="57"/>
      <c r="C858" s="92"/>
      <c r="D858" s="57"/>
      <c r="E858" s="92"/>
      <c r="F858" s="92"/>
      <c r="G858" s="92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</row>
    <row r="859">
      <c r="A859" s="91"/>
      <c r="B859" s="57"/>
      <c r="C859" s="92"/>
      <c r="D859" s="57"/>
      <c r="E859" s="92"/>
      <c r="F859" s="92"/>
      <c r="G859" s="92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</row>
    <row r="860">
      <c r="A860" s="91"/>
      <c r="B860" s="57"/>
      <c r="C860" s="92"/>
      <c r="D860" s="57"/>
      <c r="E860" s="92"/>
      <c r="F860" s="92"/>
      <c r="G860" s="92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</row>
    <row r="861">
      <c r="A861" s="91"/>
      <c r="B861" s="57"/>
      <c r="C861" s="92"/>
      <c r="D861" s="57"/>
      <c r="E861" s="92"/>
      <c r="F861" s="92"/>
      <c r="G861" s="92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</row>
    <row r="862">
      <c r="A862" s="91"/>
      <c r="B862" s="57"/>
      <c r="C862" s="92"/>
      <c r="D862" s="57"/>
      <c r="E862" s="92"/>
      <c r="F862" s="92"/>
      <c r="G862" s="92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</row>
    <row r="863">
      <c r="A863" s="91"/>
      <c r="B863" s="57"/>
      <c r="C863" s="92"/>
      <c r="D863" s="57"/>
      <c r="E863" s="92"/>
      <c r="F863" s="92"/>
      <c r="G863" s="92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</row>
    <row r="864">
      <c r="A864" s="91"/>
      <c r="B864" s="57"/>
      <c r="C864" s="92"/>
      <c r="D864" s="57"/>
      <c r="E864" s="92"/>
      <c r="F864" s="92"/>
      <c r="G864" s="92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</row>
    <row r="865">
      <c r="A865" s="91"/>
      <c r="B865" s="57"/>
      <c r="C865" s="92"/>
      <c r="D865" s="57"/>
      <c r="E865" s="92"/>
      <c r="F865" s="92"/>
      <c r="G865" s="92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</row>
    <row r="866">
      <c r="A866" s="91"/>
      <c r="B866" s="57"/>
      <c r="C866" s="92"/>
      <c r="D866" s="57"/>
      <c r="E866" s="92"/>
      <c r="F866" s="92"/>
      <c r="G866" s="92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</row>
    <row r="867">
      <c r="A867" s="91"/>
      <c r="B867" s="57"/>
      <c r="C867" s="92"/>
      <c r="D867" s="57"/>
      <c r="E867" s="92"/>
      <c r="F867" s="92"/>
      <c r="G867" s="92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</row>
    <row r="868">
      <c r="A868" s="91"/>
      <c r="B868" s="57"/>
      <c r="C868" s="92"/>
      <c r="D868" s="57"/>
      <c r="E868" s="92"/>
      <c r="F868" s="92"/>
      <c r="G868" s="92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</row>
    <row r="869">
      <c r="A869" s="91"/>
      <c r="B869" s="57"/>
      <c r="C869" s="92"/>
      <c r="D869" s="57"/>
      <c r="E869" s="92"/>
      <c r="F869" s="92"/>
      <c r="G869" s="92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</row>
    <row r="870">
      <c r="A870" s="91"/>
      <c r="B870" s="57"/>
      <c r="C870" s="92"/>
      <c r="D870" s="57"/>
      <c r="E870" s="92"/>
      <c r="F870" s="92"/>
      <c r="G870" s="92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</row>
    <row r="871">
      <c r="A871" s="91"/>
      <c r="B871" s="57"/>
      <c r="C871" s="92"/>
      <c r="D871" s="57"/>
      <c r="E871" s="92"/>
      <c r="F871" s="92"/>
      <c r="G871" s="92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</row>
    <row r="872">
      <c r="A872" s="91"/>
      <c r="B872" s="57"/>
      <c r="C872" s="92"/>
      <c r="D872" s="57"/>
      <c r="E872" s="92"/>
      <c r="F872" s="92"/>
      <c r="G872" s="92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</row>
    <row r="873">
      <c r="A873" s="91"/>
      <c r="B873" s="57"/>
      <c r="C873" s="92"/>
      <c r="D873" s="57"/>
      <c r="E873" s="92"/>
      <c r="F873" s="92"/>
      <c r="G873" s="92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</row>
    <row r="874">
      <c r="A874" s="91"/>
      <c r="B874" s="57"/>
      <c r="C874" s="92"/>
      <c r="D874" s="57"/>
      <c r="E874" s="92"/>
      <c r="F874" s="92"/>
      <c r="G874" s="92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</row>
    <row r="875">
      <c r="A875" s="91"/>
      <c r="B875" s="57"/>
      <c r="C875" s="92"/>
      <c r="D875" s="57"/>
      <c r="E875" s="92"/>
      <c r="F875" s="92"/>
      <c r="G875" s="92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</row>
    <row r="876">
      <c r="A876" s="91"/>
      <c r="B876" s="57"/>
      <c r="C876" s="92"/>
      <c r="D876" s="57"/>
      <c r="E876" s="92"/>
      <c r="F876" s="92"/>
      <c r="G876" s="92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</row>
    <row r="877">
      <c r="A877" s="91"/>
      <c r="B877" s="57"/>
      <c r="C877" s="92"/>
      <c r="D877" s="57"/>
      <c r="E877" s="92"/>
      <c r="F877" s="92"/>
      <c r="G877" s="92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</row>
    <row r="878">
      <c r="A878" s="91"/>
      <c r="B878" s="57"/>
      <c r="C878" s="92"/>
      <c r="D878" s="57"/>
      <c r="E878" s="92"/>
      <c r="F878" s="92"/>
      <c r="G878" s="92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</row>
    <row r="879">
      <c r="A879" s="91"/>
      <c r="B879" s="57"/>
      <c r="C879" s="92"/>
      <c r="D879" s="57"/>
      <c r="E879" s="92"/>
      <c r="F879" s="92"/>
      <c r="G879" s="92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</row>
    <row r="880">
      <c r="A880" s="91"/>
      <c r="B880" s="57"/>
      <c r="C880" s="92"/>
      <c r="D880" s="57"/>
      <c r="E880" s="92"/>
      <c r="F880" s="92"/>
      <c r="G880" s="92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</row>
    <row r="881">
      <c r="A881" s="91"/>
      <c r="B881" s="57"/>
      <c r="C881" s="92"/>
      <c r="D881" s="57"/>
      <c r="E881" s="92"/>
      <c r="F881" s="92"/>
      <c r="G881" s="92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</row>
    <row r="882">
      <c r="A882" s="91"/>
      <c r="B882" s="57"/>
      <c r="C882" s="92"/>
      <c r="D882" s="57"/>
      <c r="E882" s="92"/>
      <c r="F882" s="92"/>
      <c r="G882" s="92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</row>
    <row r="883">
      <c r="A883" s="91"/>
      <c r="B883" s="57"/>
      <c r="C883" s="92"/>
      <c r="D883" s="57"/>
      <c r="E883" s="92"/>
      <c r="F883" s="92"/>
      <c r="G883" s="92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</row>
    <row r="884">
      <c r="A884" s="91"/>
      <c r="B884" s="57"/>
      <c r="C884" s="92"/>
      <c r="D884" s="57"/>
      <c r="E884" s="92"/>
      <c r="F884" s="92"/>
      <c r="G884" s="92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</row>
    <row r="885">
      <c r="A885" s="91"/>
      <c r="B885" s="57"/>
      <c r="C885" s="92"/>
      <c r="D885" s="57"/>
      <c r="E885" s="92"/>
      <c r="F885" s="92"/>
      <c r="G885" s="92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</row>
    <row r="886">
      <c r="A886" s="91"/>
      <c r="B886" s="57"/>
      <c r="C886" s="92"/>
      <c r="D886" s="57"/>
      <c r="E886" s="92"/>
      <c r="F886" s="92"/>
      <c r="G886" s="92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</row>
    <row r="887">
      <c r="A887" s="91"/>
      <c r="B887" s="57"/>
      <c r="C887" s="92"/>
      <c r="D887" s="57"/>
      <c r="E887" s="92"/>
      <c r="F887" s="92"/>
      <c r="G887" s="92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</row>
    <row r="888">
      <c r="A888" s="91"/>
      <c r="B888" s="57"/>
      <c r="C888" s="92"/>
      <c r="D888" s="57"/>
      <c r="E888" s="92"/>
      <c r="F888" s="92"/>
      <c r="G888" s="92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</row>
    <row r="889">
      <c r="A889" s="91"/>
      <c r="B889" s="57"/>
      <c r="C889" s="92"/>
      <c r="D889" s="57"/>
      <c r="E889" s="92"/>
      <c r="F889" s="92"/>
      <c r="G889" s="92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</row>
    <row r="890">
      <c r="A890" s="91"/>
      <c r="B890" s="57"/>
      <c r="C890" s="92"/>
      <c r="D890" s="57"/>
      <c r="E890" s="92"/>
      <c r="F890" s="92"/>
      <c r="G890" s="92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</row>
    <row r="891">
      <c r="A891" s="91"/>
      <c r="B891" s="57"/>
      <c r="C891" s="92"/>
      <c r="D891" s="57"/>
      <c r="E891" s="92"/>
      <c r="F891" s="92"/>
      <c r="G891" s="92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</row>
    <row r="892">
      <c r="A892" s="91"/>
      <c r="B892" s="57"/>
      <c r="C892" s="92"/>
      <c r="D892" s="57"/>
      <c r="E892" s="92"/>
      <c r="F892" s="92"/>
      <c r="G892" s="92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</row>
    <row r="893">
      <c r="A893" s="91"/>
      <c r="B893" s="57"/>
      <c r="C893" s="92"/>
      <c r="D893" s="57"/>
      <c r="E893" s="92"/>
      <c r="F893" s="92"/>
      <c r="G893" s="92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</row>
    <row r="894">
      <c r="A894" s="91"/>
      <c r="B894" s="57"/>
      <c r="C894" s="92"/>
      <c r="D894" s="57"/>
      <c r="E894" s="92"/>
      <c r="F894" s="92"/>
      <c r="G894" s="92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</row>
    <row r="895">
      <c r="A895" s="91"/>
      <c r="B895" s="57"/>
      <c r="C895" s="92"/>
      <c r="D895" s="57"/>
      <c r="E895" s="92"/>
      <c r="F895" s="92"/>
      <c r="G895" s="92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</row>
    <row r="896">
      <c r="A896" s="91"/>
      <c r="B896" s="57"/>
      <c r="C896" s="92"/>
      <c r="D896" s="57"/>
      <c r="E896" s="92"/>
      <c r="F896" s="92"/>
      <c r="G896" s="92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</row>
    <row r="897">
      <c r="A897" s="91"/>
      <c r="B897" s="57"/>
      <c r="C897" s="92"/>
      <c r="D897" s="57"/>
      <c r="E897" s="92"/>
      <c r="F897" s="92"/>
      <c r="G897" s="92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</row>
    <row r="898">
      <c r="A898" s="91"/>
      <c r="B898" s="57"/>
      <c r="C898" s="92"/>
      <c r="D898" s="57"/>
      <c r="E898" s="92"/>
      <c r="F898" s="92"/>
      <c r="G898" s="92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</row>
    <row r="899">
      <c r="A899" s="91"/>
      <c r="B899" s="57"/>
      <c r="C899" s="92"/>
      <c r="D899" s="57"/>
      <c r="E899" s="92"/>
      <c r="F899" s="92"/>
      <c r="G899" s="92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</row>
    <row r="900">
      <c r="A900" s="91"/>
      <c r="B900" s="57"/>
      <c r="C900" s="92"/>
      <c r="D900" s="57"/>
      <c r="E900" s="92"/>
      <c r="F900" s="92"/>
      <c r="G900" s="92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</row>
    <row r="901">
      <c r="A901" s="91"/>
      <c r="B901" s="57"/>
      <c r="C901" s="92"/>
      <c r="D901" s="57"/>
      <c r="E901" s="92"/>
      <c r="F901" s="92"/>
      <c r="G901" s="92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</row>
    <row r="902">
      <c r="A902" s="91"/>
      <c r="B902" s="57"/>
      <c r="C902" s="92"/>
      <c r="D902" s="57"/>
      <c r="E902" s="92"/>
      <c r="F902" s="92"/>
      <c r="G902" s="92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</row>
    <row r="903">
      <c r="A903" s="91"/>
      <c r="B903" s="57"/>
      <c r="C903" s="92"/>
      <c r="D903" s="57"/>
      <c r="E903" s="92"/>
      <c r="F903" s="92"/>
      <c r="G903" s="92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</row>
    <row r="904">
      <c r="A904" s="91"/>
      <c r="B904" s="57"/>
      <c r="C904" s="92"/>
      <c r="D904" s="57"/>
      <c r="E904" s="92"/>
      <c r="F904" s="92"/>
      <c r="G904" s="92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</row>
    <row r="905">
      <c r="A905" s="91"/>
      <c r="B905" s="57"/>
      <c r="C905" s="92"/>
      <c r="D905" s="57"/>
      <c r="E905" s="92"/>
      <c r="F905" s="92"/>
      <c r="G905" s="92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</row>
    <row r="906">
      <c r="A906" s="91"/>
      <c r="B906" s="57"/>
      <c r="C906" s="92"/>
      <c r="D906" s="57"/>
      <c r="E906" s="92"/>
      <c r="F906" s="92"/>
      <c r="G906" s="92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</row>
    <row r="907">
      <c r="A907" s="91"/>
      <c r="B907" s="57"/>
      <c r="C907" s="92"/>
      <c r="D907" s="57"/>
      <c r="E907" s="92"/>
      <c r="F907" s="92"/>
      <c r="G907" s="92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</row>
    <row r="908">
      <c r="A908" s="91"/>
      <c r="B908" s="57"/>
      <c r="C908" s="92"/>
      <c r="D908" s="57"/>
      <c r="E908" s="92"/>
      <c r="F908" s="92"/>
      <c r="G908" s="92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</row>
    <row r="909">
      <c r="A909" s="91"/>
      <c r="B909" s="57"/>
      <c r="C909" s="92"/>
      <c r="D909" s="57"/>
      <c r="E909" s="92"/>
      <c r="F909" s="92"/>
      <c r="G909" s="92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</row>
    <row r="910">
      <c r="A910" s="91"/>
      <c r="B910" s="57"/>
      <c r="C910" s="92"/>
      <c r="D910" s="57"/>
      <c r="E910" s="92"/>
      <c r="F910" s="92"/>
      <c r="G910" s="92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</row>
    <row r="911">
      <c r="A911" s="91"/>
      <c r="B911" s="57"/>
      <c r="C911" s="92"/>
      <c r="D911" s="57"/>
      <c r="E911" s="92"/>
      <c r="F911" s="92"/>
      <c r="G911" s="92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</row>
    <row r="912">
      <c r="A912" s="91"/>
      <c r="B912" s="57"/>
      <c r="C912" s="92"/>
      <c r="D912" s="57"/>
      <c r="E912" s="92"/>
      <c r="F912" s="92"/>
      <c r="G912" s="92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</row>
    <row r="913">
      <c r="A913" s="91"/>
      <c r="B913" s="57"/>
      <c r="C913" s="92"/>
      <c r="D913" s="57"/>
      <c r="E913" s="92"/>
      <c r="F913" s="92"/>
      <c r="G913" s="92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</row>
    <row r="914">
      <c r="A914" s="91"/>
      <c r="B914" s="57"/>
      <c r="C914" s="92"/>
      <c r="D914" s="57"/>
      <c r="E914" s="92"/>
      <c r="F914" s="92"/>
      <c r="G914" s="92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</row>
    <row r="915">
      <c r="A915" s="91"/>
      <c r="B915" s="57"/>
      <c r="C915" s="92"/>
      <c r="D915" s="57"/>
      <c r="E915" s="92"/>
      <c r="F915" s="92"/>
      <c r="G915" s="92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</row>
    <row r="916">
      <c r="A916" s="91"/>
      <c r="B916" s="57"/>
      <c r="C916" s="92"/>
      <c r="D916" s="57"/>
      <c r="E916" s="92"/>
      <c r="F916" s="92"/>
      <c r="G916" s="92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</row>
    <row r="917">
      <c r="A917" s="91"/>
      <c r="B917" s="57"/>
      <c r="C917" s="92"/>
      <c r="D917" s="57"/>
      <c r="E917" s="92"/>
      <c r="F917" s="92"/>
      <c r="G917" s="92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</row>
    <row r="918">
      <c r="A918" s="91"/>
      <c r="B918" s="57"/>
      <c r="C918" s="92"/>
      <c r="D918" s="57"/>
      <c r="E918" s="92"/>
      <c r="F918" s="92"/>
      <c r="G918" s="92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</row>
    <row r="919">
      <c r="A919" s="91"/>
      <c r="B919" s="57"/>
      <c r="C919" s="92"/>
      <c r="D919" s="57"/>
      <c r="E919" s="92"/>
      <c r="F919" s="92"/>
      <c r="G919" s="92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</row>
    <row r="920">
      <c r="A920" s="91"/>
      <c r="B920" s="57"/>
      <c r="C920" s="92"/>
      <c r="D920" s="57"/>
      <c r="E920" s="92"/>
      <c r="F920" s="92"/>
      <c r="G920" s="92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</row>
    <row r="921">
      <c r="A921" s="91"/>
      <c r="B921" s="57"/>
      <c r="C921" s="92"/>
      <c r="D921" s="57"/>
      <c r="E921" s="92"/>
      <c r="F921" s="92"/>
      <c r="G921" s="92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</row>
    <row r="922">
      <c r="A922" s="91"/>
      <c r="B922" s="57"/>
      <c r="C922" s="92"/>
      <c r="D922" s="57"/>
      <c r="E922" s="92"/>
      <c r="F922" s="92"/>
      <c r="G922" s="92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</row>
    <row r="923">
      <c r="A923" s="91"/>
      <c r="B923" s="57"/>
      <c r="C923" s="92"/>
      <c r="D923" s="57"/>
      <c r="E923" s="92"/>
      <c r="F923" s="92"/>
      <c r="G923" s="92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</row>
    <row r="924">
      <c r="A924" s="91"/>
      <c r="B924" s="57"/>
      <c r="C924" s="92"/>
      <c r="D924" s="57"/>
      <c r="E924" s="92"/>
      <c r="F924" s="92"/>
      <c r="G924" s="92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</row>
    <row r="925">
      <c r="A925" s="91"/>
      <c r="B925" s="57"/>
      <c r="C925" s="92"/>
      <c r="D925" s="57"/>
      <c r="E925" s="92"/>
      <c r="F925" s="92"/>
      <c r="G925" s="92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</row>
    <row r="926">
      <c r="A926" s="91"/>
      <c r="B926" s="57"/>
      <c r="C926" s="92"/>
      <c r="D926" s="57"/>
      <c r="E926" s="92"/>
      <c r="F926" s="92"/>
      <c r="G926" s="92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</row>
    <row r="927">
      <c r="A927" s="91"/>
      <c r="B927" s="57"/>
      <c r="C927" s="92"/>
      <c r="D927" s="57"/>
      <c r="E927" s="92"/>
      <c r="F927" s="92"/>
      <c r="G927" s="92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</row>
    <row r="928">
      <c r="A928" s="91"/>
      <c r="B928" s="57"/>
      <c r="C928" s="92"/>
      <c r="D928" s="57"/>
      <c r="E928" s="92"/>
      <c r="F928" s="92"/>
      <c r="G928" s="92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</row>
    <row r="929">
      <c r="A929" s="91"/>
      <c r="B929" s="57"/>
      <c r="C929" s="92"/>
      <c r="D929" s="57"/>
      <c r="E929" s="92"/>
      <c r="F929" s="92"/>
      <c r="G929" s="92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</row>
    <row r="930">
      <c r="A930" s="91"/>
      <c r="B930" s="57"/>
      <c r="C930" s="92"/>
      <c r="D930" s="57"/>
      <c r="E930" s="92"/>
      <c r="F930" s="92"/>
      <c r="G930" s="92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</row>
    <row r="931">
      <c r="A931" s="91"/>
      <c r="B931" s="57"/>
      <c r="C931" s="92"/>
      <c r="D931" s="57"/>
      <c r="E931" s="92"/>
      <c r="F931" s="92"/>
      <c r="G931" s="92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</row>
    <row r="932">
      <c r="A932" s="91"/>
      <c r="B932" s="57"/>
      <c r="C932" s="92"/>
      <c r="D932" s="57"/>
      <c r="E932" s="92"/>
      <c r="F932" s="92"/>
      <c r="G932" s="92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</row>
    <row r="933">
      <c r="A933" s="91"/>
      <c r="B933" s="57"/>
      <c r="C933" s="92"/>
      <c r="D933" s="57"/>
      <c r="E933" s="92"/>
      <c r="F933" s="92"/>
      <c r="G933" s="92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</row>
    <row r="934">
      <c r="A934" s="91"/>
      <c r="B934" s="57"/>
      <c r="C934" s="92"/>
      <c r="D934" s="57"/>
      <c r="E934" s="92"/>
      <c r="F934" s="92"/>
      <c r="G934" s="92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</row>
    <row r="935">
      <c r="A935" s="91"/>
      <c r="B935" s="57"/>
      <c r="C935" s="92"/>
      <c r="D935" s="57"/>
      <c r="E935" s="92"/>
      <c r="F935" s="92"/>
      <c r="G935" s="92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</row>
    <row r="936">
      <c r="A936" s="91"/>
      <c r="B936" s="57"/>
      <c r="C936" s="92"/>
      <c r="D936" s="57"/>
      <c r="E936" s="92"/>
      <c r="F936" s="92"/>
      <c r="G936" s="92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</row>
    <row r="937">
      <c r="A937" s="91"/>
      <c r="B937" s="57"/>
      <c r="C937" s="92"/>
      <c r="D937" s="57"/>
      <c r="E937" s="92"/>
      <c r="F937" s="92"/>
      <c r="G937" s="92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</row>
    <row r="938">
      <c r="A938" s="91"/>
      <c r="B938" s="57"/>
      <c r="C938" s="92"/>
      <c r="D938" s="57"/>
      <c r="E938" s="92"/>
      <c r="F938" s="92"/>
      <c r="G938" s="92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</row>
    <row r="939">
      <c r="A939" s="91"/>
      <c r="B939" s="57"/>
      <c r="C939" s="92"/>
      <c r="D939" s="57"/>
      <c r="E939" s="92"/>
      <c r="F939" s="92"/>
      <c r="G939" s="92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</row>
    <row r="940">
      <c r="A940" s="91"/>
      <c r="B940" s="57"/>
      <c r="C940" s="92"/>
      <c r="D940" s="57"/>
      <c r="E940" s="92"/>
      <c r="F940" s="92"/>
      <c r="G940" s="92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</row>
    <row r="941">
      <c r="A941" s="91"/>
      <c r="B941" s="57"/>
      <c r="C941" s="92"/>
      <c r="D941" s="57"/>
      <c r="E941" s="92"/>
      <c r="F941" s="92"/>
      <c r="G941" s="92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</row>
    <row r="942">
      <c r="A942" s="91"/>
      <c r="B942" s="57"/>
      <c r="C942" s="92"/>
      <c r="D942" s="57"/>
      <c r="E942" s="92"/>
      <c r="F942" s="92"/>
      <c r="G942" s="92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</row>
    <row r="943">
      <c r="A943" s="91"/>
      <c r="B943" s="57"/>
      <c r="C943" s="92"/>
      <c r="D943" s="57"/>
      <c r="E943" s="92"/>
      <c r="F943" s="92"/>
      <c r="G943" s="92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</row>
    <row r="944">
      <c r="A944" s="91"/>
      <c r="B944" s="57"/>
      <c r="C944" s="92"/>
      <c r="D944" s="57"/>
      <c r="E944" s="92"/>
      <c r="F944" s="92"/>
      <c r="G944" s="92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</row>
    <row r="945">
      <c r="A945" s="91"/>
      <c r="B945" s="57"/>
      <c r="C945" s="92"/>
      <c r="D945" s="57"/>
      <c r="E945" s="92"/>
      <c r="F945" s="92"/>
      <c r="G945" s="92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</row>
    <row r="946">
      <c r="A946" s="91"/>
      <c r="B946" s="57"/>
      <c r="C946" s="92"/>
      <c r="D946" s="57"/>
      <c r="E946" s="92"/>
      <c r="F946" s="92"/>
      <c r="G946" s="92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</row>
    <row r="947">
      <c r="A947" s="91"/>
      <c r="B947" s="57"/>
      <c r="C947" s="92"/>
      <c r="D947" s="57"/>
      <c r="E947" s="92"/>
      <c r="F947" s="92"/>
      <c r="G947" s="92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</row>
    <row r="948">
      <c r="A948" s="91"/>
      <c r="B948" s="57"/>
      <c r="C948" s="92"/>
      <c r="D948" s="57"/>
      <c r="E948" s="92"/>
      <c r="F948" s="92"/>
      <c r="G948" s="92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</row>
    <row r="949">
      <c r="A949" s="91"/>
      <c r="B949" s="57"/>
      <c r="C949" s="92"/>
      <c r="D949" s="57"/>
      <c r="E949" s="92"/>
      <c r="F949" s="92"/>
      <c r="G949" s="92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</row>
    <row r="950">
      <c r="A950" s="91"/>
      <c r="B950" s="57"/>
      <c r="C950" s="92"/>
      <c r="D950" s="57"/>
      <c r="E950" s="92"/>
      <c r="F950" s="92"/>
      <c r="G950" s="92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</row>
    <row r="951">
      <c r="A951" s="91"/>
      <c r="B951" s="57"/>
      <c r="C951" s="92"/>
      <c r="D951" s="57"/>
      <c r="E951" s="92"/>
      <c r="F951" s="92"/>
      <c r="G951" s="92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</row>
    <row r="952">
      <c r="A952" s="91"/>
      <c r="B952" s="57"/>
      <c r="C952" s="92"/>
      <c r="D952" s="57"/>
      <c r="E952" s="92"/>
      <c r="F952" s="92"/>
      <c r="G952" s="92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</row>
    <row r="953">
      <c r="A953" s="91"/>
      <c r="B953" s="57"/>
      <c r="C953" s="92"/>
      <c r="D953" s="57"/>
      <c r="E953" s="92"/>
      <c r="F953" s="92"/>
      <c r="G953" s="92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</row>
    <row r="954">
      <c r="A954" s="91"/>
      <c r="B954" s="57"/>
      <c r="C954" s="92"/>
      <c r="D954" s="57"/>
      <c r="E954" s="92"/>
      <c r="F954" s="92"/>
      <c r="G954" s="92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</row>
    <row r="955">
      <c r="A955" s="91"/>
      <c r="B955" s="57"/>
      <c r="C955" s="92"/>
      <c r="D955" s="57"/>
      <c r="E955" s="92"/>
      <c r="F955" s="92"/>
      <c r="G955" s="92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</row>
    <row r="956">
      <c r="A956" s="91"/>
      <c r="B956" s="57"/>
      <c r="C956" s="92"/>
      <c r="D956" s="57"/>
      <c r="E956" s="92"/>
      <c r="F956" s="92"/>
      <c r="G956" s="92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</row>
    <row r="957">
      <c r="A957" s="91"/>
      <c r="B957" s="57"/>
      <c r="C957" s="92"/>
      <c r="D957" s="57"/>
      <c r="E957" s="92"/>
      <c r="F957" s="92"/>
      <c r="G957" s="92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</row>
    <row r="958">
      <c r="A958" s="91"/>
      <c r="B958" s="57"/>
      <c r="C958" s="92"/>
      <c r="D958" s="57"/>
      <c r="E958" s="92"/>
      <c r="F958" s="92"/>
      <c r="G958" s="92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</row>
    <row r="959">
      <c r="A959" s="91"/>
      <c r="B959" s="57"/>
      <c r="C959" s="92"/>
      <c r="D959" s="57"/>
      <c r="E959" s="92"/>
      <c r="F959" s="92"/>
      <c r="G959" s="92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</row>
    <row r="960">
      <c r="A960" s="91"/>
      <c r="B960" s="57"/>
      <c r="C960" s="92"/>
      <c r="D960" s="57"/>
      <c r="E960" s="92"/>
      <c r="F960" s="92"/>
      <c r="G960" s="92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</row>
    <row r="961">
      <c r="A961" s="91"/>
      <c r="B961" s="57"/>
      <c r="C961" s="92"/>
      <c r="D961" s="57"/>
      <c r="E961" s="92"/>
      <c r="F961" s="92"/>
      <c r="G961" s="92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</row>
    <row r="962">
      <c r="A962" s="91"/>
      <c r="B962" s="57"/>
      <c r="C962" s="92"/>
      <c r="D962" s="57"/>
      <c r="E962" s="92"/>
      <c r="F962" s="92"/>
      <c r="G962" s="92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</row>
    <row r="963">
      <c r="A963" s="91"/>
      <c r="B963" s="57"/>
      <c r="C963" s="92"/>
      <c r="D963" s="57"/>
      <c r="E963" s="92"/>
      <c r="F963" s="92"/>
      <c r="G963" s="92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</row>
    <row r="964">
      <c r="A964" s="91"/>
      <c r="B964" s="57"/>
      <c r="C964" s="92"/>
      <c r="D964" s="57"/>
      <c r="E964" s="92"/>
      <c r="F964" s="92"/>
      <c r="G964" s="92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</row>
    <row r="965">
      <c r="A965" s="91"/>
      <c r="B965" s="57"/>
      <c r="C965" s="92"/>
      <c r="D965" s="57"/>
      <c r="E965" s="92"/>
      <c r="F965" s="92"/>
      <c r="G965" s="92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</row>
    <row r="966">
      <c r="A966" s="91"/>
      <c r="B966" s="57"/>
      <c r="C966" s="92"/>
      <c r="D966" s="57"/>
      <c r="E966" s="92"/>
      <c r="F966" s="92"/>
      <c r="G966" s="92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</row>
    <row r="967">
      <c r="A967" s="91"/>
      <c r="B967" s="57"/>
      <c r="C967" s="92"/>
      <c r="D967" s="57"/>
      <c r="E967" s="92"/>
      <c r="F967" s="92"/>
      <c r="G967" s="92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</row>
    <row r="968">
      <c r="A968" s="91"/>
      <c r="B968" s="57"/>
      <c r="C968" s="92"/>
      <c r="D968" s="57"/>
      <c r="E968" s="92"/>
      <c r="F968" s="92"/>
      <c r="G968" s="92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</row>
    <row r="969">
      <c r="A969" s="91"/>
      <c r="B969" s="57"/>
      <c r="C969" s="92"/>
      <c r="D969" s="57"/>
      <c r="E969" s="92"/>
      <c r="F969" s="92"/>
      <c r="G969" s="92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</row>
    <row r="970">
      <c r="A970" s="91"/>
      <c r="B970" s="57"/>
      <c r="C970" s="92"/>
      <c r="D970" s="57"/>
      <c r="E970" s="92"/>
      <c r="F970" s="92"/>
      <c r="G970" s="92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</row>
    <row r="971">
      <c r="A971" s="91"/>
      <c r="B971" s="57"/>
      <c r="C971" s="92"/>
      <c r="D971" s="57"/>
      <c r="E971" s="92"/>
      <c r="F971" s="92"/>
      <c r="G971" s="92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</row>
    <row r="972">
      <c r="A972" s="91"/>
      <c r="B972" s="57"/>
      <c r="C972" s="92"/>
      <c r="D972" s="57"/>
      <c r="E972" s="92"/>
      <c r="F972" s="92"/>
      <c r="G972" s="92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</row>
    <row r="973">
      <c r="A973" s="91"/>
      <c r="B973" s="57"/>
      <c r="C973" s="92"/>
      <c r="D973" s="57"/>
      <c r="E973" s="92"/>
      <c r="F973" s="92"/>
      <c r="G973" s="92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</row>
    <row r="974">
      <c r="A974" s="91"/>
      <c r="B974" s="57"/>
      <c r="C974" s="92"/>
      <c r="D974" s="57"/>
      <c r="E974" s="92"/>
      <c r="F974" s="92"/>
      <c r="G974" s="92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</row>
    <row r="975">
      <c r="A975" s="91"/>
      <c r="B975" s="57"/>
      <c r="C975" s="92"/>
      <c r="D975" s="57"/>
      <c r="E975" s="92"/>
      <c r="F975" s="92"/>
      <c r="G975" s="92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</row>
    <row r="976">
      <c r="A976" s="91"/>
      <c r="B976" s="57"/>
      <c r="C976" s="92"/>
      <c r="D976" s="57"/>
      <c r="E976" s="92"/>
      <c r="F976" s="92"/>
      <c r="G976" s="92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</row>
    <row r="977">
      <c r="A977" s="91"/>
      <c r="B977" s="57"/>
      <c r="C977" s="92"/>
      <c r="D977" s="57"/>
      <c r="E977" s="92"/>
      <c r="F977" s="92"/>
      <c r="G977" s="92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</row>
    <row r="978">
      <c r="A978" s="91"/>
      <c r="B978" s="57"/>
      <c r="C978" s="92"/>
      <c r="D978" s="57"/>
      <c r="E978" s="92"/>
      <c r="F978" s="92"/>
      <c r="G978" s="92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</row>
    <row r="979">
      <c r="A979" s="91"/>
      <c r="B979" s="57"/>
      <c r="C979" s="92"/>
      <c r="D979" s="57"/>
      <c r="E979" s="92"/>
      <c r="F979" s="92"/>
      <c r="G979" s="92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</row>
    <row r="980">
      <c r="A980" s="91"/>
      <c r="B980" s="57"/>
      <c r="C980" s="92"/>
      <c r="D980" s="57"/>
      <c r="E980" s="92"/>
      <c r="F980" s="92"/>
      <c r="G980" s="92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</row>
    <row r="981">
      <c r="A981" s="91"/>
      <c r="B981" s="57"/>
      <c r="C981" s="92"/>
      <c r="D981" s="57"/>
      <c r="E981" s="92"/>
      <c r="F981" s="92"/>
      <c r="G981" s="92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</row>
    <row r="982">
      <c r="A982" s="91"/>
      <c r="B982" s="57"/>
      <c r="C982" s="92"/>
      <c r="D982" s="57"/>
      <c r="E982" s="92"/>
      <c r="F982" s="92"/>
      <c r="G982" s="92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</row>
    <row r="983">
      <c r="A983" s="91"/>
      <c r="B983" s="57"/>
      <c r="C983" s="92"/>
      <c r="D983" s="57"/>
      <c r="E983" s="92"/>
      <c r="F983" s="92"/>
      <c r="G983" s="92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</row>
    <row r="984">
      <c r="A984" s="91"/>
      <c r="B984" s="57"/>
      <c r="C984" s="92"/>
      <c r="D984" s="57"/>
      <c r="E984" s="92"/>
      <c r="F984" s="92"/>
      <c r="G984" s="92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</row>
    <row r="985">
      <c r="A985" s="91"/>
      <c r="B985" s="57"/>
      <c r="C985" s="92"/>
      <c r="D985" s="57"/>
      <c r="E985" s="92"/>
      <c r="F985" s="92"/>
      <c r="G985" s="92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</row>
    <row r="986">
      <c r="A986" s="91"/>
      <c r="B986" s="57"/>
      <c r="C986" s="92"/>
      <c r="D986" s="57"/>
      <c r="E986" s="92"/>
      <c r="F986" s="92"/>
      <c r="G986" s="92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</row>
    <row r="987">
      <c r="A987" s="91"/>
      <c r="B987" s="57"/>
      <c r="C987" s="92"/>
      <c r="D987" s="57"/>
      <c r="E987" s="92"/>
      <c r="F987" s="92"/>
      <c r="G987" s="92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</row>
    <row r="988">
      <c r="A988" s="91"/>
      <c r="B988" s="57"/>
      <c r="C988" s="92"/>
      <c r="D988" s="57"/>
      <c r="E988" s="92"/>
      <c r="F988" s="92"/>
      <c r="G988" s="92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</row>
    <row r="989">
      <c r="A989" s="91"/>
      <c r="B989" s="57"/>
      <c r="C989" s="92"/>
      <c r="D989" s="57"/>
      <c r="E989" s="92"/>
      <c r="F989" s="92"/>
      <c r="G989" s="92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</row>
    <row r="990">
      <c r="A990" s="91"/>
      <c r="B990" s="57"/>
      <c r="C990" s="92"/>
      <c r="D990" s="57"/>
      <c r="E990" s="92"/>
      <c r="F990" s="92"/>
      <c r="G990" s="92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</row>
    <row r="991">
      <c r="A991" s="91"/>
      <c r="B991" s="57"/>
      <c r="C991" s="92"/>
      <c r="D991" s="57"/>
      <c r="E991" s="92"/>
      <c r="F991" s="92"/>
      <c r="G991" s="92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</row>
    <row r="992">
      <c r="A992" s="91"/>
      <c r="B992" s="57"/>
      <c r="C992" s="92"/>
      <c r="D992" s="57"/>
      <c r="E992" s="92"/>
      <c r="F992" s="92"/>
      <c r="G992" s="92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</row>
    <row r="993">
      <c r="A993" s="91"/>
      <c r="B993" s="57"/>
      <c r="C993" s="92"/>
      <c r="D993" s="57"/>
      <c r="E993" s="92"/>
      <c r="F993" s="92"/>
      <c r="G993" s="92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</row>
    <row r="994">
      <c r="A994" s="91"/>
      <c r="B994" s="57"/>
      <c r="C994" s="92"/>
      <c r="D994" s="57"/>
      <c r="E994" s="92"/>
      <c r="F994" s="92"/>
      <c r="G994" s="92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</row>
    <row r="995">
      <c r="A995" s="91"/>
      <c r="B995" s="57"/>
      <c r="C995" s="92"/>
      <c r="D995" s="57"/>
      <c r="E995" s="92"/>
      <c r="F995" s="92"/>
      <c r="G995" s="92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</row>
    <row r="996">
      <c r="A996" s="91"/>
      <c r="B996" s="57"/>
      <c r="C996" s="92"/>
      <c r="D996" s="57"/>
      <c r="E996" s="92"/>
      <c r="F996" s="92"/>
      <c r="G996" s="92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</row>
    <row r="997">
      <c r="A997" s="91"/>
      <c r="B997" s="57"/>
      <c r="C997" s="92"/>
      <c r="D997" s="57"/>
      <c r="E997" s="92"/>
      <c r="F997" s="92"/>
      <c r="G997" s="92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</row>
    <row r="998">
      <c r="A998" s="91"/>
      <c r="B998" s="57"/>
      <c r="C998" s="92"/>
      <c r="D998" s="57"/>
      <c r="E998" s="92"/>
      <c r="F998" s="92"/>
      <c r="G998" s="92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</row>
    <row r="999">
      <c r="A999" s="91"/>
      <c r="B999" s="57"/>
      <c r="C999" s="92"/>
      <c r="D999" s="57"/>
      <c r="E999" s="92"/>
      <c r="F999" s="92"/>
      <c r="G999" s="92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</row>
    <row r="1000">
      <c r="A1000" s="91"/>
      <c r="B1000" s="57"/>
      <c r="C1000" s="92"/>
      <c r="D1000" s="57"/>
      <c r="E1000" s="92"/>
      <c r="F1000" s="92"/>
      <c r="G1000" s="92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</row>
    <row r="1001">
      <c r="A1001" s="91"/>
      <c r="B1001" s="57"/>
      <c r="C1001" s="92"/>
      <c r="D1001" s="57"/>
      <c r="E1001" s="92"/>
      <c r="F1001" s="92"/>
      <c r="G1001" s="92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</row>
    <row r="1002">
      <c r="A1002" s="91"/>
      <c r="B1002" s="57"/>
      <c r="C1002" s="92"/>
      <c r="D1002" s="57"/>
      <c r="E1002" s="92"/>
      <c r="F1002" s="92"/>
      <c r="G1002" s="92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</row>
    <row r="1003">
      <c r="A1003" s="91"/>
      <c r="B1003" s="57"/>
      <c r="C1003" s="92"/>
      <c r="D1003" s="57"/>
      <c r="E1003" s="92"/>
      <c r="F1003" s="92"/>
      <c r="G1003" s="92"/>
      <c r="H1003" s="57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</row>
    <row r="1004">
      <c r="A1004" s="91"/>
      <c r="B1004" s="57"/>
      <c r="C1004" s="92"/>
      <c r="D1004" s="57"/>
      <c r="E1004" s="92"/>
      <c r="F1004" s="92"/>
      <c r="G1004" s="92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</row>
    <row r="1005">
      <c r="A1005" s="91"/>
      <c r="B1005" s="57"/>
      <c r="C1005" s="92"/>
      <c r="D1005" s="57"/>
      <c r="E1005" s="92"/>
      <c r="F1005" s="92"/>
      <c r="G1005" s="92"/>
      <c r="H1005" s="57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</row>
    <row r="1006">
      <c r="A1006" s="91"/>
      <c r="B1006" s="57"/>
      <c r="C1006" s="92"/>
      <c r="D1006" s="57"/>
      <c r="E1006" s="92"/>
      <c r="F1006" s="92"/>
      <c r="G1006" s="92"/>
      <c r="H1006" s="57"/>
      <c r="I1006" s="57"/>
      <c r="J1006" s="57"/>
      <c r="K1006" s="57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</row>
    <row r="1007">
      <c r="A1007" s="91"/>
      <c r="B1007" s="57"/>
      <c r="C1007" s="92"/>
      <c r="D1007" s="57"/>
      <c r="E1007" s="92"/>
      <c r="F1007" s="92"/>
      <c r="G1007" s="92"/>
      <c r="H1007" s="57"/>
      <c r="I1007" s="57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</row>
    <row r="1008">
      <c r="A1008" s="91"/>
      <c r="B1008" s="57"/>
      <c r="C1008" s="92"/>
      <c r="D1008" s="57"/>
      <c r="E1008" s="92"/>
      <c r="F1008" s="92"/>
      <c r="G1008" s="92"/>
      <c r="H1008" s="57"/>
      <c r="I1008" s="57"/>
      <c r="J1008" s="57"/>
      <c r="K1008" s="57"/>
      <c r="L1008" s="57"/>
      <c r="M1008" s="57"/>
      <c r="N1008" s="57"/>
      <c r="O1008" s="57"/>
      <c r="P1008" s="57"/>
      <c r="Q1008" s="57"/>
      <c r="R1008" s="57"/>
      <c r="S1008" s="57"/>
      <c r="T1008" s="57"/>
      <c r="U1008" s="57"/>
      <c r="V1008" s="57"/>
      <c r="W1008" s="57"/>
      <c r="X1008" s="57"/>
    </row>
    <row r="1009">
      <c r="A1009" s="91"/>
      <c r="B1009" s="57"/>
      <c r="C1009" s="92"/>
      <c r="D1009" s="57"/>
      <c r="E1009" s="92"/>
      <c r="F1009" s="92"/>
      <c r="G1009" s="92"/>
      <c r="H1009" s="57"/>
      <c r="I1009" s="57"/>
      <c r="J1009" s="57"/>
      <c r="K1009" s="57"/>
      <c r="L1009" s="57"/>
      <c r="M1009" s="57"/>
      <c r="N1009" s="57"/>
      <c r="O1009" s="57"/>
      <c r="P1009" s="57"/>
      <c r="Q1009" s="57"/>
      <c r="R1009" s="57"/>
      <c r="S1009" s="57"/>
      <c r="T1009" s="57"/>
      <c r="U1009" s="57"/>
      <c r="V1009" s="57"/>
      <c r="W1009" s="57"/>
      <c r="X1009" s="57"/>
    </row>
    <row r="1010">
      <c r="A1010" s="91"/>
      <c r="B1010" s="57"/>
      <c r="C1010" s="92"/>
      <c r="D1010" s="57"/>
      <c r="E1010" s="92"/>
      <c r="F1010" s="92"/>
      <c r="G1010" s="92"/>
      <c r="H1010" s="57"/>
      <c r="I1010" s="57"/>
      <c r="J1010" s="57"/>
      <c r="K1010" s="57"/>
      <c r="L1010" s="57"/>
      <c r="M1010" s="57"/>
      <c r="N1010" s="57"/>
      <c r="O1010" s="57"/>
      <c r="P1010" s="57"/>
      <c r="Q1010" s="57"/>
      <c r="R1010" s="57"/>
      <c r="S1010" s="57"/>
      <c r="T1010" s="57"/>
      <c r="U1010" s="57"/>
      <c r="V1010" s="57"/>
      <c r="W1010" s="57"/>
      <c r="X1010" s="57"/>
    </row>
  </sheetData>
  <autoFilter ref="$I$1:$I$1010"/>
  <dataValidations>
    <dataValidation type="list" allowBlank="1" showErrorMessage="1" sqref="I1:O1 O20 O29 O39:O40">
      <formula1>"-----------------------,📄 ТЗ,⏳ На согласовании,🎨 Дизайн,💻 Разработка,🧪 Тестирование,🔄 Доработка,📤 Сдан заказчику,🚀 Продакшен,✅ Завершён,⏸️ Приостановлен,❌ Клиент отказался,🚫 Отменён"</formula1>
    </dataValidation>
    <dataValidation type="list" allowBlank="1" showErrorMessage="1" sqref="H3:H9 H11:H17 H19:H23 H25:H33 H35:H41">
      <formula1>"-----------------------,🟢  По графику,🟡  Риск задержки,🟠  Отставание,🔴  Просрочен"</formula1>
    </dataValidation>
    <dataValidation type="list" allowBlank="1" showErrorMessage="1" sqref="D3:D9 D11:D17 D19:D23 D25:D33 D35:D41">
      <formula1>"-----------------------,🌐 Веб-сайт,💻 Веб-приложение,📱 Моб- приложение"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25"/>
    <col customWidth="1" min="2" max="2" width="17.5"/>
    <col customWidth="1" min="3" max="3" width="10.63"/>
    <col customWidth="1" min="4" max="4" width="9.13"/>
    <col customWidth="1" min="5" max="5" width="9.0"/>
    <col customWidth="1" min="6" max="6" width="12.13"/>
    <col customWidth="1" min="7" max="7" width="13.0"/>
    <col customWidth="1" min="8" max="14" width="18.63"/>
    <col customWidth="1" min="16" max="16" width="37.13"/>
  </cols>
  <sheetData>
    <row r="1">
      <c r="A1" s="35"/>
      <c r="B1" s="37" t="s">
        <v>44</v>
      </c>
      <c r="C1" s="4" t="s">
        <v>150</v>
      </c>
      <c r="D1" s="37" t="s">
        <v>152</v>
      </c>
      <c r="E1" s="37" t="s">
        <v>153</v>
      </c>
      <c r="F1" s="37" t="s">
        <v>60</v>
      </c>
      <c r="G1" s="37" t="s">
        <v>61</v>
      </c>
      <c r="H1" s="43" t="s">
        <v>62</v>
      </c>
      <c r="I1" s="43" t="s">
        <v>63</v>
      </c>
      <c r="J1" s="43" t="s">
        <v>65</v>
      </c>
      <c r="K1" s="43" t="s">
        <v>67</v>
      </c>
      <c r="L1" s="43" t="s">
        <v>68</v>
      </c>
      <c r="M1" s="43" t="s">
        <v>69</v>
      </c>
      <c r="N1" s="43" t="s">
        <v>70</v>
      </c>
      <c r="O1" s="37" t="s">
        <v>71</v>
      </c>
      <c r="P1" s="37" t="s">
        <v>72</v>
      </c>
      <c r="Q1" s="46"/>
      <c r="R1" s="46"/>
      <c r="S1" s="46"/>
      <c r="T1" s="46"/>
      <c r="U1" s="46"/>
      <c r="V1" s="46"/>
      <c r="W1" s="46"/>
    </row>
    <row r="2">
      <c r="A2" s="58" t="s">
        <v>158</v>
      </c>
      <c r="B2" s="43" t="s">
        <v>148</v>
      </c>
      <c r="C2" s="43" t="s">
        <v>0</v>
      </c>
      <c r="D2" s="69">
        <v>45877.0</v>
      </c>
      <c r="E2" s="69">
        <v>46173.0</v>
      </c>
      <c r="F2" s="60">
        <f t="shared" ref="F2:F20" si="1">E2-D2</f>
        <v>296</v>
      </c>
      <c r="G2" s="43" t="s">
        <v>126</v>
      </c>
      <c r="H2" s="43" t="s">
        <v>63</v>
      </c>
      <c r="I2" s="68"/>
      <c r="J2" s="68"/>
      <c r="K2" s="68"/>
      <c r="L2" s="68"/>
      <c r="M2" s="68"/>
      <c r="N2" s="68"/>
      <c r="O2" s="61"/>
      <c r="P2" s="61"/>
      <c r="Q2" s="57"/>
      <c r="R2" s="57"/>
      <c r="S2" s="57"/>
      <c r="T2" s="57"/>
      <c r="U2" s="57"/>
      <c r="V2" s="57"/>
      <c r="W2" s="57"/>
    </row>
    <row r="3">
      <c r="A3" s="58" t="s">
        <v>158</v>
      </c>
      <c r="B3" s="85" t="s">
        <v>144</v>
      </c>
      <c r="C3" s="43" t="s">
        <v>100</v>
      </c>
      <c r="D3" s="90">
        <v>46113.0</v>
      </c>
      <c r="E3" s="90">
        <v>46203.0</v>
      </c>
      <c r="F3" s="77">
        <f t="shared" si="1"/>
        <v>90</v>
      </c>
      <c r="G3" s="43" t="s">
        <v>126</v>
      </c>
      <c r="H3" s="43" t="s">
        <v>63</v>
      </c>
      <c r="I3" s="68"/>
      <c r="J3" s="68"/>
      <c r="K3" s="68"/>
      <c r="L3" s="68"/>
      <c r="M3" s="68"/>
      <c r="N3" s="93"/>
      <c r="O3" s="43" t="s">
        <v>14</v>
      </c>
      <c r="P3" s="61"/>
      <c r="Q3" s="57"/>
      <c r="R3" s="57"/>
      <c r="S3" s="57"/>
      <c r="T3" s="57"/>
      <c r="U3" s="57"/>
      <c r="V3" s="57"/>
      <c r="W3" s="57"/>
    </row>
    <row r="4">
      <c r="A4" s="58" t="s">
        <v>158</v>
      </c>
      <c r="B4" s="83" t="s">
        <v>146</v>
      </c>
      <c r="C4" s="43" t="s">
        <v>100</v>
      </c>
      <c r="D4" s="90">
        <v>46113.0</v>
      </c>
      <c r="E4" s="90">
        <v>46203.0</v>
      </c>
      <c r="F4" s="77">
        <f t="shared" si="1"/>
        <v>90</v>
      </c>
      <c r="G4" s="43" t="s">
        <v>126</v>
      </c>
      <c r="H4" s="43" t="s">
        <v>63</v>
      </c>
      <c r="I4" s="68"/>
      <c r="J4" s="68"/>
      <c r="K4" s="68"/>
      <c r="L4" s="68"/>
      <c r="M4" s="68"/>
      <c r="N4" s="68"/>
      <c r="O4" s="43" t="s">
        <v>14</v>
      </c>
      <c r="P4" s="43"/>
      <c r="Q4" s="57"/>
      <c r="R4" s="57"/>
      <c r="S4" s="57"/>
      <c r="T4" s="57"/>
      <c r="U4" s="57"/>
      <c r="V4" s="57"/>
      <c r="W4" s="57"/>
    </row>
    <row r="5">
      <c r="A5" s="58" t="s">
        <v>158</v>
      </c>
      <c r="B5" s="43" t="s">
        <v>151</v>
      </c>
      <c r="C5" s="43" t="s">
        <v>0</v>
      </c>
      <c r="D5" s="69">
        <v>45884.0</v>
      </c>
      <c r="E5" s="69">
        <v>46204.0</v>
      </c>
      <c r="F5" s="60">
        <f t="shared" si="1"/>
        <v>320</v>
      </c>
      <c r="G5" s="43" t="s">
        <v>126</v>
      </c>
      <c r="H5" s="43" t="s">
        <v>63</v>
      </c>
      <c r="I5" s="68"/>
      <c r="J5" s="68"/>
      <c r="K5" s="68"/>
      <c r="L5" s="68"/>
      <c r="M5" s="68"/>
      <c r="N5" s="68"/>
      <c r="O5" s="61"/>
      <c r="P5" s="61"/>
      <c r="Q5" s="57"/>
      <c r="R5" s="57"/>
      <c r="S5" s="57"/>
      <c r="T5" s="57"/>
      <c r="U5" s="57"/>
      <c r="V5" s="57"/>
      <c r="W5" s="57"/>
    </row>
    <row r="6">
      <c r="A6" s="58" t="s">
        <v>158</v>
      </c>
      <c r="B6" s="43" t="s">
        <v>155</v>
      </c>
      <c r="C6" s="43" t="s">
        <v>0</v>
      </c>
      <c r="D6" s="69">
        <v>45877.0</v>
      </c>
      <c r="E6" s="69">
        <v>46223.0</v>
      </c>
      <c r="F6" s="60">
        <f t="shared" si="1"/>
        <v>346</v>
      </c>
      <c r="G6" s="43" t="s">
        <v>126</v>
      </c>
      <c r="H6" s="43" t="s">
        <v>63</v>
      </c>
      <c r="I6" s="68"/>
      <c r="J6" s="68"/>
      <c r="K6" s="68"/>
      <c r="L6" s="68"/>
      <c r="M6" s="68"/>
      <c r="N6" s="68"/>
      <c r="O6" s="61"/>
      <c r="P6" s="61"/>
      <c r="Q6" s="57"/>
      <c r="R6" s="57"/>
      <c r="S6" s="57"/>
      <c r="T6" s="57"/>
      <c r="U6" s="57"/>
      <c r="V6" s="57"/>
      <c r="W6" s="57"/>
    </row>
    <row r="7">
      <c r="A7" s="58" t="s">
        <v>158</v>
      </c>
      <c r="B7" s="43" t="s">
        <v>157</v>
      </c>
      <c r="C7" s="43" t="s">
        <v>0</v>
      </c>
      <c r="D7" s="69">
        <v>45873.0</v>
      </c>
      <c r="E7" s="69">
        <v>46223.0</v>
      </c>
      <c r="F7" s="60">
        <f t="shared" si="1"/>
        <v>350</v>
      </c>
      <c r="G7" s="43" t="s">
        <v>126</v>
      </c>
      <c r="H7" s="43" t="s">
        <v>63</v>
      </c>
      <c r="I7" s="68"/>
      <c r="J7" s="68"/>
      <c r="K7" s="68"/>
      <c r="L7" s="68"/>
      <c r="M7" s="68"/>
      <c r="N7" s="68"/>
      <c r="O7" s="61"/>
      <c r="P7" s="61"/>
      <c r="Q7" s="57"/>
      <c r="R7" s="57"/>
      <c r="S7" s="57"/>
      <c r="T7" s="57"/>
      <c r="U7" s="57"/>
      <c r="V7" s="57"/>
      <c r="W7" s="57"/>
    </row>
    <row r="8">
      <c r="A8" s="58" t="s">
        <v>158</v>
      </c>
      <c r="B8" s="43" t="s">
        <v>160</v>
      </c>
      <c r="C8" s="43" t="s">
        <v>0</v>
      </c>
      <c r="D8" s="95"/>
      <c r="E8" s="95"/>
      <c r="F8" s="77">
        <f t="shared" si="1"/>
        <v>0</v>
      </c>
      <c r="G8" s="43" t="s">
        <v>126</v>
      </c>
      <c r="H8" s="88" t="s">
        <v>161</v>
      </c>
      <c r="I8" s="82"/>
      <c r="J8" s="82"/>
      <c r="K8" s="82"/>
      <c r="L8" s="82"/>
      <c r="M8" s="82"/>
      <c r="N8" s="7"/>
      <c r="O8" s="61"/>
      <c r="P8" s="61"/>
      <c r="Q8" s="57"/>
      <c r="R8" s="57"/>
      <c r="S8" s="57"/>
      <c r="T8" s="57"/>
      <c r="U8" s="57"/>
      <c r="V8" s="57"/>
      <c r="W8" s="57"/>
    </row>
    <row r="9">
      <c r="A9" s="58" t="s">
        <v>158</v>
      </c>
      <c r="B9" s="43" t="s">
        <v>163</v>
      </c>
      <c r="C9" s="43" t="s">
        <v>0</v>
      </c>
      <c r="D9" s="69">
        <v>45877.0</v>
      </c>
      <c r="E9" s="69">
        <v>46043.0</v>
      </c>
      <c r="F9" s="60">
        <f t="shared" si="1"/>
        <v>166</v>
      </c>
      <c r="G9" s="43" t="s">
        <v>126</v>
      </c>
      <c r="H9" s="88" t="s">
        <v>137</v>
      </c>
      <c r="I9" s="89"/>
      <c r="J9" s="89"/>
      <c r="K9" s="89"/>
      <c r="L9" s="89"/>
      <c r="M9" s="89"/>
      <c r="O9" s="61"/>
      <c r="P9" s="61"/>
      <c r="Q9" s="57"/>
      <c r="R9" s="57"/>
      <c r="S9" s="57"/>
      <c r="T9" s="57"/>
      <c r="U9" s="57"/>
      <c r="V9" s="57"/>
      <c r="W9" s="57"/>
    </row>
    <row r="10">
      <c r="A10" s="58" t="s">
        <v>158</v>
      </c>
      <c r="B10" s="83" t="s">
        <v>165</v>
      </c>
      <c r="C10" s="43" t="s">
        <v>100</v>
      </c>
      <c r="D10" s="96">
        <v>45931.0</v>
      </c>
      <c r="E10" s="96">
        <v>46053.0</v>
      </c>
      <c r="F10" s="60">
        <f t="shared" si="1"/>
        <v>122</v>
      </c>
      <c r="G10" s="43" t="s">
        <v>126</v>
      </c>
      <c r="H10" s="43" t="s">
        <v>62</v>
      </c>
      <c r="I10" s="68"/>
      <c r="J10" s="68"/>
      <c r="K10" s="68"/>
      <c r="L10" s="68"/>
      <c r="M10" s="68"/>
      <c r="N10" s="68"/>
      <c r="O10" s="61"/>
      <c r="P10" s="61"/>
      <c r="Q10" s="57"/>
      <c r="R10" s="57"/>
      <c r="S10" s="57"/>
      <c r="T10" s="57"/>
      <c r="U10" s="57"/>
      <c r="V10" s="57"/>
      <c r="W10" s="57"/>
    </row>
    <row r="11">
      <c r="A11" s="58" t="s">
        <v>158</v>
      </c>
      <c r="B11" s="83" t="s">
        <v>139</v>
      </c>
      <c r="C11" s="43" t="s">
        <v>100</v>
      </c>
      <c r="D11" s="96">
        <v>45992.0</v>
      </c>
      <c r="E11" s="96">
        <v>46073.0</v>
      </c>
      <c r="F11" s="60">
        <f t="shared" si="1"/>
        <v>81</v>
      </c>
      <c r="G11" s="43" t="s">
        <v>106</v>
      </c>
      <c r="H11" s="43" t="s">
        <v>63</v>
      </c>
      <c r="I11" s="68"/>
      <c r="J11" s="68"/>
      <c r="K11" s="68"/>
      <c r="L11" s="68"/>
      <c r="M11" s="68"/>
      <c r="N11" s="68"/>
      <c r="O11" s="43" t="s">
        <v>140</v>
      </c>
      <c r="P11" s="61"/>
      <c r="Q11" s="57"/>
      <c r="R11" s="57"/>
      <c r="S11" s="57"/>
      <c r="T11" s="57"/>
      <c r="U11" s="57"/>
      <c r="V11" s="57"/>
      <c r="W11" s="57"/>
    </row>
    <row r="12">
      <c r="A12" s="58" t="s">
        <v>158</v>
      </c>
      <c r="B12" s="83" t="s">
        <v>142</v>
      </c>
      <c r="C12" s="43" t="s">
        <v>100</v>
      </c>
      <c r="D12" s="96">
        <v>45992.0</v>
      </c>
      <c r="E12" s="96">
        <v>46073.0</v>
      </c>
      <c r="F12" s="77">
        <f t="shared" si="1"/>
        <v>81</v>
      </c>
      <c r="G12" s="43" t="s">
        <v>106</v>
      </c>
      <c r="H12" s="43" t="s">
        <v>63</v>
      </c>
      <c r="I12" s="68"/>
      <c r="J12" s="68"/>
      <c r="K12" s="68"/>
      <c r="L12" s="68"/>
      <c r="M12" s="68"/>
      <c r="N12" s="68"/>
      <c r="O12" s="43" t="s">
        <v>140</v>
      </c>
      <c r="P12" s="61"/>
      <c r="Q12" s="57"/>
      <c r="R12" s="57"/>
      <c r="S12" s="57"/>
      <c r="T12" s="57"/>
      <c r="U12" s="57"/>
      <c r="V12" s="57"/>
      <c r="W12" s="57"/>
    </row>
    <row r="13">
      <c r="A13" s="58" t="s">
        <v>166</v>
      </c>
      <c r="B13" s="43" t="s">
        <v>16</v>
      </c>
      <c r="C13" s="43" t="s">
        <v>0</v>
      </c>
      <c r="D13" s="69">
        <v>46072.0</v>
      </c>
      <c r="E13" s="69">
        <v>46192.0</v>
      </c>
      <c r="F13" s="60">
        <f t="shared" si="1"/>
        <v>120</v>
      </c>
      <c r="G13" s="43" t="s">
        <v>126</v>
      </c>
      <c r="H13" s="43" t="s">
        <v>62</v>
      </c>
      <c r="I13" s="68"/>
      <c r="J13" s="68"/>
      <c r="K13" s="68"/>
      <c r="L13" s="68"/>
      <c r="M13" s="68"/>
      <c r="N13" s="68"/>
      <c r="O13" s="43" t="s">
        <v>127</v>
      </c>
      <c r="P13" s="61"/>
      <c r="Q13" s="57"/>
      <c r="R13" s="57"/>
      <c r="S13" s="57"/>
      <c r="T13" s="57"/>
      <c r="U13" s="57"/>
      <c r="V13" s="57"/>
      <c r="W13" s="57"/>
    </row>
    <row r="14">
      <c r="A14" s="58" t="s">
        <v>166</v>
      </c>
      <c r="B14" s="43" t="s">
        <v>129</v>
      </c>
      <c r="C14" s="43" t="s">
        <v>0</v>
      </c>
      <c r="D14" s="69">
        <v>45962.0</v>
      </c>
      <c r="E14" s="69">
        <v>46127.0</v>
      </c>
      <c r="F14" s="77">
        <f t="shared" si="1"/>
        <v>165</v>
      </c>
      <c r="G14" s="43" t="s">
        <v>126</v>
      </c>
      <c r="H14" s="43" t="s">
        <v>62</v>
      </c>
      <c r="I14" s="68"/>
      <c r="J14" s="68"/>
      <c r="K14" s="68"/>
      <c r="L14" s="68"/>
      <c r="M14" s="68"/>
      <c r="N14" s="68"/>
      <c r="O14" s="43" t="s">
        <v>127</v>
      </c>
      <c r="P14" s="61"/>
      <c r="Q14" s="57"/>
      <c r="R14" s="57"/>
      <c r="S14" s="57"/>
      <c r="T14" s="57"/>
      <c r="U14" s="57"/>
      <c r="V14" s="57"/>
      <c r="W14" s="57"/>
    </row>
    <row r="15">
      <c r="A15" s="58" t="s">
        <v>166</v>
      </c>
      <c r="B15" s="43" t="s">
        <v>131</v>
      </c>
      <c r="C15" s="43" t="s">
        <v>0</v>
      </c>
      <c r="D15" s="69">
        <v>46027.0</v>
      </c>
      <c r="E15" s="69">
        <v>46142.0</v>
      </c>
      <c r="F15" s="77">
        <f t="shared" si="1"/>
        <v>115</v>
      </c>
      <c r="G15" s="43" t="s">
        <v>126</v>
      </c>
      <c r="H15" s="43" t="s">
        <v>63</v>
      </c>
      <c r="I15" s="68"/>
      <c r="J15" s="68"/>
      <c r="K15" s="68"/>
      <c r="L15" s="68"/>
      <c r="M15" s="68"/>
      <c r="N15" s="68"/>
      <c r="O15" s="43" t="s">
        <v>127</v>
      </c>
      <c r="P15" s="61"/>
      <c r="Q15" s="57"/>
      <c r="R15" s="57"/>
      <c r="S15" s="57"/>
      <c r="T15" s="57"/>
      <c r="U15" s="57"/>
      <c r="V15" s="57"/>
      <c r="W15" s="57"/>
    </row>
    <row r="16">
      <c r="A16" s="58" t="s">
        <v>166</v>
      </c>
      <c r="B16" s="43" t="s">
        <v>133</v>
      </c>
      <c r="C16" s="43" t="s">
        <v>0</v>
      </c>
      <c r="D16" s="99">
        <v>46074.0</v>
      </c>
      <c r="E16" s="99">
        <v>46111.0</v>
      </c>
      <c r="F16" s="77">
        <f t="shared" si="1"/>
        <v>37</v>
      </c>
      <c r="G16" s="43" t="s">
        <v>79</v>
      </c>
      <c r="H16" s="43" t="s">
        <v>62</v>
      </c>
      <c r="I16" s="68"/>
      <c r="J16" s="68"/>
      <c r="K16" s="68"/>
      <c r="L16" s="68"/>
      <c r="M16" s="68"/>
      <c r="N16" s="68"/>
      <c r="O16" s="43" t="s">
        <v>134</v>
      </c>
      <c r="P16" s="61"/>
      <c r="Q16" s="57"/>
      <c r="R16" s="57"/>
      <c r="S16" s="57"/>
      <c r="T16" s="57"/>
      <c r="U16" s="57"/>
      <c r="V16" s="57"/>
      <c r="W16" s="57"/>
    </row>
    <row r="17">
      <c r="A17" s="58" t="s">
        <v>166</v>
      </c>
      <c r="B17" s="43" t="s">
        <v>136</v>
      </c>
      <c r="C17" s="43" t="s">
        <v>0</v>
      </c>
      <c r="D17" s="95"/>
      <c r="E17" s="95"/>
      <c r="F17" s="77">
        <f t="shared" si="1"/>
        <v>0</v>
      </c>
      <c r="G17" s="43" t="s">
        <v>79</v>
      </c>
      <c r="H17" s="73" t="s">
        <v>137</v>
      </c>
      <c r="I17" s="82"/>
      <c r="J17" s="82"/>
      <c r="K17" s="82"/>
      <c r="L17" s="82"/>
      <c r="M17" s="82"/>
      <c r="N17" s="7"/>
      <c r="O17" s="61"/>
      <c r="P17" s="61"/>
      <c r="Q17" s="57"/>
      <c r="R17" s="57"/>
      <c r="S17" s="57"/>
      <c r="T17" s="57"/>
      <c r="U17" s="57"/>
      <c r="V17" s="57"/>
      <c r="W17" s="57"/>
    </row>
    <row r="18">
      <c r="A18" s="58" t="s">
        <v>175</v>
      </c>
      <c r="B18" s="61" t="s">
        <v>114</v>
      </c>
      <c r="C18" s="43" t="s">
        <v>0</v>
      </c>
      <c r="D18" s="69">
        <v>46090.0</v>
      </c>
      <c r="E18" s="69">
        <v>46173.0</v>
      </c>
      <c r="F18" s="60">
        <f t="shared" si="1"/>
        <v>83</v>
      </c>
      <c r="G18" s="43" t="s">
        <v>106</v>
      </c>
      <c r="H18" s="43" t="s">
        <v>62</v>
      </c>
      <c r="I18" s="68"/>
      <c r="J18" s="68"/>
      <c r="K18" s="68"/>
      <c r="L18" s="68"/>
      <c r="M18" s="68"/>
      <c r="N18" s="93"/>
      <c r="O18" s="43" t="s">
        <v>13</v>
      </c>
      <c r="P18" s="61"/>
      <c r="Q18" s="57"/>
      <c r="R18" s="57"/>
      <c r="S18" s="57"/>
      <c r="T18" s="57"/>
      <c r="U18" s="57"/>
      <c r="V18" s="57"/>
      <c r="W18" s="57"/>
    </row>
    <row r="19">
      <c r="A19" s="58" t="s">
        <v>175</v>
      </c>
      <c r="B19" s="61" t="s">
        <v>116</v>
      </c>
      <c r="C19" s="43" t="s">
        <v>0</v>
      </c>
      <c r="D19" s="101"/>
      <c r="E19" s="101"/>
      <c r="F19" s="60">
        <f t="shared" si="1"/>
        <v>0</v>
      </c>
      <c r="G19" s="43" t="s">
        <v>79</v>
      </c>
      <c r="H19" s="73" t="s">
        <v>117</v>
      </c>
      <c r="I19" s="72"/>
      <c r="J19" s="72"/>
      <c r="K19" s="72"/>
      <c r="L19" s="72"/>
      <c r="M19" s="72"/>
      <c r="O19" s="61"/>
      <c r="P19" s="61"/>
      <c r="Q19" s="57"/>
      <c r="R19" s="57"/>
      <c r="S19" s="57"/>
      <c r="T19" s="57"/>
      <c r="U19" s="57"/>
      <c r="V19" s="57"/>
      <c r="W19" s="57"/>
    </row>
    <row r="20">
      <c r="A20" s="58" t="s">
        <v>175</v>
      </c>
      <c r="B20" s="61" t="s">
        <v>121</v>
      </c>
      <c r="C20" s="43" t="s">
        <v>0</v>
      </c>
      <c r="D20" s="69">
        <v>46090.0</v>
      </c>
      <c r="E20" s="69">
        <v>46148.0</v>
      </c>
      <c r="F20" s="60">
        <f t="shared" si="1"/>
        <v>58</v>
      </c>
      <c r="G20" s="43" t="s">
        <v>103</v>
      </c>
      <c r="H20" s="43" t="s">
        <v>63</v>
      </c>
      <c r="I20" s="68"/>
      <c r="J20" s="61"/>
      <c r="K20" s="68"/>
      <c r="L20" s="68"/>
      <c r="M20" s="68"/>
      <c r="N20" s="68"/>
      <c r="O20" s="43" t="s">
        <v>13</v>
      </c>
      <c r="P20" s="61"/>
      <c r="Q20" s="57"/>
      <c r="R20" s="57"/>
      <c r="S20" s="57"/>
      <c r="T20" s="57"/>
      <c r="U20" s="57"/>
      <c r="V20" s="57"/>
      <c r="W20" s="57"/>
    </row>
    <row r="21">
      <c r="A21" s="91"/>
      <c r="B21" s="57"/>
      <c r="C21" s="57"/>
      <c r="D21" s="92"/>
      <c r="E21" s="92"/>
      <c r="F21" s="92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</row>
    <row r="22">
      <c r="A22" s="91"/>
      <c r="B22" s="57"/>
      <c r="C22" s="57"/>
      <c r="D22" s="92"/>
      <c r="E22" s="92"/>
      <c r="F22" s="94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>
      <c r="A23" s="91"/>
      <c r="B23" s="57"/>
      <c r="C23" s="57"/>
      <c r="D23" s="92"/>
      <c r="E23" s="92"/>
      <c r="F23" s="92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>
      <c r="A24" s="91"/>
      <c r="B24" s="57"/>
      <c r="C24" s="57"/>
      <c r="D24" s="92"/>
      <c r="E24" s="92"/>
      <c r="F24" s="92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</row>
    <row r="25">
      <c r="A25" s="91"/>
      <c r="B25" s="57"/>
      <c r="C25" s="57"/>
      <c r="D25" s="92"/>
      <c r="E25" s="92"/>
      <c r="F25" s="92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</row>
    <row r="26">
      <c r="A26" s="91"/>
      <c r="B26" s="57"/>
      <c r="C26" s="57"/>
      <c r="D26" s="92"/>
      <c r="E26" s="92"/>
      <c r="F26" s="92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>
      <c r="A27" s="91"/>
      <c r="B27" s="57"/>
      <c r="C27" s="57"/>
      <c r="D27" s="92"/>
      <c r="E27" s="92"/>
      <c r="F27" s="92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>
      <c r="A28" s="91"/>
      <c r="B28" s="57"/>
      <c r="C28" s="57"/>
      <c r="D28" s="92"/>
      <c r="E28" s="92"/>
      <c r="F28" s="92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</row>
    <row r="29">
      <c r="A29" s="91"/>
      <c r="B29" s="57"/>
      <c r="C29" s="57"/>
      <c r="D29" s="92"/>
      <c r="E29" s="92"/>
      <c r="F29" s="92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>
      <c r="A30" s="91"/>
      <c r="B30" s="57"/>
      <c r="C30" s="57"/>
      <c r="D30" s="92"/>
      <c r="E30" s="92"/>
      <c r="F30" s="92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</row>
    <row r="31">
      <c r="A31" s="91"/>
      <c r="B31" s="57"/>
      <c r="C31" s="57"/>
      <c r="D31" s="92"/>
      <c r="E31" s="92"/>
      <c r="F31" s="92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</row>
    <row r="32">
      <c r="A32" s="91"/>
      <c r="B32" s="57"/>
      <c r="C32" s="57"/>
      <c r="D32" s="92"/>
      <c r="E32" s="92"/>
      <c r="F32" s="92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</row>
    <row r="33">
      <c r="A33" s="91"/>
      <c r="B33" s="57"/>
      <c r="C33" s="57"/>
      <c r="D33" s="92"/>
      <c r="E33" s="92"/>
      <c r="F33" s="92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</row>
    <row r="34">
      <c r="A34" s="91"/>
      <c r="B34" s="57"/>
      <c r="C34" s="57"/>
      <c r="D34" s="92"/>
      <c r="E34" s="92"/>
      <c r="F34" s="92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</row>
    <row r="35">
      <c r="A35" s="91"/>
      <c r="B35" s="57"/>
      <c r="C35" s="57"/>
      <c r="D35" s="92"/>
      <c r="E35" s="92"/>
      <c r="F35" s="92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>
      <c r="A36" s="91"/>
      <c r="B36" s="57"/>
      <c r="C36" s="57"/>
      <c r="D36" s="92"/>
      <c r="E36" s="92"/>
      <c r="F36" s="92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</row>
    <row r="37">
      <c r="A37" s="91"/>
      <c r="B37" s="57"/>
      <c r="C37" s="57"/>
      <c r="D37" s="92"/>
      <c r="E37" s="92"/>
      <c r="F37" s="92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</row>
    <row r="38">
      <c r="A38" s="91"/>
      <c r="B38" s="57"/>
      <c r="C38" s="57"/>
      <c r="D38" s="92"/>
      <c r="E38" s="92"/>
      <c r="F38" s="92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</row>
    <row r="39">
      <c r="A39" s="91"/>
      <c r="B39" s="57"/>
      <c r="C39" s="57"/>
      <c r="D39" s="92"/>
      <c r="E39" s="92"/>
      <c r="F39" s="92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>
      <c r="A40" s="91"/>
      <c r="B40" s="57"/>
      <c r="C40" s="57"/>
      <c r="D40" s="92"/>
      <c r="E40" s="92"/>
      <c r="F40" s="92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</row>
    <row r="41">
      <c r="A41" s="91"/>
      <c r="B41" s="57"/>
      <c r="C41" s="57"/>
      <c r="D41" s="92"/>
      <c r="E41" s="92"/>
      <c r="F41" s="92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</row>
    <row r="42">
      <c r="A42" s="91"/>
      <c r="B42" s="57"/>
      <c r="C42" s="57"/>
      <c r="D42" s="92"/>
      <c r="E42" s="92"/>
      <c r="F42" s="92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</row>
    <row r="43">
      <c r="A43" s="91"/>
      <c r="B43" s="57"/>
      <c r="C43" s="57"/>
      <c r="D43" s="92"/>
      <c r="E43" s="92"/>
      <c r="F43" s="92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</row>
    <row r="44">
      <c r="A44" s="91"/>
      <c r="B44" s="57"/>
      <c r="C44" s="57"/>
      <c r="D44" s="92"/>
      <c r="E44" s="92"/>
      <c r="F44" s="92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</row>
    <row r="45">
      <c r="A45" s="91"/>
      <c r="B45" s="57"/>
      <c r="C45" s="57"/>
      <c r="D45" s="92"/>
      <c r="E45" s="92"/>
      <c r="F45" s="92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</row>
    <row r="46">
      <c r="A46" s="91"/>
      <c r="B46" s="57"/>
      <c r="C46" s="57"/>
      <c r="D46" s="92"/>
      <c r="E46" s="92"/>
      <c r="F46" s="92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</row>
    <row r="47">
      <c r="A47" s="91"/>
      <c r="B47" s="57"/>
      <c r="C47" s="57"/>
      <c r="D47" s="92"/>
      <c r="E47" s="92"/>
      <c r="F47" s="92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</row>
    <row r="48">
      <c r="A48" s="91"/>
      <c r="B48" s="57"/>
      <c r="C48" s="57"/>
      <c r="D48" s="92"/>
      <c r="E48" s="92"/>
      <c r="F48" s="92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</row>
    <row r="49">
      <c r="A49" s="91"/>
      <c r="B49" s="57"/>
      <c r="C49" s="57"/>
      <c r="D49" s="92"/>
      <c r="E49" s="92"/>
      <c r="F49" s="92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</row>
    <row r="50">
      <c r="A50" s="91"/>
      <c r="B50" s="57"/>
      <c r="C50" s="57"/>
      <c r="D50" s="92"/>
      <c r="E50" s="92"/>
      <c r="F50" s="92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</row>
    <row r="51">
      <c r="A51" s="91"/>
      <c r="B51" s="57"/>
      <c r="C51" s="57"/>
      <c r="D51" s="92"/>
      <c r="E51" s="92"/>
      <c r="F51" s="92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</row>
    <row r="52">
      <c r="A52" s="91"/>
      <c r="B52" s="57"/>
      <c r="C52" s="57"/>
      <c r="D52" s="92"/>
      <c r="E52" s="92"/>
      <c r="F52" s="92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</row>
    <row r="53">
      <c r="A53" s="91"/>
      <c r="B53" s="57"/>
      <c r="C53" s="57"/>
      <c r="D53" s="92"/>
      <c r="E53" s="92"/>
      <c r="F53" s="92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</row>
    <row r="54">
      <c r="A54" s="91"/>
      <c r="B54" s="57"/>
      <c r="C54" s="57"/>
      <c r="D54" s="92"/>
      <c r="E54" s="92"/>
      <c r="F54" s="92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</row>
    <row r="55">
      <c r="A55" s="91"/>
      <c r="B55" s="57"/>
      <c r="C55" s="57"/>
      <c r="D55" s="92"/>
      <c r="E55" s="92"/>
      <c r="F55" s="92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</row>
    <row r="56">
      <c r="A56" s="91"/>
      <c r="B56" s="57"/>
      <c r="C56" s="57"/>
      <c r="D56" s="92"/>
      <c r="E56" s="92"/>
      <c r="F56" s="92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</row>
    <row r="57">
      <c r="A57" s="91"/>
      <c r="B57" s="57"/>
      <c r="C57" s="57"/>
      <c r="D57" s="92"/>
      <c r="E57" s="92"/>
      <c r="F57" s="92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</row>
    <row r="58">
      <c r="A58" s="91"/>
      <c r="B58" s="57"/>
      <c r="C58" s="57"/>
      <c r="D58" s="92"/>
      <c r="E58" s="92"/>
      <c r="F58" s="92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</row>
    <row r="59">
      <c r="A59" s="91"/>
      <c r="B59" s="57"/>
      <c r="C59" s="57"/>
      <c r="D59" s="92"/>
      <c r="E59" s="92"/>
      <c r="F59" s="92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</row>
    <row r="60">
      <c r="A60" s="91"/>
      <c r="B60" s="57"/>
      <c r="C60" s="57"/>
      <c r="D60" s="92"/>
      <c r="E60" s="92"/>
      <c r="F60" s="92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</row>
    <row r="61">
      <c r="A61" s="91"/>
      <c r="B61" s="57"/>
      <c r="C61" s="57"/>
      <c r="D61" s="92"/>
      <c r="E61" s="92"/>
      <c r="F61" s="92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</row>
    <row r="62">
      <c r="A62" s="91"/>
      <c r="B62" s="57"/>
      <c r="C62" s="57"/>
      <c r="D62" s="92"/>
      <c r="E62" s="92"/>
      <c r="F62" s="92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</row>
    <row r="63">
      <c r="A63" s="91"/>
      <c r="B63" s="57"/>
      <c r="C63" s="57"/>
      <c r="D63" s="92"/>
      <c r="E63" s="92"/>
      <c r="F63" s="92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</row>
    <row r="64">
      <c r="A64" s="91"/>
      <c r="B64" s="57"/>
      <c r="C64" s="57"/>
      <c r="D64" s="92"/>
      <c r="E64" s="92"/>
      <c r="F64" s="92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</row>
    <row r="65">
      <c r="A65" s="91"/>
      <c r="B65" s="57"/>
      <c r="C65" s="57"/>
      <c r="D65" s="92"/>
      <c r="E65" s="92"/>
      <c r="F65" s="92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</row>
    <row r="66">
      <c r="A66" s="91"/>
      <c r="B66" s="57"/>
      <c r="C66" s="57"/>
      <c r="D66" s="92"/>
      <c r="E66" s="92"/>
      <c r="F66" s="92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</row>
    <row r="67">
      <c r="A67" s="91"/>
      <c r="B67" s="57"/>
      <c r="C67" s="57"/>
      <c r="D67" s="92"/>
      <c r="E67" s="92"/>
      <c r="F67" s="92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</row>
    <row r="68">
      <c r="A68" s="91"/>
      <c r="B68" s="57"/>
      <c r="C68" s="57"/>
      <c r="D68" s="92"/>
      <c r="E68" s="92"/>
      <c r="F68" s="92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</row>
    <row r="69">
      <c r="A69" s="91"/>
      <c r="B69" s="57"/>
      <c r="C69" s="57"/>
      <c r="D69" s="92"/>
      <c r="E69" s="92"/>
      <c r="F69" s="92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</row>
    <row r="70">
      <c r="A70" s="91"/>
      <c r="B70" s="57"/>
      <c r="C70" s="57"/>
      <c r="D70" s="92"/>
      <c r="E70" s="92"/>
      <c r="F70" s="92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</row>
    <row r="71">
      <c r="A71" s="91"/>
      <c r="B71" s="57"/>
      <c r="C71" s="57"/>
      <c r="D71" s="92"/>
      <c r="E71" s="92"/>
      <c r="F71" s="92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</row>
    <row r="72">
      <c r="A72" s="91"/>
      <c r="B72" s="57"/>
      <c r="C72" s="57"/>
      <c r="D72" s="92"/>
      <c r="E72" s="92"/>
      <c r="F72" s="92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</row>
    <row r="73">
      <c r="A73" s="91"/>
      <c r="B73" s="57"/>
      <c r="C73" s="57"/>
      <c r="D73" s="92"/>
      <c r="E73" s="92"/>
      <c r="F73" s="92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</row>
    <row r="74">
      <c r="A74" s="91"/>
      <c r="B74" s="57"/>
      <c r="C74" s="57"/>
      <c r="D74" s="92"/>
      <c r="E74" s="92"/>
      <c r="F74" s="92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</row>
    <row r="75">
      <c r="A75" s="91"/>
      <c r="B75" s="57"/>
      <c r="C75" s="57"/>
      <c r="D75" s="92"/>
      <c r="E75" s="92"/>
      <c r="F75" s="92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</row>
    <row r="76">
      <c r="A76" s="91"/>
      <c r="B76" s="57"/>
      <c r="C76" s="57"/>
      <c r="D76" s="92"/>
      <c r="E76" s="92"/>
      <c r="F76" s="92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</row>
    <row r="77">
      <c r="A77" s="91"/>
      <c r="B77" s="57"/>
      <c r="C77" s="57"/>
      <c r="D77" s="92"/>
      <c r="E77" s="92"/>
      <c r="F77" s="92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</row>
    <row r="78">
      <c r="A78" s="91"/>
      <c r="B78" s="57"/>
      <c r="C78" s="57"/>
      <c r="D78" s="92"/>
      <c r="E78" s="92"/>
      <c r="F78" s="92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</row>
    <row r="79">
      <c r="A79" s="91"/>
      <c r="B79" s="57"/>
      <c r="C79" s="57"/>
      <c r="D79" s="92"/>
      <c r="E79" s="92"/>
      <c r="F79" s="92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</row>
    <row r="80">
      <c r="A80" s="91"/>
      <c r="B80" s="57"/>
      <c r="C80" s="57"/>
      <c r="D80" s="92"/>
      <c r="E80" s="92"/>
      <c r="F80" s="92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</row>
    <row r="81">
      <c r="A81" s="91"/>
      <c r="B81" s="57"/>
      <c r="C81" s="57"/>
      <c r="D81" s="92"/>
      <c r="E81" s="92"/>
      <c r="F81" s="92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</row>
    <row r="82">
      <c r="A82" s="91"/>
      <c r="B82" s="57"/>
      <c r="C82" s="57"/>
      <c r="D82" s="92"/>
      <c r="E82" s="92"/>
      <c r="F82" s="92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</row>
    <row r="83">
      <c r="A83" s="91"/>
      <c r="B83" s="57"/>
      <c r="C83" s="57"/>
      <c r="D83" s="92"/>
      <c r="E83" s="92"/>
      <c r="F83" s="92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</row>
    <row r="84">
      <c r="A84" s="91"/>
      <c r="B84" s="57"/>
      <c r="C84" s="57"/>
      <c r="D84" s="92"/>
      <c r="E84" s="92"/>
      <c r="F84" s="92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</row>
    <row r="85">
      <c r="A85" s="91"/>
      <c r="B85" s="57"/>
      <c r="C85" s="57"/>
      <c r="D85" s="92"/>
      <c r="E85" s="92"/>
      <c r="F85" s="92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</row>
    <row r="86">
      <c r="A86" s="91"/>
      <c r="B86" s="57"/>
      <c r="C86" s="57"/>
      <c r="D86" s="92"/>
      <c r="E86" s="92"/>
      <c r="F86" s="92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</row>
    <row r="87">
      <c r="A87" s="91"/>
      <c r="B87" s="57"/>
      <c r="C87" s="57"/>
      <c r="D87" s="92"/>
      <c r="E87" s="92"/>
      <c r="F87" s="92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</row>
    <row r="88">
      <c r="A88" s="91"/>
      <c r="B88" s="57"/>
      <c r="C88" s="57"/>
      <c r="D88" s="92"/>
      <c r="E88" s="92"/>
      <c r="F88" s="92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</row>
    <row r="89">
      <c r="A89" s="91"/>
      <c r="B89" s="57"/>
      <c r="C89" s="57"/>
      <c r="D89" s="92"/>
      <c r="E89" s="92"/>
      <c r="F89" s="92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</row>
    <row r="90">
      <c r="A90" s="91"/>
      <c r="B90" s="57"/>
      <c r="C90" s="57"/>
      <c r="D90" s="92"/>
      <c r="E90" s="92"/>
      <c r="F90" s="92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</row>
    <row r="91">
      <c r="A91" s="91"/>
      <c r="B91" s="57"/>
      <c r="C91" s="57"/>
      <c r="D91" s="92"/>
      <c r="E91" s="92"/>
      <c r="F91" s="92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</row>
    <row r="92">
      <c r="A92" s="91"/>
      <c r="B92" s="57"/>
      <c r="C92" s="57"/>
      <c r="D92" s="92"/>
      <c r="E92" s="92"/>
      <c r="F92" s="92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</row>
    <row r="93">
      <c r="A93" s="91"/>
      <c r="B93" s="57"/>
      <c r="C93" s="57"/>
      <c r="D93" s="92"/>
      <c r="E93" s="92"/>
      <c r="F93" s="92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</row>
    <row r="94">
      <c r="A94" s="91"/>
      <c r="B94" s="57"/>
      <c r="C94" s="57"/>
      <c r="D94" s="92"/>
      <c r="E94" s="92"/>
      <c r="F94" s="92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</row>
    <row r="95">
      <c r="A95" s="91"/>
      <c r="B95" s="57"/>
      <c r="C95" s="57"/>
      <c r="D95" s="92"/>
      <c r="E95" s="92"/>
      <c r="F95" s="92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</row>
    <row r="96">
      <c r="A96" s="91"/>
      <c r="B96" s="57"/>
      <c r="C96" s="57"/>
      <c r="D96" s="92"/>
      <c r="E96" s="92"/>
      <c r="F96" s="92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</row>
    <row r="97">
      <c r="A97" s="91"/>
      <c r="B97" s="57"/>
      <c r="C97" s="57"/>
      <c r="D97" s="92"/>
      <c r="E97" s="92"/>
      <c r="F97" s="92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</row>
    <row r="98">
      <c r="A98" s="91"/>
      <c r="B98" s="57"/>
      <c r="C98" s="57"/>
      <c r="D98" s="92"/>
      <c r="E98" s="92"/>
      <c r="F98" s="92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</row>
    <row r="99">
      <c r="A99" s="91"/>
      <c r="B99" s="57"/>
      <c r="C99" s="57"/>
      <c r="D99" s="92"/>
      <c r="E99" s="92"/>
      <c r="F99" s="92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</row>
    <row r="100">
      <c r="A100" s="91"/>
      <c r="B100" s="57"/>
      <c r="C100" s="57"/>
      <c r="D100" s="92"/>
      <c r="E100" s="92"/>
      <c r="F100" s="92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</row>
    <row r="101">
      <c r="A101" s="91"/>
      <c r="B101" s="57"/>
      <c r="C101" s="57"/>
      <c r="D101" s="92"/>
      <c r="E101" s="92"/>
      <c r="F101" s="92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</row>
    <row r="102">
      <c r="A102" s="91"/>
      <c r="B102" s="57"/>
      <c r="C102" s="57"/>
      <c r="D102" s="92"/>
      <c r="E102" s="92"/>
      <c r="F102" s="92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</row>
    <row r="103">
      <c r="A103" s="91"/>
      <c r="B103" s="57"/>
      <c r="C103" s="57"/>
      <c r="D103" s="92"/>
      <c r="E103" s="92"/>
      <c r="F103" s="92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</row>
    <row r="104">
      <c r="A104" s="91"/>
      <c r="B104" s="57"/>
      <c r="C104" s="57"/>
      <c r="D104" s="92"/>
      <c r="E104" s="92"/>
      <c r="F104" s="92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</row>
    <row r="105">
      <c r="A105" s="91"/>
      <c r="B105" s="57"/>
      <c r="C105" s="57"/>
      <c r="D105" s="92"/>
      <c r="E105" s="92"/>
      <c r="F105" s="92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</row>
    <row r="106">
      <c r="A106" s="91"/>
      <c r="B106" s="57"/>
      <c r="C106" s="57"/>
      <c r="D106" s="92"/>
      <c r="E106" s="92"/>
      <c r="F106" s="92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</row>
    <row r="107">
      <c r="A107" s="91"/>
      <c r="B107" s="57"/>
      <c r="C107" s="57"/>
      <c r="D107" s="92"/>
      <c r="E107" s="92"/>
      <c r="F107" s="92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</row>
    <row r="108">
      <c r="A108" s="91"/>
      <c r="B108" s="57"/>
      <c r="C108" s="57"/>
      <c r="D108" s="92"/>
      <c r="E108" s="92"/>
      <c r="F108" s="92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</row>
    <row r="109">
      <c r="A109" s="91"/>
      <c r="B109" s="57"/>
      <c r="C109" s="57"/>
      <c r="D109" s="92"/>
      <c r="E109" s="92"/>
      <c r="F109" s="92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</row>
    <row r="110">
      <c r="A110" s="91"/>
      <c r="B110" s="57"/>
      <c r="C110" s="57"/>
      <c r="D110" s="92"/>
      <c r="E110" s="92"/>
      <c r="F110" s="92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</row>
    <row r="111">
      <c r="A111" s="91"/>
      <c r="B111" s="57"/>
      <c r="C111" s="57"/>
      <c r="D111" s="92"/>
      <c r="E111" s="92"/>
      <c r="F111" s="92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</row>
    <row r="112">
      <c r="A112" s="91"/>
      <c r="B112" s="57"/>
      <c r="C112" s="57"/>
      <c r="D112" s="92"/>
      <c r="E112" s="92"/>
      <c r="F112" s="92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</row>
    <row r="113">
      <c r="A113" s="91"/>
      <c r="B113" s="57"/>
      <c r="C113" s="57"/>
      <c r="D113" s="92"/>
      <c r="E113" s="92"/>
      <c r="F113" s="92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</row>
    <row r="114">
      <c r="A114" s="91"/>
      <c r="B114" s="57"/>
      <c r="C114" s="57"/>
      <c r="D114" s="92"/>
      <c r="E114" s="92"/>
      <c r="F114" s="92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</row>
    <row r="115">
      <c r="A115" s="91"/>
      <c r="B115" s="57"/>
      <c r="C115" s="57"/>
      <c r="D115" s="92"/>
      <c r="E115" s="92"/>
      <c r="F115" s="92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</row>
    <row r="116">
      <c r="A116" s="91"/>
      <c r="B116" s="57"/>
      <c r="C116" s="57"/>
      <c r="D116" s="92"/>
      <c r="E116" s="92"/>
      <c r="F116" s="92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</row>
    <row r="117">
      <c r="A117" s="91"/>
      <c r="B117" s="57"/>
      <c r="C117" s="57"/>
      <c r="D117" s="92"/>
      <c r="E117" s="92"/>
      <c r="F117" s="92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</row>
    <row r="118">
      <c r="A118" s="91"/>
      <c r="B118" s="57"/>
      <c r="C118" s="57"/>
      <c r="D118" s="92"/>
      <c r="E118" s="92"/>
      <c r="F118" s="92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</row>
    <row r="119">
      <c r="A119" s="91"/>
      <c r="B119" s="57"/>
      <c r="C119" s="57"/>
      <c r="D119" s="92"/>
      <c r="E119" s="92"/>
      <c r="F119" s="92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</row>
    <row r="120">
      <c r="A120" s="91"/>
      <c r="B120" s="57"/>
      <c r="C120" s="57"/>
      <c r="D120" s="92"/>
      <c r="E120" s="92"/>
      <c r="F120" s="92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</row>
    <row r="121">
      <c r="A121" s="91"/>
      <c r="B121" s="57"/>
      <c r="C121" s="57"/>
      <c r="D121" s="92"/>
      <c r="E121" s="92"/>
      <c r="F121" s="92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</row>
    <row r="122">
      <c r="A122" s="91"/>
      <c r="B122" s="57"/>
      <c r="C122" s="57"/>
      <c r="D122" s="92"/>
      <c r="E122" s="92"/>
      <c r="F122" s="92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</row>
    <row r="123">
      <c r="A123" s="91"/>
      <c r="B123" s="57"/>
      <c r="C123" s="57"/>
      <c r="D123" s="92"/>
      <c r="E123" s="92"/>
      <c r="F123" s="92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</row>
    <row r="124">
      <c r="A124" s="91"/>
      <c r="B124" s="57"/>
      <c r="C124" s="57"/>
      <c r="D124" s="92"/>
      <c r="E124" s="92"/>
      <c r="F124" s="92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</row>
    <row r="125">
      <c r="A125" s="91"/>
      <c r="B125" s="57"/>
      <c r="C125" s="57"/>
      <c r="D125" s="92"/>
      <c r="E125" s="92"/>
      <c r="F125" s="92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</row>
    <row r="126">
      <c r="A126" s="91"/>
      <c r="B126" s="57"/>
      <c r="C126" s="57"/>
      <c r="D126" s="92"/>
      <c r="E126" s="92"/>
      <c r="F126" s="92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</row>
    <row r="127">
      <c r="A127" s="91"/>
      <c r="B127" s="57"/>
      <c r="C127" s="57"/>
      <c r="D127" s="92"/>
      <c r="E127" s="92"/>
      <c r="F127" s="92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</row>
    <row r="128">
      <c r="A128" s="91"/>
      <c r="B128" s="57"/>
      <c r="C128" s="57"/>
      <c r="D128" s="92"/>
      <c r="E128" s="92"/>
      <c r="F128" s="92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</row>
    <row r="129">
      <c r="A129" s="91"/>
      <c r="B129" s="57"/>
      <c r="C129" s="57"/>
      <c r="D129" s="92"/>
      <c r="E129" s="92"/>
      <c r="F129" s="92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</row>
    <row r="130">
      <c r="A130" s="91"/>
      <c r="B130" s="57"/>
      <c r="C130" s="57"/>
      <c r="D130" s="92"/>
      <c r="E130" s="92"/>
      <c r="F130" s="92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</row>
    <row r="131">
      <c r="A131" s="91"/>
      <c r="B131" s="57"/>
      <c r="C131" s="57"/>
      <c r="D131" s="92"/>
      <c r="E131" s="92"/>
      <c r="F131" s="92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</row>
    <row r="132">
      <c r="A132" s="91"/>
      <c r="B132" s="57"/>
      <c r="C132" s="57"/>
      <c r="D132" s="92"/>
      <c r="E132" s="92"/>
      <c r="F132" s="92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</row>
    <row r="133">
      <c r="A133" s="91"/>
      <c r="B133" s="57"/>
      <c r="C133" s="57"/>
      <c r="D133" s="92"/>
      <c r="E133" s="92"/>
      <c r="F133" s="92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</row>
    <row r="134">
      <c r="A134" s="91"/>
      <c r="B134" s="57"/>
      <c r="C134" s="57"/>
      <c r="D134" s="92"/>
      <c r="E134" s="92"/>
      <c r="F134" s="92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</row>
    <row r="135">
      <c r="A135" s="91"/>
      <c r="B135" s="57"/>
      <c r="C135" s="57"/>
      <c r="D135" s="92"/>
      <c r="E135" s="92"/>
      <c r="F135" s="92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</row>
    <row r="136">
      <c r="A136" s="91"/>
      <c r="B136" s="57"/>
      <c r="C136" s="57"/>
      <c r="D136" s="92"/>
      <c r="E136" s="92"/>
      <c r="F136" s="92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</row>
    <row r="137">
      <c r="A137" s="91"/>
      <c r="B137" s="57"/>
      <c r="C137" s="57"/>
      <c r="D137" s="92"/>
      <c r="E137" s="92"/>
      <c r="F137" s="92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</row>
    <row r="138">
      <c r="A138" s="91"/>
      <c r="B138" s="57"/>
      <c r="C138" s="57"/>
      <c r="D138" s="92"/>
      <c r="E138" s="92"/>
      <c r="F138" s="92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</row>
    <row r="139">
      <c r="A139" s="91"/>
      <c r="B139" s="57"/>
      <c r="C139" s="57"/>
      <c r="D139" s="92"/>
      <c r="E139" s="92"/>
      <c r="F139" s="92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</row>
    <row r="140">
      <c r="A140" s="91"/>
      <c r="B140" s="57"/>
      <c r="C140" s="57"/>
      <c r="D140" s="92"/>
      <c r="E140" s="92"/>
      <c r="F140" s="92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</row>
    <row r="141">
      <c r="A141" s="91"/>
      <c r="B141" s="57"/>
      <c r="C141" s="57"/>
      <c r="D141" s="92"/>
      <c r="E141" s="92"/>
      <c r="F141" s="92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</row>
    <row r="142">
      <c r="A142" s="91"/>
      <c r="B142" s="57"/>
      <c r="C142" s="57"/>
      <c r="D142" s="92"/>
      <c r="E142" s="92"/>
      <c r="F142" s="92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</row>
    <row r="143">
      <c r="A143" s="91"/>
      <c r="B143" s="57"/>
      <c r="C143" s="57"/>
      <c r="D143" s="92"/>
      <c r="E143" s="92"/>
      <c r="F143" s="92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</row>
    <row r="144">
      <c r="A144" s="91"/>
      <c r="B144" s="57"/>
      <c r="C144" s="57"/>
      <c r="D144" s="92"/>
      <c r="E144" s="92"/>
      <c r="F144" s="92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</row>
    <row r="145">
      <c r="A145" s="91"/>
      <c r="B145" s="57"/>
      <c r="C145" s="57"/>
      <c r="D145" s="92"/>
      <c r="E145" s="92"/>
      <c r="F145" s="92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</row>
    <row r="146">
      <c r="A146" s="91"/>
      <c r="B146" s="57"/>
      <c r="C146" s="57"/>
      <c r="D146" s="92"/>
      <c r="E146" s="92"/>
      <c r="F146" s="92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</row>
    <row r="147">
      <c r="A147" s="91"/>
      <c r="B147" s="57"/>
      <c r="C147" s="57"/>
      <c r="D147" s="92"/>
      <c r="E147" s="92"/>
      <c r="F147" s="92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</row>
    <row r="148">
      <c r="A148" s="91"/>
      <c r="B148" s="57"/>
      <c r="C148" s="57"/>
      <c r="D148" s="92"/>
      <c r="E148" s="92"/>
      <c r="F148" s="92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</row>
    <row r="149">
      <c r="A149" s="91"/>
      <c r="B149" s="57"/>
      <c r="C149" s="57"/>
      <c r="D149" s="92"/>
      <c r="E149" s="92"/>
      <c r="F149" s="92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</row>
    <row r="150">
      <c r="A150" s="91"/>
      <c r="B150" s="57"/>
      <c r="C150" s="57"/>
      <c r="D150" s="92"/>
      <c r="E150" s="92"/>
      <c r="F150" s="92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</row>
    <row r="151">
      <c r="A151" s="91"/>
      <c r="B151" s="57"/>
      <c r="C151" s="57"/>
      <c r="D151" s="92"/>
      <c r="E151" s="92"/>
      <c r="F151" s="92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</row>
    <row r="152">
      <c r="A152" s="91"/>
      <c r="B152" s="57"/>
      <c r="C152" s="57"/>
      <c r="D152" s="92"/>
      <c r="E152" s="92"/>
      <c r="F152" s="92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</row>
    <row r="153">
      <c r="A153" s="91"/>
      <c r="B153" s="57"/>
      <c r="C153" s="57"/>
      <c r="D153" s="92"/>
      <c r="E153" s="92"/>
      <c r="F153" s="92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</row>
    <row r="154">
      <c r="A154" s="91"/>
      <c r="B154" s="57"/>
      <c r="C154" s="57"/>
      <c r="D154" s="92"/>
      <c r="E154" s="92"/>
      <c r="F154" s="92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</row>
    <row r="155">
      <c r="A155" s="91"/>
      <c r="B155" s="57"/>
      <c r="C155" s="57"/>
      <c r="D155" s="92"/>
      <c r="E155" s="92"/>
      <c r="F155" s="92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</row>
    <row r="156">
      <c r="A156" s="91"/>
      <c r="B156" s="57"/>
      <c r="C156" s="57"/>
      <c r="D156" s="92"/>
      <c r="E156" s="92"/>
      <c r="F156" s="92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</row>
    <row r="157">
      <c r="A157" s="91"/>
      <c r="B157" s="57"/>
      <c r="C157" s="57"/>
      <c r="D157" s="92"/>
      <c r="E157" s="92"/>
      <c r="F157" s="92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</row>
    <row r="158">
      <c r="A158" s="91"/>
      <c r="B158" s="57"/>
      <c r="C158" s="57"/>
      <c r="D158" s="92"/>
      <c r="E158" s="92"/>
      <c r="F158" s="92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</row>
    <row r="159">
      <c r="A159" s="91"/>
      <c r="B159" s="57"/>
      <c r="C159" s="57"/>
      <c r="D159" s="92"/>
      <c r="E159" s="92"/>
      <c r="F159" s="92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</row>
    <row r="160">
      <c r="A160" s="91"/>
      <c r="B160" s="57"/>
      <c r="C160" s="57"/>
      <c r="D160" s="92"/>
      <c r="E160" s="92"/>
      <c r="F160" s="92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</row>
    <row r="161">
      <c r="A161" s="91"/>
      <c r="B161" s="57"/>
      <c r="C161" s="57"/>
      <c r="D161" s="92"/>
      <c r="E161" s="92"/>
      <c r="F161" s="92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</row>
    <row r="162">
      <c r="A162" s="91"/>
      <c r="B162" s="57"/>
      <c r="C162" s="57"/>
      <c r="D162" s="92"/>
      <c r="E162" s="92"/>
      <c r="F162" s="92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</row>
    <row r="163">
      <c r="A163" s="91"/>
      <c r="B163" s="57"/>
      <c r="C163" s="57"/>
      <c r="D163" s="92"/>
      <c r="E163" s="92"/>
      <c r="F163" s="92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</row>
    <row r="164">
      <c r="A164" s="91"/>
      <c r="B164" s="57"/>
      <c r="C164" s="57"/>
      <c r="D164" s="92"/>
      <c r="E164" s="92"/>
      <c r="F164" s="92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</row>
    <row r="165">
      <c r="A165" s="91"/>
      <c r="B165" s="57"/>
      <c r="C165" s="57"/>
      <c r="D165" s="92"/>
      <c r="E165" s="92"/>
      <c r="F165" s="92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</row>
    <row r="166">
      <c r="A166" s="91"/>
      <c r="B166" s="57"/>
      <c r="C166" s="57"/>
      <c r="D166" s="92"/>
      <c r="E166" s="92"/>
      <c r="F166" s="92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</row>
    <row r="167">
      <c r="A167" s="91"/>
      <c r="B167" s="57"/>
      <c r="C167" s="57"/>
      <c r="D167" s="92"/>
      <c r="E167" s="92"/>
      <c r="F167" s="92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</row>
    <row r="168">
      <c r="A168" s="91"/>
      <c r="B168" s="57"/>
      <c r="C168" s="57"/>
      <c r="D168" s="92"/>
      <c r="E168" s="92"/>
      <c r="F168" s="92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</row>
    <row r="169">
      <c r="A169" s="91"/>
      <c r="B169" s="57"/>
      <c r="C169" s="57"/>
      <c r="D169" s="92"/>
      <c r="E169" s="92"/>
      <c r="F169" s="92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</row>
    <row r="170">
      <c r="A170" s="91"/>
      <c r="B170" s="57"/>
      <c r="C170" s="57"/>
      <c r="D170" s="92"/>
      <c r="E170" s="92"/>
      <c r="F170" s="92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</row>
    <row r="171">
      <c r="A171" s="91"/>
      <c r="B171" s="57"/>
      <c r="C171" s="57"/>
      <c r="D171" s="92"/>
      <c r="E171" s="92"/>
      <c r="F171" s="92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</row>
    <row r="172">
      <c r="A172" s="91"/>
      <c r="B172" s="57"/>
      <c r="C172" s="57"/>
      <c r="D172" s="92"/>
      <c r="E172" s="92"/>
      <c r="F172" s="92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</row>
    <row r="173">
      <c r="A173" s="91"/>
      <c r="B173" s="57"/>
      <c r="C173" s="57"/>
      <c r="D173" s="92"/>
      <c r="E173" s="92"/>
      <c r="F173" s="92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</row>
    <row r="174">
      <c r="A174" s="91"/>
      <c r="B174" s="57"/>
      <c r="C174" s="57"/>
      <c r="D174" s="92"/>
      <c r="E174" s="92"/>
      <c r="F174" s="92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</row>
    <row r="175">
      <c r="A175" s="91"/>
      <c r="B175" s="57"/>
      <c r="C175" s="57"/>
      <c r="D175" s="92"/>
      <c r="E175" s="92"/>
      <c r="F175" s="92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</row>
    <row r="176">
      <c r="A176" s="91"/>
      <c r="B176" s="57"/>
      <c r="C176" s="57"/>
      <c r="D176" s="92"/>
      <c r="E176" s="92"/>
      <c r="F176" s="92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</row>
    <row r="177">
      <c r="A177" s="91"/>
      <c r="B177" s="57"/>
      <c r="C177" s="57"/>
      <c r="D177" s="92"/>
      <c r="E177" s="92"/>
      <c r="F177" s="92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</row>
    <row r="178">
      <c r="A178" s="91"/>
      <c r="B178" s="57"/>
      <c r="C178" s="57"/>
      <c r="D178" s="92"/>
      <c r="E178" s="92"/>
      <c r="F178" s="92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</row>
    <row r="179">
      <c r="A179" s="91"/>
      <c r="B179" s="57"/>
      <c r="C179" s="57"/>
      <c r="D179" s="92"/>
      <c r="E179" s="92"/>
      <c r="F179" s="92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</row>
    <row r="180">
      <c r="A180" s="91"/>
      <c r="B180" s="57"/>
      <c r="C180" s="57"/>
      <c r="D180" s="92"/>
      <c r="E180" s="92"/>
      <c r="F180" s="92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</row>
    <row r="181">
      <c r="A181" s="91"/>
      <c r="B181" s="57"/>
      <c r="C181" s="57"/>
      <c r="D181" s="92"/>
      <c r="E181" s="92"/>
      <c r="F181" s="92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</row>
    <row r="182">
      <c r="A182" s="91"/>
      <c r="B182" s="57"/>
      <c r="C182" s="57"/>
      <c r="D182" s="92"/>
      <c r="E182" s="92"/>
      <c r="F182" s="92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</row>
    <row r="183">
      <c r="A183" s="91"/>
      <c r="B183" s="57"/>
      <c r="C183" s="57"/>
      <c r="D183" s="92"/>
      <c r="E183" s="92"/>
      <c r="F183" s="92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</row>
    <row r="184">
      <c r="A184" s="91"/>
      <c r="B184" s="57"/>
      <c r="C184" s="57"/>
      <c r="D184" s="92"/>
      <c r="E184" s="92"/>
      <c r="F184" s="92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</row>
    <row r="185">
      <c r="A185" s="91"/>
      <c r="B185" s="57"/>
      <c r="C185" s="57"/>
      <c r="D185" s="92"/>
      <c r="E185" s="92"/>
      <c r="F185" s="92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</row>
    <row r="186">
      <c r="A186" s="91"/>
      <c r="B186" s="57"/>
      <c r="C186" s="57"/>
      <c r="D186" s="92"/>
      <c r="E186" s="92"/>
      <c r="F186" s="92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</row>
    <row r="187">
      <c r="A187" s="91"/>
      <c r="B187" s="57"/>
      <c r="C187" s="57"/>
      <c r="D187" s="92"/>
      <c r="E187" s="92"/>
      <c r="F187" s="92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</row>
    <row r="188">
      <c r="A188" s="91"/>
      <c r="B188" s="57"/>
      <c r="C188" s="57"/>
      <c r="D188" s="92"/>
      <c r="E188" s="92"/>
      <c r="F188" s="92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</row>
    <row r="189">
      <c r="A189" s="91"/>
      <c r="B189" s="57"/>
      <c r="C189" s="57"/>
      <c r="D189" s="92"/>
      <c r="E189" s="92"/>
      <c r="F189" s="92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</row>
    <row r="190">
      <c r="A190" s="91"/>
      <c r="B190" s="57"/>
      <c r="C190" s="57"/>
      <c r="D190" s="92"/>
      <c r="E190" s="92"/>
      <c r="F190" s="92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</row>
    <row r="191">
      <c r="A191" s="91"/>
      <c r="B191" s="57"/>
      <c r="C191" s="57"/>
      <c r="D191" s="92"/>
      <c r="E191" s="92"/>
      <c r="F191" s="92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</row>
    <row r="192">
      <c r="A192" s="91"/>
      <c r="B192" s="57"/>
      <c r="C192" s="57"/>
      <c r="D192" s="92"/>
      <c r="E192" s="92"/>
      <c r="F192" s="92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</row>
    <row r="193">
      <c r="A193" s="91"/>
      <c r="B193" s="57"/>
      <c r="C193" s="57"/>
      <c r="D193" s="92"/>
      <c r="E193" s="92"/>
      <c r="F193" s="92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</row>
    <row r="194">
      <c r="A194" s="91"/>
      <c r="B194" s="57"/>
      <c r="C194" s="57"/>
      <c r="D194" s="92"/>
      <c r="E194" s="92"/>
      <c r="F194" s="92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</row>
    <row r="195">
      <c r="A195" s="91"/>
      <c r="B195" s="57"/>
      <c r="C195" s="57"/>
      <c r="D195" s="92"/>
      <c r="E195" s="92"/>
      <c r="F195" s="92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</row>
    <row r="196">
      <c r="A196" s="91"/>
      <c r="B196" s="57"/>
      <c r="C196" s="57"/>
      <c r="D196" s="92"/>
      <c r="E196" s="92"/>
      <c r="F196" s="92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</row>
    <row r="197">
      <c r="A197" s="91"/>
      <c r="B197" s="57"/>
      <c r="C197" s="57"/>
      <c r="D197" s="92"/>
      <c r="E197" s="92"/>
      <c r="F197" s="92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</row>
    <row r="198">
      <c r="A198" s="91"/>
      <c r="B198" s="57"/>
      <c r="C198" s="57"/>
      <c r="D198" s="92"/>
      <c r="E198" s="92"/>
      <c r="F198" s="92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</row>
    <row r="199">
      <c r="A199" s="91"/>
      <c r="B199" s="57"/>
      <c r="C199" s="57"/>
      <c r="D199" s="92"/>
      <c r="E199" s="92"/>
      <c r="F199" s="92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</row>
    <row r="200">
      <c r="A200" s="91"/>
      <c r="B200" s="57"/>
      <c r="C200" s="57"/>
      <c r="D200" s="92"/>
      <c r="E200" s="92"/>
      <c r="F200" s="92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</row>
    <row r="201">
      <c r="A201" s="91"/>
      <c r="B201" s="57"/>
      <c r="C201" s="57"/>
      <c r="D201" s="92"/>
      <c r="E201" s="92"/>
      <c r="F201" s="92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</row>
    <row r="202">
      <c r="A202" s="91"/>
      <c r="B202" s="57"/>
      <c r="C202" s="57"/>
      <c r="D202" s="92"/>
      <c r="E202" s="92"/>
      <c r="F202" s="92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</row>
    <row r="203">
      <c r="A203" s="91"/>
      <c r="B203" s="57"/>
      <c r="C203" s="57"/>
      <c r="D203" s="92"/>
      <c r="E203" s="92"/>
      <c r="F203" s="92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</row>
    <row r="204">
      <c r="A204" s="91"/>
      <c r="B204" s="57"/>
      <c r="C204" s="57"/>
      <c r="D204" s="92"/>
      <c r="E204" s="92"/>
      <c r="F204" s="92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</row>
    <row r="205">
      <c r="A205" s="91"/>
      <c r="B205" s="57"/>
      <c r="C205" s="57"/>
      <c r="D205" s="92"/>
      <c r="E205" s="92"/>
      <c r="F205" s="92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</row>
    <row r="206">
      <c r="A206" s="91"/>
      <c r="B206" s="57"/>
      <c r="C206" s="57"/>
      <c r="D206" s="92"/>
      <c r="E206" s="92"/>
      <c r="F206" s="92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</row>
    <row r="207">
      <c r="A207" s="91"/>
      <c r="B207" s="57"/>
      <c r="C207" s="57"/>
      <c r="D207" s="92"/>
      <c r="E207" s="92"/>
      <c r="F207" s="92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</row>
    <row r="208">
      <c r="A208" s="91"/>
      <c r="B208" s="57"/>
      <c r="C208" s="57"/>
      <c r="D208" s="92"/>
      <c r="E208" s="92"/>
      <c r="F208" s="92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</row>
    <row r="209">
      <c r="A209" s="91"/>
      <c r="B209" s="57"/>
      <c r="C209" s="57"/>
      <c r="D209" s="92"/>
      <c r="E209" s="92"/>
      <c r="F209" s="92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</row>
    <row r="210">
      <c r="A210" s="91"/>
      <c r="B210" s="57"/>
      <c r="C210" s="57"/>
      <c r="D210" s="92"/>
      <c r="E210" s="92"/>
      <c r="F210" s="92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</row>
    <row r="211">
      <c r="A211" s="91"/>
      <c r="B211" s="57"/>
      <c r="C211" s="57"/>
      <c r="D211" s="92"/>
      <c r="E211" s="92"/>
      <c r="F211" s="92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</row>
    <row r="212">
      <c r="A212" s="91"/>
      <c r="B212" s="57"/>
      <c r="C212" s="57"/>
      <c r="D212" s="92"/>
      <c r="E212" s="92"/>
      <c r="F212" s="92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</row>
    <row r="213">
      <c r="A213" s="91"/>
      <c r="B213" s="57"/>
      <c r="C213" s="57"/>
      <c r="D213" s="92"/>
      <c r="E213" s="92"/>
      <c r="F213" s="92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</row>
    <row r="214">
      <c r="A214" s="91"/>
      <c r="B214" s="57"/>
      <c r="C214" s="57"/>
      <c r="D214" s="92"/>
      <c r="E214" s="92"/>
      <c r="F214" s="92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</row>
    <row r="215">
      <c r="A215" s="91"/>
      <c r="B215" s="57"/>
      <c r="C215" s="57"/>
      <c r="D215" s="92"/>
      <c r="E215" s="92"/>
      <c r="F215" s="92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</row>
    <row r="216">
      <c r="A216" s="91"/>
      <c r="B216" s="57"/>
      <c r="C216" s="57"/>
      <c r="D216" s="92"/>
      <c r="E216" s="92"/>
      <c r="F216" s="92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</row>
    <row r="217">
      <c r="A217" s="91"/>
      <c r="B217" s="57"/>
      <c r="C217" s="57"/>
      <c r="D217" s="92"/>
      <c r="E217" s="92"/>
      <c r="F217" s="92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</row>
    <row r="218">
      <c r="A218" s="91"/>
      <c r="B218" s="57"/>
      <c r="C218" s="57"/>
      <c r="D218" s="92"/>
      <c r="E218" s="92"/>
      <c r="F218" s="92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</row>
    <row r="219">
      <c r="A219" s="91"/>
      <c r="B219" s="57"/>
      <c r="C219" s="57"/>
      <c r="D219" s="92"/>
      <c r="E219" s="92"/>
      <c r="F219" s="92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</row>
    <row r="220">
      <c r="A220" s="91"/>
      <c r="B220" s="57"/>
      <c r="C220" s="57"/>
      <c r="D220" s="92"/>
      <c r="E220" s="92"/>
      <c r="F220" s="92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</row>
    <row r="221">
      <c r="A221" s="91"/>
      <c r="B221" s="57"/>
      <c r="C221" s="57"/>
      <c r="D221" s="92"/>
      <c r="E221" s="92"/>
      <c r="F221" s="92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</row>
    <row r="222">
      <c r="A222" s="91"/>
      <c r="B222" s="57"/>
      <c r="C222" s="57"/>
      <c r="D222" s="92"/>
      <c r="E222" s="92"/>
      <c r="F222" s="92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</row>
    <row r="223">
      <c r="A223" s="91"/>
      <c r="B223" s="57"/>
      <c r="C223" s="57"/>
      <c r="D223" s="92"/>
      <c r="E223" s="92"/>
      <c r="F223" s="92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</row>
    <row r="224">
      <c r="A224" s="91"/>
      <c r="B224" s="57"/>
      <c r="C224" s="57"/>
      <c r="D224" s="92"/>
      <c r="E224" s="92"/>
      <c r="F224" s="92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</row>
    <row r="225">
      <c r="A225" s="91"/>
      <c r="B225" s="57"/>
      <c r="C225" s="57"/>
      <c r="D225" s="92"/>
      <c r="E225" s="92"/>
      <c r="F225" s="92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</row>
    <row r="226">
      <c r="A226" s="91"/>
      <c r="B226" s="57"/>
      <c r="C226" s="57"/>
      <c r="D226" s="92"/>
      <c r="E226" s="92"/>
      <c r="F226" s="92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</row>
    <row r="227">
      <c r="A227" s="91"/>
      <c r="B227" s="57"/>
      <c r="C227" s="57"/>
      <c r="D227" s="92"/>
      <c r="E227" s="92"/>
      <c r="F227" s="92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</row>
    <row r="228">
      <c r="A228" s="91"/>
      <c r="B228" s="57"/>
      <c r="C228" s="57"/>
      <c r="D228" s="92"/>
      <c r="E228" s="92"/>
      <c r="F228" s="92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</row>
    <row r="229">
      <c r="A229" s="91"/>
      <c r="B229" s="57"/>
      <c r="C229" s="57"/>
      <c r="D229" s="92"/>
      <c r="E229" s="92"/>
      <c r="F229" s="92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</row>
    <row r="230">
      <c r="A230" s="91"/>
      <c r="B230" s="57"/>
      <c r="C230" s="57"/>
      <c r="D230" s="92"/>
      <c r="E230" s="92"/>
      <c r="F230" s="92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</row>
    <row r="231">
      <c r="A231" s="91"/>
      <c r="B231" s="57"/>
      <c r="C231" s="57"/>
      <c r="D231" s="92"/>
      <c r="E231" s="92"/>
      <c r="F231" s="92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</row>
    <row r="232">
      <c r="A232" s="91"/>
      <c r="B232" s="57"/>
      <c r="C232" s="57"/>
      <c r="D232" s="92"/>
      <c r="E232" s="92"/>
      <c r="F232" s="92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</row>
    <row r="233">
      <c r="A233" s="91"/>
      <c r="B233" s="57"/>
      <c r="C233" s="57"/>
      <c r="D233" s="92"/>
      <c r="E233" s="92"/>
      <c r="F233" s="92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</row>
    <row r="234">
      <c r="A234" s="91"/>
      <c r="B234" s="57"/>
      <c r="C234" s="57"/>
      <c r="D234" s="92"/>
      <c r="E234" s="92"/>
      <c r="F234" s="92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</row>
    <row r="235">
      <c r="A235" s="91"/>
      <c r="B235" s="57"/>
      <c r="C235" s="57"/>
      <c r="D235" s="92"/>
      <c r="E235" s="92"/>
      <c r="F235" s="92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</row>
    <row r="236">
      <c r="A236" s="91"/>
      <c r="B236" s="57"/>
      <c r="C236" s="57"/>
      <c r="D236" s="92"/>
      <c r="E236" s="92"/>
      <c r="F236" s="92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</row>
    <row r="237">
      <c r="A237" s="91"/>
      <c r="B237" s="57"/>
      <c r="C237" s="57"/>
      <c r="D237" s="92"/>
      <c r="E237" s="92"/>
      <c r="F237" s="92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</row>
    <row r="238">
      <c r="A238" s="91"/>
      <c r="B238" s="57"/>
      <c r="C238" s="57"/>
      <c r="D238" s="92"/>
      <c r="E238" s="92"/>
      <c r="F238" s="92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</row>
    <row r="239">
      <c r="A239" s="91"/>
      <c r="B239" s="57"/>
      <c r="C239" s="57"/>
      <c r="D239" s="92"/>
      <c r="E239" s="92"/>
      <c r="F239" s="92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</row>
    <row r="240">
      <c r="A240" s="91"/>
      <c r="B240" s="57"/>
      <c r="C240" s="57"/>
      <c r="D240" s="92"/>
      <c r="E240" s="92"/>
      <c r="F240" s="92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</row>
    <row r="241">
      <c r="A241" s="91"/>
      <c r="B241" s="57"/>
      <c r="C241" s="57"/>
      <c r="D241" s="92"/>
      <c r="E241" s="92"/>
      <c r="F241" s="92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</row>
    <row r="242">
      <c r="A242" s="91"/>
      <c r="B242" s="57"/>
      <c r="C242" s="57"/>
      <c r="D242" s="92"/>
      <c r="E242" s="92"/>
      <c r="F242" s="92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</row>
    <row r="243">
      <c r="A243" s="91"/>
      <c r="B243" s="57"/>
      <c r="C243" s="57"/>
      <c r="D243" s="92"/>
      <c r="E243" s="92"/>
      <c r="F243" s="92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</row>
    <row r="244">
      <c r="A244" s="91"/>
      <c r="B244" s="57"/>
      <c r="C244" s="57"/>
      <c r="D244" s="92"/>
      <c r="E244" s="92"/>
      <c r="F244" s="92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</row>
    <row r="245">
      <c r="A245" s="91"/>
      <c r="B245" s="57"/>
      <c r="C245" s="57"/>
      <c r="D245" s="92"/>
      <c r="E245" s="92"/>
      <c r="F245" s="92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</row>
    <row r="246">
      <c r="A246" s="91"/>
      <c r="B246" s="57"/>
      <c r="C246" s="57"/>
      <c r="D246" s="92"/>
      <c r="E246" s="92"/>
      <c r="F246" s="92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</row>
    <row r="247">
      <c r="A247" s="91"/>
      <c r="B247" s="57"/>
      <c r="C247" s="57"/>
      <c r="D247" s="92"/>
      <c r="E247" s="92"/>
      <c r="F247" s="92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</row>
    <row r="248">
      <c r="A248" s="91"/>
      <c r="B248" s="57"/>
      <c r="C248" s="57"/>
      <c r="D248" s="92"/>
      <c r="E248" s="92"/>
      <c r="F248" s="92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</row>
    <row r="249">
      <c r="A249" s="91"/>
      <c r="B249" s="57"/>
      <c r="C249" s="57"/>
      <c r="D249" s="92"/>
      <c r="E249" s="92"/>
      <c r="F249" s="92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</row>
    <row r="250">
      <c r="A250" s="91"/>
      <c r="B250" s="57"/>
      <c r="C250" s="57"/>
      <c r="D250" s="92"/>
      <c r="E250" s="92"/>
      <c r="F250" s="92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</row>
    <row r="251">
      <c r="A251" s="91"/>
      <c r="B251" s="57"/>
      <c r="C251" s="57"/>
      <c r="D251" s="92"/>
      <c r="E251" s="92"/>
      <c r="F251" s="92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</row>
    <row r="252">
      <c r="A252" s="91"/>
      <c r="B252" s="57"/>
      <c r="C252" s="57"/>
      <c r="D252" s="92"/>
      <c r="E252" s="92"/>
      <c r="F252" s="92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</row>
    <row r="253">
      <c r="A253" s="91"/>
      <c r="B253" s="57"/>
      <c r="C253" s="57"/>
      <c r="D253" s="92"/>
      <c r="E253" s="92"/>
      <c r="F253" s="92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</row>
    <row r="254">
      <c r="A254" s="91"/>
      <c r="B254" s="57"/>
      <c r="C254" s="57"/>
      <c r="D254" s="92"/>
      <c r="E254" s="92"/>
      <c r="F254" s="92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</row>
    <row r="255">
      <c r="A255" s="91"/>
      <c r="B255" s="57"/>
      <c r="C255" s="57"/>
      <c r="D255" s="92"/>
      <c r="E255" s="92"/>
      <c r="F255" s="92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</row>
    <row r="256">
      <c r="A256" s="91"/>
      <c r="B256" s="57"/>
      <c r="C256" s="57"/>
      <c r="D256" s="92"/>
      <c r="E256" s="92"/>
      <c r="F256" s="92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</row>
    <row r="257">
      <c r="A257" s="91"/>
      <c r="B257" s="57"/>
      <c r="C257" s="57"/>
      <c r="D257" s="92"/>
      <c r="E257" s="92"/>
      <c r="F257" s="92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</row>
    <row r="258">
      <c r="A258" s="91"/>
      <c r="B258" s="57"/>
      <c r="C258" s="57"/>
      <c r="D258" s="92"/>
      <c r="E258" s="92"/>
      <c r="F258" s="92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</row>
    <row r="259">
      <c r="A259" s="91"/>
      <c r="B259" s="57"/>
      <c r="C259" s="57"/>
      <c r="D259" s="92"/>
      <c r="E259" s="92"/>
      <c r="F259" s="92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</row>
    <row r="260">
      <c r="A260" s="91"/>
      <c r="B260" s="57"/>
      <c r="C260" s="57"/>
      <c r="D260" s="92"/>
      <c r="E260" s="92"/>
      <c r="F260" s="92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</row>
    <row r="261">
      <c r="A261" s="91"/>
      <c r="B261" s="57"/>
      <c r="C261" s="57"/>
      <c r="D261" s="92"/>
      <c r="E261" s="92"/>
      <c r="F261" s="92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</row>
    <row r="262">
      <c r="A262" s="91"/>
      <c r="B262" s="57"/>
      <c r="C262" s="57"/>
      <c r="D262" s="92"/>
      <c r="E262" s="92"/>
      <c r="F262" s="92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</row>
    <row r="263">
      <c r="A263" s="91"/>
      <c r="B263" s="57"/>
      <c r="C263" s="57"/>
      <c r="D263" s="92"/>
      <c r="E263" s="92"/>
      <c r="F263" s="92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</row>
    <row r="264">
      <c r="A264" s="91"/>
      <c r="B264" s="57"/>
      <c r="C264" s="57"/>
      <c r="D264" s="92"/>
      <c r="E264" s="92"/>
      <c r="F264" s="92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</row>
    <row r="265">
      <c r="A265" s="91"/>
      <c r="B265" s="57"/>
      <c r="C265" s="57"/>
      <c r="D265" s="92"/>
      <c r="E265" s="92"/>
      <c r="F265" s="92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</row>
    <row r="266">
      <c r="A266" s="91"/>
      <c r="B266" s="57"/>
      <c r="C266" s="57"/>
      <c r="D266" s="92"/>
      <c r="E266" s="92"/>
      <c r="F266" s="92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</row>
    <row r="267">
      <c r="A267" s="91"/>
      <c r="B267" s="57"/>
      <c r="C267" s="57"/>
      <c r="D267" s="92"/>
      <c r="E267" s="92"/>
      <c r="F267" s="92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</row>
    <row r="268">
      <c r="A268" s="91"/>
      <c r="B268" s="57"/>
      <c r="C268" s="57"/>
      <c r="D268" s="92"/>
      <c r="E268" s="92"/>
      <c r="F268" s="92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</row>
    <row r="269">
      <c r="A269" s="91"/>
      <c r="B269" s="57"/>
      <c r="C269" s="57"/>
      <c r="D269" s="92"/>
      <c r="E269" s="92"/>
      <c r="F269" s="92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</row>
    <row r="270">
      <c r="A270" s="91"/>
      <c r="B270" s="57"/>
      <c r="C270" s="57"/>
      <c r="D270" s="92"/>
      <c r="E270" s="92"/>
      <c r="F270" s="92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</row>
    <row r="271">
      <c r="A271" s="91"/>
      <c r="B271" s="57"/>
      <c r="C271" s="57"/>
      <c r="D271" s="92"/>
      <c r="E271" s="92"/>
      <c r="F271" s="92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</row>
    <row r="272">
      <c r="A272" s="91"/>
      <c r="B272" s="57"/>
      <c r="C272" s="57"/>
      <c r="D272" s="92"/>
      <c r="E272" s="92"/>
      <c r="F272" s="92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</row>
    <row r="273">
      <c r="A273" s="91"/>
      <c r="B273" s="57"/>
      <c r="C273" s="57"/>
      <c r="D273" s="92"/>
      <c r="E273" s="92"/>
      <c r="F273" s="92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</row>
    <row r="274">
      <c r="A274" s="91"/>
      <c r="B274" s="57"/>
      <c r="C274" s="57"/>
      <c r="D274" s="92"/>
      <c r="E274" s="92"/>
      <c r="F274" s="92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</row>
    <row r="275">
      <c r="A275" s="91"/>
      <c r="B275" s="57"/>
      <c r="C275" s="57"/>
      <c r="D275" s="92"/>
      <c r="E275" s="92"/>
      <c r="F275" s="92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</row>
    <row r="276">
      <c r="A276" s="91"/>
      <c r="B276" s="57"/>
      <c r="C276" s="57"/>
      <c r="D276" s="92"/>
      <c r="E276" s="92"/>
      <c r="F276" s="92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</row>
    <row r="277">
      <c r="A277" s="91"/>
      <c r="B277" s="57"/>
      <c r="C277" s="57"/>
      <c r="D277" s="92"/>
      <c r="E277" s="92"/>
      <c r="F277" s="92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</row>
    <row r="278">
      <c r="A278" s="91"/>
      <c r="B278" s="57"/>
      <c r="C278" s="57"/>
      <c r="D278" s="92"/>
      <c r="E278" s="92"/>
      <c r="F278" s="92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</row>
    <row r="279">
      <c r="A279" s="91"/>
      <c r="B279" s="57"/>
      <c r="C279" s="57"/>
      <c r="D279" s="92"/>
      <c r="E279" s="92"/>
      <c r="F279" s="92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</row>
    <row r="280">
      <c r="A280" s="91"/>
      <c r="B280" s="57"/>
      <c r="C280" s="57"/>
      <c r="D280" s="92"/>
      <c r="E280" s="92"/>
      <c r="F280" s="92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</row>
    <row r="281">
      <c r="A281" s="91"/>
      <c r="B281" s="57"/>
      <c r="C281" s="57"/>
      <c r="D281" s="92"/>
      <c r="E281" s="92"/>
      <c r="F281" s="92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</row>
    <row r="282">
      <c r="A282" s="91"/>
      <c r="B282" s="57"/>
      <c r="C282" s="57"/>
      <c r="D282" s="92"/>
      <c r="E282" s="92"/>
      <c r="F282" s="92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</row>
    <row r="283">
      <c r="A283" s="91"/>
      <c r="B283" s="57"/>
      <c r="C283" s="57"/>
      <c r="D283" s="92"/>
      <c r="E283" s="92"/>
      <c r="F283" s="92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</row>
    <row r="284">
      <c r="A284" s="91"/>
      <c r="B284" s="57"/>
      <c r="C284" s="57"/>
      <c r="D284" s="92"/>
      <c r="E284" s="92"/>
      <c r="F284" s="92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</row>
    <row r="285">
      <c r="A285" s="91"/>
      <c r="B285" s="57"/>
      <c r="C285" s="57"/>
      <c r="D285" s="92"/>
      <c r="E285" s="92"/>
      <c r="F285" s="92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</row>
    <row r="286">
      <c r="A286" s="91"/>
      <c r="B286" s="57"/>
      <c r="C286" s="57"/>
      <c r="D286" s="92"/>
      <c r="E286" s="92"/>
      <c r="F286" s="92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</row>
    <row r="287">
      <c r="A287" s="91"/>
      <c r="B287" s="57"/>
      <c r="C287" s="57"/>
      <c r="D287" s="92"/>
      <c r="E287" s="92"/>
      <c r="F287" s="92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</row>
    <row r="288">
      <c r="A288" s="91"/>
      <c r="B288" s="57"/>
      <c r="C288" s="57"/>
      <c r="D288" s="92"/>
      <c r="E288" s="92"/>
      <c r="F288" s="92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</row>
    <row r="289">
      <c r="A289" s="91"/>
      <c r="B289" s="57"/>
      <c r="C289" s="57"/>
      <c r="D289" s="92"/>
      <c r="E289" s="92"/>
      <c r="F289" s="92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</row>
    <row r="290">
      <c r="A290" s="91"/>
      <c r="B290" s="57"/>
      <c r="C290" s="57"/>
      <c r="D290" s="92"/>
      <c r="E290" s="92"/>
      <c r="F290" s="92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</row>
    <row r="291">
      <c r="A291" s="91"/>
      <c r="B291" s="57"/>
      <c r="C291" s="57"/>
      <c r="D291" s="92"/>
      <c r="E291" s="92"/>
      <c r="F291" s="92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</row>
    <row r="292">
      <c r="A292" s="91"/>
      <c r="B292" s="57"/>
      <c r="C292" s="57"/>
      <c r="D292" s="92"/>
      <c r="E292" s="92"/>
      <c r="F292" s="92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</row>
    <row r="293">
      <c r="A293" s="91"/>
      <c r="B293" s="57"/>
      <c r="C293" s="57"/>
      <c r="D293" s="92"/>
      <c r="E293" s="92"/>
      <c r="F293" s="92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</row>
    <row r="294">
      <c r="A294" s="91"/>
      <c r="B294" s="57"/>
      <c r="C294" s="57"/>
      <c r="D294" s="92"/>
      <c r="E294" s="92"/>
      <c r="F294" s="92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</row>
    <row r="295">
      <c r="A295" s="91"/>
      <c r="B295" s="57"/>
      <c r="C295" s="57"/>
      <c r="D295" s="92"/>
      <c r="E295" s="92"/>
      <c r="F295" s="92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</row>
    <row r="296">
      <c r="A296" s="91"/>
      <c r="B296" s="57"/>
      <c r="C296" s="57"/>
      <c r="D296" s="92"/>
      <c r="E296" s="92"/>
      <c r="F296" s="92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</row>
    <row r="297">
      <c r="A297" s="91"/>
      <c r="B297" s="57"/>
      <c r="C297" s="57"/>
      <c r="D297" s="92"/>
      <c r="E297" s="92"/>
      <c r="F297" s="92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</row>
    <row r="298">
      <c r="A298" s="91"/>
      <c r="B298" s="57"/>
      <c r="C298" s="57"/>
      <c r="D298" s="92"/>
      <c r="E298" s="92"/>
      <c r="F298" s="92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</row>
    <row r="299">
      <c r="A299" s="91"/>
      <c r="B299" s="57"/>
      <c r="C299" s="57"/>
      <c r="D299" s="92"/>
      <c r="E299" s="92"/>
      <c r="F299" s="92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</row>
    <row r="300">
      <c r="A300" s="91"/>
      <c r="B300" s="57"/>
      <c r="C300" s="57"/>
      <c r="D300" s="92"/>
      <c r="E300" s="92"/>
      <c r="F300" s="92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</row>
    <row r="301">
      <c r="A301" s="91"/>
      <c r="B301" s="57"/>
      <c r="C301" s="57"/>
      <c r="D301" s="92"/>
      <c r="E301" s="92"/>
      <c r="F301" s="92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</row>
    <row r="302">
      <c r="A302" s="91"/>
      <c r="B302" s="57"/>
      <c r="C302" s="57"/>
      <c r="D302" s="92"/>
      <c r="E302" s="92"/>
      <c r="F302" s="92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</row>
    <row r="303">
      <c r="A303" s="91"/>
      <c r="B303" s="57"/>
      <c r="C303" s="57"/>
      <c r="D303" s="92"/>
      <c r="E303" s="92"/>
      <c r="F303" s="92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</row>
    <row r="304">
      <c r="A304" s="91"/>
      <c r="B304" s="57"/>
      <c r="C304" s="57"/>
      <c r="D304" s="92"/>
      <c r="E304" s="92"/>
      <c r="F304" s="92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</row>
    <row r="305">
      <c r="A305" s="91"/>
      <c r="B305" s="57"/>
      <c r="C305" s="57"/>
      <c r="D305" s="92"/>
      <c r="E305" s="92"/>
      <c r="F305" s="92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</row>
    <row r="306">
      <c r="A306" s="91"/>
      <c r="B306" s="57"/>
      <c r="C306" s="57"/>
      <c r="D306" s="92"/>
      <c r="E306" s="92"/>
      <c r="F306" s="92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</row>
    <row r="307">
      <c r="A307" s="91"/>
      <c r="B307" s="57"/>
      <c r="C307" s="57"/>
      <c r="D307" s="92"/>
      <c r="E307" s="92"/>
      <c r="F307" s="92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</row>
    <row r="308">
      <c r="A308" s="91"/>
      <c r="B308" s="57"/>
      <c r="C308" s="57"/>
      <c r="D308" s="92"/>
      <c r="E308" s="92"/>
      <c r="F308" s="92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</row>
    <row r="309">
      <c r="A309" s="91"/>
      <c r="B309" s="57"/>
      <c r="C309" s="57"/>
      <c r="D309" s="92"/>
      <c r="E309" s="92"/>
      <c r="F309" s="92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</row>
    <row r="310">
      <c r="A310" s="91"/>
      <c r="B310" s="57"/>
      <c r="C310" s="57"/>
      <c r="D310" s="92"/>
      <c r="E310" s="92"/>
      <c r="F310" s="92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</row>
    <row r="311">
      <c r="A311" s="91"/>
      <c r="B311" s="57"/>
      <c r="C311" s="57"/>
      <c r="D311" s="92"/>
      <c r="E311" s="92"/>
      <c r="F311" s="92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</row>
    <row r="312">
      <c r="A312" s="91"/>
      <c r="B312" s="57"/>
      <c r="C312" s="57"/>
      <c r="D312" s="92"/>
      <c r="E312" s="92"/>
      <c r="F312" s="92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</row>
    <row r="313">
      <c r="A313" s="91"/>
      <c r="B313" s="57"/>
      <c r="C313" s="57"/>
      <c r="D313" s="92"/>
      <c r="E313" s="92"/>
      <c r="F313" s="92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</row>
    <row r="314">
      <c r="A314" s="91"/>
      <c r="B314" s="57"/>
      <c r="C314" s="57"/>
      <c r="D314" s="92"/>
      <c r="E314" s="92"/>
      <c r="F314" s="92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</row>
    <row r="315">
      <c r="A315" s="91"/>
      <c r="B315" s="57"/>
      <c r="C315" s="57"/>
      <c r="D315" s="92"/>
      <c r="E315" s="92"/>
      <c r="F315" s="92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</row>
    <row r="316">
      <c r="A316" s="91"/>
      <c r="B316" s="57"/>
      <c r="C316" s="57"/>
      <c r="D316" s="92"/>
      <c r="E316" s="92"/>
      <c r="F316" s="92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</row>
    <row r="317">
      <c r="A317" s="91"/>
      <c r="B317" s="57"/>
      <c r="C317" s="57"/>
      <c r="D317" s="92"/>
      <c r="E317" s="92"/>
      <c r="F317" s="92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</row>
    <row r="318">
      <c r="A318" s="91"/>
      <c r="B318" s="57"/>
      <c r="C318" s="57"/>
      <c r="D318" s="92"/>
      <c r="E318" s="92"/>
      <c r="F318" s="92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</row>
    <row r="319">
      <c r="A319" s="91"/>
      <c r="B319" s="57"/>
      <c r="C319" s="57"/>
      <c r="D319" s="92"/>
      <c r="E319" s="92"/>
      <c r="F319" s="92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</row>
    <row r="320">
      <c r="A320" s="91"/>
      <c r="B320" s="57"/>
      <c r="C320" s="57"/>
      <c r="D320" s="92"/>
      <c r="E320" s="92"/>
      <c r="F320" s="92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</row>
    <row r="321">
      <c r="A321" s="91"/>
      <c r="B321" s="57"/>
      <c r="C321" s="57"/>
      <c r="D321" s="92"/>
      <c r="E321" s="92"/>
      <c r="F321" s="92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</row>
    <row r="322">
      <c r="A322" s="91"/>
      <c r="B322" s="57"/>
      <c r="C322" s="57"/>
      <c r="D322" s="92"/>
      <c r="E322" s="92"/>
      <c r="F322" s="92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</row>
    <row r="323">
      <c r="A323" s="91"/>
      <c r="B323" s="57"/>
      <c r="C323" s="57"/>
      <c r="D323" s="92"/>
      <c r="E323" s="92"/>
      <c r="F323" s="92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</row>
    <row r="324">
      <c r="A324" s="91"/>
      <c r="B324" s="57"/>
      <c r="C324" s="57"/>
      <c r="D324" s="92"/>
      <c r="E324" s="92"/>
      <c r="F324" s="92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</row>
    <row r="325">
      <c r="A325" s="91"/>
      <c r="B325" s="57"/>
      <c r="C325" s="57"/>
      <c r="D325" s="92"/>
      <c r="E325" s="92"/>
      <c r="F325" s="92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</row>
    <row r="326">
      <c r="A326" s="91"/>
      <c r="B326" s="57"/>
      <c r="C326" s="57"/>
      <c r="D326" s="92"/>
      <c r="E326" s="92"/>
      <c r="F326" s="92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</row>
    <row r="327">
      <c r="A327" s="91"/>
      <c r="B327" s="57"/>
      <c r="C327" s="57"/>
      <c r="D327" s="92"/>
      <c r="E327" s="92"/>
      <c r="F327" s="92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</row>
    <row r="328">
      <c r="A328" s="91"/>
      <c r="B328" s="57"/>
      <c r="C328" s="57"/>
      <c r="D328" s="92"/>
      <c r="E328" s="92"/>
      <c r="F328" s="92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</row>
    <row r="329">
      <c r="A329" s="91"/>
      <c r="B329" s="57"/>
      <c r="C329" s="57"/>
      <c r="D329" s="92"/>
      <c r="E329" s="92"/>
      <c r="F329" s="92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</row>
    <row r="330">
      <c r="A330" s="91"/>
      <c r="B330" s="57"/>
      <c r="C330" s="57"/>
      <c r="D330" s="92"/>
      <c r="E330" s="92"/>
      <c r="F330" s="92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</row>
    <row r="331">
      <c r="A331" s="91"/>
      <c r="B331" s="57"/>
      <c r="C331" s="57"/>
      <c r="D331" s="92"/>
      <c r="E331" s="92"/>
      <c r="F331" s="92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</row>
    <row r="332">
      <c r="A332" s="91"/>
      <c r="B332" s="57"/>
      <c r="C332" s="57"/>
      <c r="D332" s="92"/>
      <c r="E332" s="92"/>
      <c r="F332" s="92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</row>
    <row r="333">
      <c r="A333" s="91"/>
      <c r="B333" s="57"/>
      <c r="C333" s="57"/>
      <c r="D333" s="92"/>
      <c r="E333" s="92"/>
      <c r="F333" s="92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</row>
    <row r="334">
      <c r="A334" s="91"/>
      <c r="B334" s="57"/>
      <c r="C334" s="57"/>
      <c r="D334" s="92"/>
      <c r="E334" s="92"/>
      <c r="F334" s="92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</row>
    <row r="335">
      <c r="A335" s="91"/>
      <c r="B335" s="57"/>
      <c r="C335" s="57"/>
      <c r="D335" s="92"/>
      <c r="E335" s="92"/>
      <c r="F335" s="92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</row>
    <row r="336">
      <c r="A336" s="91"/>
      <c r="B336" s="57"/>
      <c r="C336" s="57"/>
      <c r="D336" s="92"/>
      <c r="E336" s="92"/>
      <c r="F336" s="92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</row>
    <row r="337">
      <c r="A337" s="91"/>
      <c r="B337" s="57"/>
      <c r="C337" s="57"/>
      <c r="D337" s="92"/>
      <c r="E337" s="92"/>
      <c r="F337" s="92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</row>
    <row r="338">
      <c r="A338" s="91"/>
      <c r="B338" s="57"/>
      <c r="C338" s="57"/>
      <c r="D338" s="92"/>
      <c r="E338" s="92"/>
      <c r="F338" s="92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</row>
    <row r="339">
      <c r="A339" s="91"/>
      <c r="B339" s="57"/>
      <c r="C339" s="57"/>
      <c r="D339" s="92"/>
      <c r="E339" s="92"/>
      <c r="F339" s="92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</row>
    <row r="340">
      <c r="A340" s="91"/>
      <c r="B340" s="57"/>
      <c r="C340" s="57"/>
      <c r="D340" s="92"/>
      <c r="E340" s="92"/>
      <c r="F340" s="92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</row>
    <row r="341">
      <c r="A341" s="91"/>
      <c r="B341" s="57"/>
      <c r="C341" s="57"/>
      <c r="D341" s="92"/>
      <c r="E341" s="92"/>
      <c r="F341" s="92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</row>
    <row r="342">
      <c r="A342" s="91"/>
      <c r="B342" s="57"/>
      <c r="C342" s="57"/>
      <c r="D342" s="92"/>
      <c r="E342" s="92"/>
      <c r="F342" s="92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</row>
    <row r="343">
      <c r="A343" s="91"/>
      <c r="B343" s="57"/>
      <c r="C343" s="57"/>
      <c r="D343" s="92"/>
      <c r="E343" s="92"/>
      <c r="F343" s="92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</row>
    <row r="344">
      <c r="A344" s="91"/>
      <c r="B344" s="57"/>
      <c r="C344" s="57"/>
      <c r="D344" s="92"/>
      <c r="E344" s="92"/>
      <c r="F344" s="92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</row>
    <row r="345">
      <c r="A345" s="91"/>
      <c r="B345" s="57"/>
      <c r="C345" s="57"/>
      <c r="D345" s="92"/>
      <c r="E345" s="92"/>
      <c r="F345" s="92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</row>
    <row r="346">
      <c r="A346" s="91"/>
      <c r="B346" s="57"/>
      <c r="C346" s="57"/>
      <c r="D346" s="92"/>
      <c r="E346" s="92"/>
      <c r="F346" s="92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</row>
    <row r="347">
      <c r="A347" s="91"/>
      <c r="B347" s="57"/>
      <c r="C347" s="57"/>
      <c r="D347" s="92"/>
      <c r="E347" s="92"/>
      <c r="F347" s="92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</row>
    <row r="348">
      <c r="A348" s="91"/>
      <c r="B348" s="57"/>
      <c r="C348" s="57"/>
      <c r="D348" s="92"/>
      <c r="E348" s="92"/>
      <c r="F348" s="92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</row>
    <row r="349">
      <c r="A349" s="91"/>
      <c r="B349" s="57"/>
      <c r="C349" s="57"/>
      <c r="D349" s="92"/>
      <c r="E349" s="92"/>
      <c r="F349" s="92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</row>
    <row r="350">
      <c r="A350" s="91"/>
      <c r="B350" s="57"/>
      <c r="C350" s="57"/>
      <c r="D350" s="92"/>
      <c r="E350" s="92"/>
      <c r="F350" s="92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</row>
    <row r="351">
      <c r="A351" s="91"/>
      <c r="B351" s="57"/>
      <c r="C351" s="57"/>
      <c r="D351" s="92"/>
      <c r="E351" s="92"/>
      <c r="F351" s="92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</row>
    <row r="352">
      <c r="A352" s="91"/>
      <c r="B352" s="57"/>
      <c r="C352" s="57"/>
      <c r="D352" s="92"/>
      <c r="E352" s="92"/>
      <c r="F352" s="92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</row>
    <row r="353">
      <c r="A353" s="91"/>
      <c r="B353" s="57"/>
      <c r="C353" s="57"/>
      <c r="D353" s="92"/>
      <c r="E353" s="92"/>
      <c r="F353" s="92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</row>
    <row r="354">
      <c r="A354" s="91"/>
      <c r="B354" s="57"/>
      <c r="C354" s="57"/>
      <c r="D354" s="92"/>
      <c r="E354" s="92"/>
      <c r="F354" s="92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</row>
    <row r="355">
      <c r="A355" s="91"/>
      <c r="B355" s="57"/>
      <c r="C355" s="57"/>
      <c r="D355" s="92"/>
      <c r="E355" s="92"/>
      <c r="F355" s="92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</row>
    <row r="356">
      <c r="A356" s="91"/>
      <c r="B356" s="57"/>
      <c r="C356" s="57"/>
      <c r="D356" s="92"/>
      <c r="E356" s="92"/>
      <c r="F356" s="92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</row>
    <row r="357">
      <c r="A357" s="91"/>
      <c r="B357" s="57"/>
      <c r="C357" s="57"/>
      <c r="D357" s="92"/>
      <c r="E357" s="92"/>
      <c r="F357" s="92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</row>
    <row r="358">
      <c r="A358" s="91"/>
      <c r="B358" s="57"/>
      <c r="C358" s="57"/>
      <c r="D358" s="92"/>
      <c r="E358" s="92"/>
      <c r="F358" s="92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</row>
    <row r="359">
      <c r="A359" s="91"/>
      <c r="B359" s="57"/>
      <c r="C359" s="57"/>
      <c r="D359" s="92"/>
      <c r="E359" s="92"/>
      <c r="F359" s="92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</row>
    <row r="360">
      <c r="A360" s="91"/>
      <c r="B360" s="57"/>
      <c r="C360" s="57"/>
      <c r="D360" s="92"/>
      <c r="E360" s="92"/>
      <c r="F360" s="92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</row>
    <row r="361">
      <c r="A361" s="91"/>
      <c r="B361" s="57"/>
      <c r="C361" s="57"/>
      <c r="D361" s="92"/>
      <c r="E361" s="92"/>
      <c r="F361" s="92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</row>
    <row r="362">
      <c r="A362" s="91"/>
      <c r="B362" s="57"/>
      <c r="C362" s="57"/>
      <c r="D362" s="92"/>
      <c r="E362" s="92"/>
      <c r="F362" s="92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</row>
    <row r="363">
      <c r="A363" s="91"/>
      <c r="B363" s="57"/>
      <c r="C363" s="57"/>
      <c r="D363" s="92"/>
      <c r="E363" s="92"/>
      <c r="F363" s="92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</row>
    <row r="364">
      <c r="A364" s="91"/>
      <c r="B364" s="57"/>
      <c r="C364" s="57"/>
      <c r="D364" s="92"/>
      <c r="E364" s="92"/>
      <c r="F364" s="92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</row>
    <row r="365">
      <c r="A365" s="91"/>
      <c r="B365" s="57"/>
      <c r="C365" s="57"/>
      <c r="D365" s="92"/>
      <c r="E365" s="92"/>
      <c r="F365" s="92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</row>
    <row r="366">
      <c r="A366" s="91"/>
      <c r="B366" s="57"/>
      <c r="C366" s="57"/>
      <c r="D366" s="92"/>
      <c r="E366" s="92"/>
      <c r="F366" s="92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</row>
    <row r="367">
      <c r="A367" s="91"/>
      <c r="B367" s="57"/>
      <c r="C367" s="57"/>
      <c r="D367" s="92"/>
      <c r="E367" s="92"/>
      <c r="F367" s="92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</row>
    <row r="368">
      <c r="A368" s="91"/>
      <c r="B368" s="57"/>
      <c r="C368" s="57"/>
      <c r="D368" s="92"/>
      <c r="E368" s="92"/>
      <c r="F368" s="92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</row>
    <row r="369">
      <c r="A369" s="91"/>
      <c r="B369" s="57"/>
      <c r="C369" s="57"/>
      <c r="D369" s="92"/>
      <c r="E369" s="92"/>
      <c r="F369" s="92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</row>
    <row r="370">
      <c r="A370" s="91"/>
      <c r="B370" s="57"/>
      <c r="C370" s="57"/>
      <c r="D370" s="92"/>
      <c r="E370" s="92"/>
      <c r="F370" s="92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</row>
    <row r="371">
      <c r="A371" s="91"/>
      <c r="B371" s="57"/>
      <c r="C371" s="57"/>
      <c r="D371" s="92"/>
      <c r="E371" s="92"/>
      <c r="F371" s="92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</row>
    <row r="372">
      <c r="A372" s="91"/>
      <c r="B372" s="57"/>
      <c r="C372" s="57"/>
      <c r="D372" s="92"/>
      <c r="E372" s="92"/>
      <c r="F372" s="92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</row>
    <row r="373">
      <c r="A373" s="91"/>
      <c r="B373" s="57"/>
      <c r="C373" s="57"/>
      <c r="D373" s="92"/>
      <c r="E373" s="92"/>
      <c r="F373" s="92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</row>
    <row r="374">
      <c r="A374" s="91"/>
      <c r="B374" s="57"/>
      <c r="C374" s="57"/>
      <c r="D374" s="92"/>
      <c r="E374" s="92"/>
      <c r="F374" s="92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</row>
    <row r="375">
      <c r="A375" s="91"/>
      <c r="B375" s="57"/>
      <c r="C375" s="57"/>
      <c r="D375" s="92"/>
      <c r="E375" s="92"/>
      <c r="F375" s="92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</row>
    <row r="376">
      <c r="A376" s="91"/>
      <c r="B376" s="57"/>
      <c r="C376" s="57"/>
      <c r="D376" s="92"/>
      <c r="E376" s="92"/>
      <c r="F376" s="92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</row>
    <row r="377">
      <c r="A377" s="91"/>
      <c r="B377" s="57"/>
      <c r="C377" s="57"/>
      <c r="D377" s="92"/>
      <c r="E377" s="92"/>
      <c r="F377" s="92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</row>
    <row r="378">
      <c r="A378" s="91"/>
      <c r="B378" s="57"/>
      <c r="C378" s="57"/>
      <c r="D378" s="92"/>
      <c r="E378" s="92"/>
      <c r="F378" s="92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</row>
    <row r="379">
      <c r="A379" s="91"/>
      <c r="B379" s="57"/>
      <c r="C379" s="57"/>
      <c r="D379" s="92"/>
      <c r="E379" s="92"/>
      <c r="F379" s="92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</row>
    <row r="380">
      <c r="A380" s="91"/>
      <c r="B380" s="57"/>
      <c r="C380" s="57"/>
      <c r="D380" s="92"/>
      <c r="E380" s="92"/>
      <c r="F380" s="92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</row>
    <row r="381">
      <c r="A381" s="91"/>
      <c r="B381" s="57"/>
      <c r="C381" s="57"/>
      <c r="D381" s="92"/>
      <c r="E381" s="92"/>
      <c r="F381" s="92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</row>
    <row r="382">
      <c r="A382" s="91"/>
      <c r="B382" s="57"/>
      <c r="C382" s="57"/>
      <c r="D382" s="92"/>
      <c r="E382" s="92"/>
      <c r="F382" s="92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</row>
    <row r="383">
      <c r="A383" s="91"/>
      <c r="B383" s="57"/>
      <c r="C383" s="57"/>
      <c r="D383" s="92"/>
      <c r="E383" s="92"/>
      <c r="F383" s="92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</row>
    <row r="384">
      <c r="A384" s="91"/>
      <c r="B384" s="57"/>
      <c r="C384" s="57"/>
      <c r="D384" s="92"/>
      <c r="E384" s="92"/>
      <c r="F384" s="92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</row>
    <row r="385">
      <c r="A385" s="91"/>
      <c r="B385" s="57"/>
      <c r="C385" s="57"/>
      <c r="D385" s="92"/>
      <c r="E385" s="92"/>
      <c r="F385" s="92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</row>
    <row r="386">
      <c r="A386" s="91"/>
      <c r="B386" s="57"/>
      <c r="C386" s="57"/>
      <c r="D386" s="92"/>
      <c r="E386" s="92"/>
      <c r="F386" s="92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</row>
    <row r="387">
      <c r="A387" s="91"/>
      <c r="B387" s="57"/>
      <c r="C387" s="57"/>
      <c r="D387" s="92"/>
      <c r="E387" s="92"/>
      <c r="F387" s="92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</row>
    <row r="388">
      <c r="A388" s="91"/>
      <c r="B388" s="57"/>
      <c r="C388" s="57"/>
      <c r="D388" s="92"/>
      <c r="E388" s="92"/>
      <c r="F388" s="92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</row>
    <row r="389">
      <c r="A389" s="91"/>
      <c r="B389" s="57"/>
      <c r="C389" s="57"/>
      <c r="D389" s="92"/>
      <c r="E389" s="92"/>
      <c r="F389" s="92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</row>
    <row r="390">
      <c r="A390" s="91"/>
      <c r="B390" s="57"/>
      <c r="C390" s="57"/>
      <c r="D390" s="92"/>
      <c r="E390" s="92"/>
      <c r="F390" s="92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</row>
    <row r="391">
      <c r="A391" s="91"/>
      <c r="B391" s="57"/>
      <c r="C391" s="57"/>
      <c r="D391" s="92"/>
      <c r="E391" s="92"/>
      <c r="F391" s="92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</row>
    <row r="392">
      <c r="A392" s="91"/>
      <c r="B392" s="57"/>
      <c r="C392" s="57"/>
      <c r="D392" s="92"/>
      <c r="E392" s="92"/>
      <c r="F392" s="92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</row>
    <row r="393">
      <c r="A393" s="91"/>
      <c r="B393" s="57"/>
      <c r="C393" s="57"/>
      <c r="D393" s="92"/>
      <c r="E393" s="92"/>
      <c r="F393" s="92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</row>
    <row r="394">
      <c r="A394" s="91"/>
      <c r="B394" s="57"/>
      <c r="C394" s="57"/>
      <c r="D394" s="92"/>
      <c r="E394" s="92"/>
      <c r="F394" s="92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</row>
    <row r="395">
      <c r="A395" s="91"/>
      <c r="B395" s="57"/>
      <c r="C395" s="57"/>
      <c r="D395" s="92"/>
      <c r="E395" s="92"/>
      <c r="F395" s="92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</row>
    <row r="396">
      <c r="A396" s="91"/>
      <c r="B396" s="57"/>
      <c r="C396" s="57"/>
      <c r="D396" s="92"/>
      <c r="E396" s="92"/>
      <c r="F396" s="92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</row>
    <row r="397">
      <c r="A397" s="91"/>
      <c r="B397" s="57"/>
      <c r="C397" s="57"/>
      <c r="D397" s="92"/>
      <c r="E397" s="92"/>
      <c r="F397" s="92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</row>
    <row r="398">
      <c r="A398" s="91"/>
      <c r="B398" s="57"/>
      <c r="C398" s="57"/>
      <c r="D398" s="92"/>
      <c r="E398" s="92"/>
      <c r="F398" s="92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</row>
    <row r="399">
      <c r="A399" s="91"/>
      <c r="B399" s="57"/>
      <c r="C399" s="57"/>
      <c r="D399" s="92"/>
      <c r="E399" s="92"/>
      <c r="F399" s="92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</row>
    <row r="400">
      <c r="A400" s="91"/>
      <c r="B400" s="57"/>
      <c r="C400" s="57"/>
      <c r="D400" s="92"/>
      <c r="E400" s="92"/>
      <c r="F400" s="92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</row>
    <row r="401">
      <c r="A401" s="91"/>
      <c r="B401" s="57"/>
      <c r="C401" s="57"/>
      <c r="D401" s="92"/>
      <c r="E401" s="92"/>
      <c r="F401" s="92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</row>
    <row r="402">
      <c r="A402" s="91"/>
      <c r="B402" s="57"/>
      <c r="C402" s="57"/>
      <c r="D402" s="92"/>
      <c r="E402" s="92"/>
      <c r="F402" s="92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</row>
    <row r="403">
      <c r="A403" s="91"/>
      <c r="B403" s="57"/>
      <c r="C403" s="57"/>
      <c r="D403" s="92"/>
      <c r="E403" s="92"/>
      <c r="F403" s="92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</row>
    <row r="404">
      <c r="A404" s="91"/>
      <c r="B404" s="57"/>
      <c r="C404" s="57"/>
      <c r="D404" s="92"/>
      <c r="E404" s="92"/>
      <c r="F404" s="92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</row>
    <row r="405">
      <c r="A405" s="91"/>
      <c r="B405" s="57"/>
      <c r="C405" s="57"/>
      <c r="D405" s="92"/>
      <c r="E405" s="92"/>
      <c r="F405" s="92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</row>
    <row r="406">
      <c r="A406" s="91"/>
      <c r="B406" s="57"/>
      <c r="C406" s="57"/>
      <c r="D406" s="92"/>
      <c r="E406" s="92"/>
      <c r="F406" s="92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</row>
    <row r="407">
      <c r="A407" s="91"/>
      <c r="B407" s="57"/>
      <c r="C407" s="57"/>
      <c r="D407" s="92"/>
      <c r="E407" s="92"/>
      <c r="F407" s="92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</row>
    <row r="408">
      <c r="A408" s="91"/>
      <c r="B408" s="57"/>
      <c r="C408" s="57"/>
      <c r="D408" s="92"/>
      <c r="E408" s="92"/>
      <c r="F408" s="92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</row>
    <row r="409">
      <c r="A409" s="91"/>
      <c r="B409" s="57"/>
      <c r="C409" s="57"/>
      <c r="D409" s="92"/>
      <c r="E409" s="92"/>
      <c r="F409" s="92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</row>
    <row r="410">
      <c r="A410" s="91"/>
      <c r="B410" s="57"/>
      <c r="C410" s="57"/>
      <c r="D410" s="92"/>
      <c r="E410" s="92"/>
      <c r="F410" s="92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</row>
    <row r="411">
      <c r="A411" s="91"/>
      <c r="B411" s="57"/>
      <c r="C411" s="57"/>
      <c r="D411" s="92"/>
      <c r="E411" s="92"/>
      <c r="F411" s="92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</row>
    <row r="412">
      <c r="A412" s="91"/>
      <c r="B412" s="57"/>
      <c r="C412" s="57"/>
      <c r="D412" s="92"/>
      <c r="E412" s="92"/>
      <c r="F412" s="92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</row>
    <row r="413">
      <c r="A413" s="91"/>
      <c r="B413" s="57"/>
      <c r="C413" s="57"/>
      <c r="D413" s="92"/>
      <c r="E413" s="92"/>
      <c r="F413" s="92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</row>
    <row r="414">
      <c r="A414" s="91"/>
      <c r="B414" s="57"/>
      <c r="C414" s="57"/>
      <c r="D414" s="92"/>
      <c r="E414" s="92"/>
      <c r="F414" s="92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</row>
    <row r="415">
      <c r="A415" s="91"/>
      <c r="B415" s="57"/>
      <c r="C415" s="57"/>
      <c r="D415" s="92"/>
      <c r="E415" s="92"/>
      <c r="F415" s="92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</row>
    <row r="416">
      <c r="A416" s="91"/>
      <c r="B416" s="57"/>
      <c r="C416" s="57"/>
      <c r="D416" s="92"/>
      <c r="E416" s="92"/>
      <c r="F416" s="92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</row>
    <row r="417">
      <c r="A417" s="91"/>
      <c r="B417" s="57"/>
      <c r="C417" s="57"/>
      <c r="D417" s="92"/>
      <c r="E417" s="92"/>
      <c r="F417" s="92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</row>
    <row r="418">
      <c r="A418" s="91"/>
      <c r="B418" s="57"/>
      <c r="C418" s="57"/>
      <c r="D418" s="92"/>
      <c r="E418" s="92"/>
      <c r="F418" s="92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</row>
    <row r="419">
      <c r="A419" s="91"/>
      <c r="B419" s="57"/>
      <c r="C419" s="57"/>
      <c r="D419" s="92"/>
      <c r="E419" s="92"/>
      <c r="F419" s="92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</row>
    <row r="420">
      <c r="A420" s="91"/>
      <c r="B420" s="57"/>
      <c r="C420" s="57"/>
      <c r="D420" s="92"/>
      <c r="E420" s="92"/>
      <c r="F420" s="92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</row>
    <row r="421">
      <c r="A421" s="91"/>
      <c r="B421" s="57"/>
      <c r="C421" s="57"/>
      <c r="D421" s="92"/>
      <c r="E421" s="92"/>
      <c r="F421" s="92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</row>
    <row r="422">
      <c r="A422" s="91"/>
      <c r="B422" s="57"/>
      <c r="C422" s="57"/>
      <c r="D422" s="92"/>
      <c r="E422" s="92"/>
      <c r="F422" s="92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</row>
    <row r="423">
      <c r="A423" s="91"/>
      <c r="B423" s="57"/>
      <c r="C423" s="57"/>
      <c r="D423" s="92"/>
      <c r="E423" s="92"/>
      <c r="F423" s="92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</row>
    <row r="424">
      <c r="A424" s="91"/>
      <c r="B424" s="57"/>
      <c r="C424" s="57"/>
      <c r="D424" s="92"/>
      <c r="E424" s="92"/>
      <c r="F424" s="92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</row>
    <row r="425">
      <c r="A425" s="91"/>
      <c r="B425" s="57"/>
      <c r="C425" s="57"/>
      <c r="D425" s="92"/>
      <c r="E425" s="92"/>
      <c r="F425" s="92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</row>
    <row r="426">
      <c r="A426" s="91"/>
      <c r="B426" s="57"/>
      <c r="C426" s="57"/>
      <c r="D426" s="92"/>
      <c r="E426" s="92"/>
      <c r="F426" s="92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</row>
    <row r="427">
      <c r="A427" s="91"/>
      <c r="B427" s="57"/>
      <c r="C427" s="57"/>
      <c r="D427" s="92"/>
      <c r="E427" s="92"/>
      <c r="F427" s="92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</row>
    <row r="428">
      <c r="A428" s="91"/>
      <c r="B428" s="57"/>
      <c r="C428" s="57"/>
      <c r="D428" s="92"/>
      <c r="E428" s="92"/>
      <c r="F428" s="92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</row>
    <row r="429">
      <c r="A429" s="91"/>
      <c r="B429" s="57"/>
      <c r="C429" s="57"/>
      <c r="D429" s="92"/>
      <c r="E429" s="92"/>
      <c r="F429" s="92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</row>
    <row r="430">
      <c r="A430" s="91"/>
      <c r="B430" s="57"/>
      <c r="C430" s="57"/>
      <c r="D430" s="92"/>
      <c r="E430" s="92"/>
      <c r="F430" s="92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</row>
    <row r="431">
      <c r="A431" s="91"/>
      <c r="B431" s="57"/>
      <c r="C431" s="57"/>
      <c r="D431" s="92"/>
      <c r="E431" s="92"/>
      <c r="F431" s="92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</row>
    <row r="432">
      <c r="A432" s="91"/>
      <c r="B432" s="57"/>
      <c r="C432" s="57"/>
      <c r="D432" s="92"/>
      <c r="E432" s="92"/>
      <c r="F432" s="92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</row>
    <row r="433">
      <c r="A433" s="91"/>
      <c r="B433" s="57"/>
      <c r="C433" s="57"/>
      <c r="D433" s="92"/>
      <c r="E433" s="92"/>
      <c r="F433" s="92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</row>
    <row r="434">
      <c r="A434" s="91"/>
      <c r="B434" s="57"/>
      <c r="C434" s="57"/>
      <c r="D434" s="92"/>
      <c r="E434" s="92"/>
      <c r="F434" s="92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</row>
    <row r="435">
      <c r="A435" s="91"/>
      <c r="B435" s="57"/>
      <c r="C435" s="57"/>
      <c r="D435" s="92"/>
      <c r="E435" s="92"/>
      <c r="F435" s="92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</row>
    <row r="436">
      <c r="A436" s="91"/>
      <c r="B436" s="57"/>
      <c r="C436" s="57"/>
      <c r="D436" s="92"/>
      <c r="E436" s="92"/>
      <c r="F436" s="92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</row>
    <row r="437">
      <c r="A437" s="91"/>
      <c r="B437" s="57"/>
      <c r="C437" s="57"/>
      <c r="D437" s="92"/>
      <c r="E437" s="92"/>
      <c r="F437" s="92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</row>
    <row r="438">
      <c r="A438" s="91"/>
      <c r="B438" s="57"/>
      <c r="C438" s="57"/>
      <c r="D438" s="92"/>
      <c r="E438" s="92"/>
      <c r="F438" s="92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</row>
    <row r="439">
      <c r="A439" s="91"/>
      <c r="B439" s="57"/>
      <c r="C439" s="57"/>
      <c r="D439" s="92"/>
      <c r="E439" s="92"/>
      <c r="F439" s="92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</row>
    <row r="440">
      <c r="A440" s="91"/>
      <c r="B440" s="57"/>
      <c r="C440" s="57"/>
      <c r="D440" s="92"/>
      <c r="E440" s="92"/>
      <c r="F440" s="92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</row>
    <row r="441">
      <c r="A441" s="91"/>
      <c r="B441" s="57"/>
      <c r="C441" s="57"/>
      <c r="D441" s="92"/>
      <c r="E441" s="92"/>
      <c r="F441" s="92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</row>
    <row r="442">
      <c r="A442" s="91"/>
      <c r="B442" s="57"/>
      <c r="C442" s="57"/>
      <c r="D442" s="92"/>
      <c r="E442" s="92"/>
      <c r="F442" s="92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</row>
    <row r="443">
      <c r="A443" s="91"/>
      <c r="B443" s="57"/>
      <c r="C443" s="57"/>
      <c r="D443" s="92"/>
      <c r="E443" s="92"/>
      <c r="F443" s="92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</row>
    <row r="444">
      <c r="A444" s="91"/>
      <c r="B444" s="57"/>
      <c r="C444" s="57"/>
      <c r="D444" s="92"/>
      <c r="E444" s="92"/>
      <c r="F444" s="92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</row>
    <row r="445">
      <c r="A445" s="91"/>
      <c r="B445" s="57"/>
      <c r="C445" s="57"/>
      <c r="D445" s="92"/>
      <c r="E445" s="92"/>
      <c r="F445" s="92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</row>
    <row r="446">
      <c r="A446" s="91"/>
      <c r="B446" s="57"/>
      <c r="C446" s="57"/>
      <c r="D446" s="92"/>
      <c r="E446" s="92"/>
      <c r="F446" s="92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</row>
    <row r="447">
      <c r="A447" s="91"/>
      <c r="B447" s="57"/>
      <c r="C447" s="57"/>
      <c r="D447" s="92"/>
      <c r="E447" s="92"/>
      <c r="F447" s="92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</row>
    <row r="448">
      <c r="A448" s="91"/>
      <c r="B448" s="57"/>
      <c r="C448" s="57"/>
      <c r="D448" s="92"/>
      <c r="E448" s="92"/>
      <c r="F448" s="92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</row>
    <row r="449">
      <c r="A449" s="91"/>
      <c r="B449" s="57"/>
      <c r="C449" s="57"/>
      <c r="D449" s="92"/>
      <c r="E449" s="92"/>
      <c r="F449" s="92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</row>
    <row r="450">
      <c r="A450" s="91"/>
      <c r="B450" s="57"/>
      <c r="C450" s="57"/>
      <c r="D450" s="92"/>
      <c r="E450" s="92"/>
      <c r="F450" s="92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</row>
    <row r="451">
      <c r="A451" s="91"/>
      <c r="B451" s="57"/>
      <c r="C451" s="57"/>
      <c r="D451" s="92"/>
      <c r="E451" s="92"/>
      <c r="F451" s="92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</row>
    <row r="452">
      <c r="A452" s="91"/>
      <c r="B452" s="57"/>
      <c r="C452" s="57"/>
      <c r="D452" s="92"/>
      <c r="E452" s="92"/>
      <c r="F452" s="92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</row>
    <row r="453">
      <c r="A453" s="91"/>
      <c r="B453" s="57"/>
      <c r="C453" s="57"/>
      <c r="D453" s="92"/>
      <c r="E453" s="92"/>
      <c r="F453" s="92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</row>
    <row r="454">
      <c r="A454" s="91"/>
      <c r="B454" s="57"/>
      <c r="C454" s="57"/>
      <c r="D454" s="92"/>
      <c r="E454" s="92"/>
      <c r="F454" s="92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</row>
    <row r="455">
      <c r="A455" s="91"/>
      <c r="B455" s="57"/>
      <c r="C455" s="57"/>
      <c r="D455" s="92"/>
      <c r="E455" s="92"/>
      <c r="F455" s="92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</row>
    <row r="456">
      <c r="A456" s="91"/>
      <c r="B456" s="57"/>
      <c r="C456" s="57"/>
      <c r="D456" s="92"/>
      <c r="E456" s="92"/>
      <c r="F456" s="92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</row>
    <row r="457">
      <c r="A457" s="91"/>
      <c r="B457" s="57"/>
      <c r="C457" s="57"/>
      <c r="D457" s="92"/>
      <c r="E457" s="92"/>
      <c r="F457" s="92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</row>
    <row r="458">
      <c r="A458" s="91"/>
      <c r="B458" s="57"/>
      <c r="C458" s="57"/>
      <c r="D458" s="92"/>
      <c r="E458" s="92"/>
      <c r="F458" s="92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</row>
    <row r="459">
      <c r="A459" s="91"/>
      <c r="B459" s="57"/>
      <c r="C459" s="57"/>
      <c r="D459" s="92"/>
      <c r="E459" s="92"/>
      <c r="F459" s="92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</row>
    <row r="460">
      <c r="A460" s="91"/>
      <c r="B460" s="57"/>
      <c r="C460" s="57"/>
      <c r="D460" s="92"/>
      <c r="E460" s="92"/>
      <c r="F460" s="92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</row>
    <row r="461">
      <c r="A461" s="91"/>
      <c r="B461" s="57"/>
      <c r="C461" s="57"/>
      <c r="D461" s="92"/>
      <c r="E461" s="92"/>
      <c r="F461" s="92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</row>
    <row r="462">
      <c r="A462" s="91"/>
      <c r="B462" s="57"/>
      <c r="C462" s="57"/>
      <c r="D462" s="92"/>
      <c r="E462" s="92"/>
      <c r="F462" s="92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</row>
    <row r="463">
      <c r="A463" s="91"/>
      <c r="B463" s="57"/>
      <c r="C463" s="57"/>
      <c r="D463" s="92"/>
      <c r="E463" s="92"/>
      <c r="F463" s="92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</row>
    <row r="464">
      <c r="A464" s="91"/>
      <c r="B464" s="57"/>
      <c r="C464" s="57"/>
      <c r="D464" s="92"/>
      <c r="E464" s="92"/>
      <c r="F464" s="92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</row>
    <row r="465">
      <c r="A465" s="91"/>
      <c r="B465" s="57"/>
      <c r="C465" s="57"/>
      <c r="D465" s="92"/>
      <c r="E465" s="92"/>
      <c r="F465" s="92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</row>
    <row r="466">
      <c r="A466" s="91"/>
      <c r="B466" s="57"/>
      <c r="C466" s="57"/>
      <c r="D466" s="92"/>
      <c r="E466" s="92"/>
      <c r="F466" s="92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</row>
    <row r="467">
      <c r="A467" s="91"/>
      <c r="B467" s="57"/>
      <c r="C467" s="57"/>
      <c r="D467" s="92"/>
      <c r="E467" s="92"/>
      <c r="F467" s="92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</row>
    <row r="468">
      <c r="A468" s="91"/>
      <c r="B468" s="57"/>
      <c r="C468" s="57"/>
      <c r="D468" s="92"/>
      <c r="E468" s="92"/>
      <c r="F468" s="92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</row>
    <row r="469">
      <c r="A469" s="91"/>
      <c r="B469" s="57"/>
      <c r="C469" s="57"/>
      <c r="D469" s="92"/>
      <c r="E469" s="92"/>
      <c r="F469" s="92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</row>
    <row r="470">
      <c r="A470" s="91"/>
      <c r="B470" s="57"/>
      <c r="C470" s="57"/>
      <c r="D470" s="92"/>
      <c r="E470" s="92"/>
      <c r="F470" s="92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</row>
    <row r="471">
      <c r="A471" s="91"/>
      <c r="B471" s="57"/>
      <c r="C471" s="57"/>
      <c r="D471" s="92"/>
      <c r="E471" s="92"/>
      <c r="F471" s="92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</row>
    <row r="472">
      <c r="A472" s="91"/>
      <c r="B472" s="57"/>
      <c r="C472" s="57"/>
      <c r="D472" s="92"/>
      <c r="E472" s="92"/>
      <c r="F472" s="92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</row>
    <row r="473">
      <c r="A473" s="91"/>
      <c r="B473" s="57"/>
      <c r="C473" s="57"/>
      <c r="D473" s="92"/>
      <c r="E473" s="92"/>
      <c r="F473" s="92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</row>
    <row r="474">
      <c r="A474" s="91"/>
      <c r="B474" s="57"/>
      <c r="C474" s="57"/>
      <c r="D474" s="92"/>
      <c r="E474" s="92"/>
      <c r="F474" s="92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</row>
    <row r="475">
      <c r="A475" s="91"/>
      <c r="B475" s="57"/>
      <c r="C475" s="57"/>
      <c r="D475" s="92"/>
      <c r="E475" s="92"/>
      <c r="F475" s="92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</row>
    <row r="476">
      <c r="A476" s="91"/>
      <c r="B476" s="57"/>
      <c r="C476" s="57"/>
      <c r="D476" s="92"/>
      <c r="E476" s="92"/>
      <c r="F476" s="92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</row>
    <row r="477">
      <c r="A477" s="91"/>
      <c r="B477" s="57"/>
      <c r="C477" s="57"/>
      <c r="D477" s="92"/>
      <c r="E477" s="92"/>
      <c r="F477" s="92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</row>
    <row r="478">
      <c r="A478" s="91"/>
      <c r="B478" s="57"/>
      <c r="C478" s="57"/>
      <c r="D478" s="92"/>
      <c r="E478" s="92"/>
      <c r="F478" s="92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</row>
    <row r="479">
      <c r="A479" s="91"/>
      <c r="B479" s="57"/>
      <c r="C479" s="57"/>
      <c r="D479" s="92"/>
      <c r="E479" s="92"/>
      <c r="F479" s="92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</row>
    <row r="480">
      <c r="A480" s="91"/>
      <c r="B480" s="57"/>
      <c r="C480" s="57"/>
      <c r="D480" s="92"/>
      <c r="E480" s="92"/>
      <c r="F480" s="92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</row>
    <row r="481">
      <c r="A481" s="91"/>
      <c r="B481" s="57"/>
      <c r="C481" s="57"/>
      <c r="D481" s="92"/>
      <c r="E481" s="92"/>
      <c r="F481" s="92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</row>
    <row r="482">
      <c r="A482" s="91"/>
      <c r="B482" s="57"/>
      <c r="C482" s="57"/>
      <c r="D482" s="92"/>
      <c r="E482" s="92"/>
      <c r="F482" s="92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</row>
    <row r="483">
      <c r="A483" s="91"/>
      <c r="B483" s="57"/>
      <c r="C483" s="57"/>
      <c r="D483" s="92"/>
      <c r="E483" s="92"/>
      <c r="F483" s="92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</row>
    <row r="484">
      <c r="A484" s="91"/>
      <c r="B484" s="57"/>
      <c r="C484" s="57"/>
      <c r="D484" s="92"/>
      <c r="E484" s="92"/>
      <c r="F484" s="92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</row>
    <row r="485">
      <c r="A485" s="91"/>
      <c r="B485" s="57"/>
      <c r="C485" s="57"/>
      <c r="D485" s="92"/>
      <c r="E485" s="92"/>
      <c r="F485" s="92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</row>
    <row r="486">
      <c r="A486" s="91"/>
      <c r="B486" s="57"/>
      <c r="C486" s="57"/>
      <c r="D486" s="92"/>
      <c r="E486" s="92"/>
      <c r="F486" s="92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</row>
    <row r="487">
      <c r="A487" s="91"/>
      <c r="B487" s="57"/>
      <c r="C487" s="57"/>
      <c r="D487" s="92"/>
      <c r="E487" s="92"/>
      <c r="F487" s="92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</row>
    <row r="488">
      <c r="A488" s="91"/>
      <c r="B488" s="57"/>
      <c r="C488" s="57"/>
      <c r="D488" s="92"/>
      <c r="E488" s="92"/>
      <c r="F488" s="92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</row>
    <row r="489">
      <c r="A489" s="91"/>
      <c r="B489" s="57"/>
      <c r="C489" s="57"/>
      <c r="D489" s="92"/>
      <c r="E489" s="92"/>
      <c r="F489" s="92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</row>
    <row r="490">
      <c r="A490" s="91"/>
      <c r="B490" s="57"/>
      <c r="C490" s="57"/>
      <c r="D490" s="92"/>
      <c r="E490" s="92"/>
      <c r="F490" s="92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</row>
    <row r="491">
      <c r="A491" s="91"/>
      <c r="B491" s="57"/>
      <c r="C491" s="57"/>
      <c r="D491" s="92"/>
      <c r="E491" s="92"/>
      <c r="F491" s="92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</row>
    <row r="492">
      <c r="A492" s="91"/>
      <c r="B492" s="57"/>
      <c r="C492" s="57"/>
      <c r="D492" s="92"/>
      <c r="E492" s="92"/>
      <c r="F492" s="92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</row>
    <row r="493">
      <c r="A493" s="91"/>
      <c r="B493" s="57"/>
      <c r="C493" s="57"/>
      <c r="D493" s="92"/>
      <c r="E493" s="92"/>
      <c r="F493" s="92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</row>
    <row r="494">
      <c r="A494" s="91"/>
      <c r="B494" s="57"/>
      <c r="C494" s="57"/>
      <c r="D494" s="92"/>
      <c r="E494" s="92"/>
      <c r="F494" s="92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</row>
    <row r="495">
      <c r="A495" s="91"/>
      <c r="B495" s="57"/>
      <c r="C495" s="57"/>
      <c r="D495" s="92"/>
      <c r="E495" s="92"/>
      <c r="F495" s="92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</row>
    <row r="496">
      <c r="A496" s="91"/>
      <c r="B496" s="57"/>
      <c r="C496" s="57"/>
      <c r="D496" s="92"/>
      <c r="E496" s="92"/>
      <c r="F496" s="92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</row>
    <row r="497">
      <c r="A497" s="91"/>
      <c r="B497" s="57"/>
      <c r="C497" s="57"/>
      <c r="D497" s="92"/>
      <c r="E497" s="92"/>
      <c r="F497" s="92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</row>
    <row r="498">
      <c r="A498" s="91"/>
      <c r="B498" s="57"/>
      <c r="C498" s="57"/>
      <c r="D498" s="92"/>
      <c r="E498" s="92"/>
      <c r="F498" s="92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</row>
    <row r="499">
      <c r="A499" s="91"/>
      <c r="B499" s="57"/>
      <c r="C499" s="57"/>
      <c r="D499" s="92"/>
      <c r="E499" s="92"/>
      <c r="F499" s="92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</row>
    <row r="500">
      <c r="A500" s="91"/>
      <c r="B500" s="57"/>
      <c r="C500" s="57"/>
      <c r="D500" s="92"/>
      <c r="E500" s="92"/>
      <c r="F500" s="92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</row>
    <row r="501">
      <c r="A501" s="91"/>
      <c r="B501" s="57"/>
      <c r="C501" s="57"/>
      <c r="D501" s="92"/>
      <c r="E501" s="92"/>
      <c r="F501" s="92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</row>
    <row r="502">
      <c r="A502" s="91"/>
      <c r="B502" s="57"/>
      <c r="C502" s="57"/>
      <c r="D502" s="92"/>
      <c r="E502" s="92"/>
      <c r="F502" s="92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</row>
    <row r="503">
      <c r="A503" s="91"/>
      <c r="B503" s="57"/>
      <c r="C503" s="57"/>
      <c r="D503" s="92"/>
      <c r="E503" s="92"/>
      <c r="F503" s="92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</row>
    <row r="504">
      <c r="A504" s="91"/>
      <c r="B504" s="57"/>
      <c r="C504" s="57"/>
      <c r="D504" s="92"/>
      <c r="E504" s="92"/>
      <c r="F504" s="92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</row>
    <row r="505">
      <c r="A505" s="91"/>
      <c r="B505" s="57"/>
      <c r="C505" s="57"/>
      <c r="D505" s="92"/>
      <c r="E505" s="92"/>
      <c r="F505" s="92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</row>
    <row r="506">
      <c r="A506" s="91"/>
      <c r="B506" s="57"/>
      <c r="C506" s="57"/>
      <c r="D506" s="92"/>
      <c r="E506" s="92"/>
      <c r="F506" s="92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</row>
    <row r="507">
      <c r="A507" s="91"/>
      <c r="B507" s="57"/>
      <c r="C507" s="57"/>
      <c r="D507" s="92"/>
      <c r="E507" s="92"/>
      <c r="F507" s="92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</row>
    <row r="508">
      <c r="A508" s="91"/>
      <c r="B508" s="57"/>
      <c r="C508" s="57"/>
      <c r="D508" s="92"/>
      <c r="E508" s="92"/>
      <c r="F508" s="92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</row>
    <row r="509">
      <c r="A509" s="91"/>
      <c r="B509" s="57"/>
      <c r="C509" s="57"/>
      <c r="D509" s="92"/>
      <c r="E509" s="92"/>
      <c r="F509" s="92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</row>
    <row r="510">
      <c r="A510" s="91"/>
      <c r="B510" s="57"/>
      <c r="C510" s="57"/>
      <c r="D510" s="92"/>
      <c r="E510" s="92"/>
      <c r="F510" s="92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</row>
    <row r="511">
      <c r="A511" s="91"/>
      <c r="B511" s="57"/>
      <c r="C511" s="57"/>
      <c r="D511" s="92"/>
      <c r="E511" s="92"/>
      <c r="F511" s="92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</row>
    <row r="512">
      <c r="A512" s="91"/>
      <c r="B512" s="57"/>
      <c r="C512" s="57"/>
      <c r="D512" s="92"/>
      <c r="E512" s="92"/>
      <c r="F512" s="92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</row>
    <row r="513">
      <c r="A513" s="91"/>
      <c r="B513" s="57"/>
      <c r="C513" s="57"/>
      <c r="D513" s="92"/>
      <c r="E513" s="92"/>
      <c r="F513" s="92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</row>
    <row r="514">
      <c r="A514" s="91"/>
      <c r="B514" s="57"/>
      <c r="C514" s="57"/>
      <c r="D514" s="92"/>
      <c r="E514" s="92"/>
      <c r="F514" s="92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</row>
    <row r="515">
      <c r="A515" s="91"/>
      <c r="B515" s="57"/>
      <c r="C515" s="57"/>
      <c r="D515" s="92"/>
      <c r="E515" s="92"/>
      <c r="F515" s="92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</row>
    <row r="516">
      <c r="A516" s="91"/>
      <c r="B516" s="57"/>
      <c r="C516" s="57"/>
      <c r="D516" s="92"/>
      <c r="E516" s="92"/>
      <c r="F516" s="92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</row>
    <row r="517">
      <c r="A517" s="91"/>
      <c r="B517" s="57"/>
      <c r="C517" s="57"/>
      <c r="D517" s="92"/>
      <c r="E517" s="92"/>
      <c r="F517" s="92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</row>
    <row r="518">
      <c r="A518" s="91"/>
      <c r="B518" s="57"/>
      <c r="C518" s="57"/>
      <c r="D518" s="92"/>
      <c r="E518" s="92"/>
      <c r="F518" s="92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</row>
    <row r="519">
      <c r="A519" s="91"/>
      <c r="B519" s="57"/>
      <c r="C519" s="57"/>
      <c r="D519" s="92"/>
      <c r="E519" s="92"/>
      <c r="F519" s="92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</row>
    <row r="520">
      <c r="A520" s="91"/>
      <c r="B520" s="57"/>
      <c r="C520" s="57"/>
      <c r="D520" s="92"/>
      <c r="E520" s="92"/>
      <c r="F520" s="92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</row>
    <row r="521">
      <c r="A521" s="91"/>
      <c r="B521" s="57"/>
      <c r="C521" s="57"/>
      <c r="D521" s="92"/>
      <c r="E521" s="92"/>
      <c r="F521" s="92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</row>
    <row r="522">
      <c r="A522" s="91"/>
      <c r="B522" s="57"/>
      <c r="C522" s="57"/>
      <c r="D522" s="92"/>
      <c r="E522" s="92"/>
      <c r="F522" s="92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</row>
    <row r="523">
      <c r="A523" s="91"/>
      <c r="B523" s="57"/>
      <c r="C523" s="57"/>
      <c r="D523" s="92"/>
      <c r="E523" s="92"/>
      <c r="F523" s="92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</row>
    <row r="524">
      <c r="A524" s="91"/>
      <c r="B524" s="57"/>
      <c r="C524" s="57"/>
      <c r="D524" s="92"/>
      <c r="E524" s="92"/>
      <c r="F524" s="92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</row>
    <row r="525">
      <c r="A525" s="91"/>
      <c r="B525" s="57"/>
      <c r="C525" s="57"/>
      <c r="D525" s="92"/>
      <c r="E525" s="92"/>
      <c r="F525" s="92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</row>
    <row r="526">
      <c r="A526" s="91"/>
      <c r="B526" s="57"/>
      <c r="C526" s="57"/>
      <c r="D526" s="92"/>
      <c r="E526" s="92"/>
      <c r="F526" s="92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</row>
    <row r="527">
      <c r="A527" s="91"/>
      <c r="B527" s="57"/>
      <c r="C527" s="57"/>
      <c r="D527" s="92"/>
      <c r="E527" s="92"/>
      <c r="F527" s="92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</row>
    <row r="528">
      <c r="A528" s="91"/>
      <c r="B528" s="57"/>
      <c r="C528" s="57"/>
      <c r="D528" s="92"/>
      <c r="E528" s="92"/>
      <c r="F528" s="92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</row>
    <row r="529">
      <c r="A529" s="91"/>
      <c r="B529" s="57"/>
      <c r="C529" s="57"/>
      <c r="D529" s="92"/>
      <c r="E529" s="92"/>
      <c r="F529" s="92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</row>
    <row r="530">
      <c r="A530" s="91"/>
      <c r="B530" s="57"/>
      <c r="C530" s="57"/>
      <c r="D530" s="92"/>
      <c r="E530" s="92"/>
      <c r="F530" s="92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</row>
    <row r="531">
      <c r="A531" s="91"/>
      <c r="B531" s="57"/>
      <c r="C531" s="57"/>
      <c r="D531" s="92"/>
      <c r="E531" s="92"/>
      <c r="F531" s="92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</row>
    <row r="532">
      <c r="A532" s="91"/>
      <c r="B532" s="57"/>
      <c r="C532" s="57"/>
      <c r="D532" s="92"/>
      <c r="E532" s="92"/>
      <c r="F532" s="92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</row>
    <row r="533">
      <c r="A533" s="91"/>
      <c r="B533" s="57"/>
      <c r="C533" s="57"/>
      <c r="D533" s="92"/>
      <c r="E533" s="92"/>
      <c r="F533" s="92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</row>
    <row r="534">
      <c r="A534" s="91"/>
      <c r="B534" s="57"/>
      <c r="C534" s="57"/>
      <c r="D534" s="92"/>
      <c r="E534" s="92"/>
      <c r="F534" s="92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</row>
    <row r="535">
      <c r="A535" s="91"/>
      <c r="B535" s="57"/>
      <c r="C535" s="57"/>
      <c r="D535" s="92"/>
      <c r="E535" s="92"/>
      <c r="F535" s="92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</row>
    <row r="536">
      <c r="A536" s="91"/>
      <c r="B536" s="57"/>
      <c r="C536" s="57"/>
      <c r="D536" s="92"/>
      <c r="E536" s="92"/>
      <c r="F536" s="92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</row>
    <row r="537">
      <c r="A537" s="91"/>
      <c r="B537" s="57"/>
      <c r="C537" s="57"/>
      <c r="D537" s="92"/>
      <c r="E537" s="92"/>
      <c r="F537" s="92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</row>
    <row r="538">
      <c r="A538" s="91"/>
      <c r="B538" s="57"/>
      <c r="C538" s="57"/>
      <c r="D538" s="92"/>
      <c r="E538" s="92"/>
      <c r="F538" s="92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</row>
    <row r="539">
      <c r="A539" s="91"/>
      <c r="B539" s="57"/>
      <c r="C539" s="57"/>
      <c r="D539" s="92"/>
      <c r="E539" s="92"/>
      <c r="F539" s="92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</row>
    <row r="540">
      <c r="A540" s="91"/>
      <c r="B540" s="57"/>
      <c r="C540" s="57"/>
      <c r="D540" s="92"/>
      <c r="E540" s="92"/>
      <c r="F540" s="92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</row>
    <row r="541">
      <c r="A541" s="91"/>
      <c r="B541" s="57"/>
      <c r="C541" s="57"/>
      <c r="D541" s="92"/>
      <c r="E541" s="92"/>
      <c r="F541" s="92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</row>
    <row r="542">
      <c r="A542" s="91"/>
      <c r="B542" s="57"/>
      <c r="C542" s="57"/>
      <c r="D542" s="92"/>
      <c r="E542" s="92"/>
      <c r="F542" s="92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</row>
    <row r="543">
      <c r="A543" s="91"/>
      <c r="B543" s="57"/>
      <c r="C543" s="57"/>
      <c r="D543" s="92"/>
      <c r="E543" s="92"/>
      <c r="F543" s="92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</row>
    <row r="544">
      <c r="A544" s="91"/>
      <c r="B544" s="57"/>
      <c r="C544" s="57"/>
      <c r="D544" s="92"/>
      <c r="E544" s="92"/>
      <c r="F544" s="92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</row>
    <row r="545">
      <c r="A545" s="91"/>
      <c r="B545" s="57"/>
      <c r="C545" s="57"/>
      <c r="D545" s="92"/>
      <c r="E545" s="92"/>
      <c r="F545" s="92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</row>
    <row r="546">
      <c r="A546" s="91"/>
      <c r="B546" s="57"/>
      <c r="C546" s="57"/>
      <c r="D546" s="92"/>
      <c r="E546" s="92"/>
      <c r="F546" s="92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</row>
    <row r="547">
      <c r="A547" s="91"/>
      <c r="B547" s="57"/>
      <c r="C547" s="57"/>
      <c r="D547" s="92"/>
      <c r="E547" s="92"/>
      <c r="F547" s="92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</row>
    <row r="548">
      <c r="A548" s="91"/>
      <c r="B548" s="57"/>
      <c r="C548" s="57"/>
      <c r="D548" s="92"/>
      <c r="E548" s="92"/>
      <c r="F548" s="92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</row>
    <row r="549">
      <c r="A549" s="91"/>
      <c r="B549" s="57"/>
      <c r="C549" s="57"/>
      <c r="D549" s="92"/>
      <c r="E549" s="92"/>
      <c r="F549" s="92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</row>
    <row r="550">
      <c r="A550" s="91"/>
      <c r="B550" s="57"/>
      <c r="C550" s="57"/>
      <c r="D550" s="92"/>
      <c r="E550" s="92"/>
      <c r="F550" s="92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</row>
    <row r="551">
      <c r="A551" s="91"/>
      <c r="B551" s="57"/>
      <c r="C551" s="57"/>
      <c r="D551" s="92"/>
      <c r="E551" s="92"/>
      <c r="F551" s="92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</row>
    <row r="552">
      <c r="A552" s="91"/>
      <c r="B552" s="57"/>
      <c r="C552" s="57"/>
      <c r="D552" s="92"/>
      <c r="E552" s="92"/>
      <c r="F552" s="92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</row>
    <row r="553">
      <c r="A553" s="91"/>
      <c r="B553" s="57"/>
      <c r="C553" s="57"/>
      <c r="D553" s="92"/>
      <c r="E553" s="92"/>
      <c r="F553" s="92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</row>
    <row r="554">
      <c r="A554" s="91"/>
      <c r="B554" s="57"/>
      <c r="C554" s="57"/>
      <c r="D554" s="92"/>
      <c r="E554" s="92"/>
      <c r="F554" s="92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</row>
    <row r="555">
      <c r="A555" s="91"/>
      <c r="B555" s="57"/>
      <c r="C555" s="57"/>
      <c r="D555" s="92"/>
      <c r="E555" s="92"/>
      <c r="F555" s="92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</row>
    <row r="556">
      <c r="A556" s="91"/>
      <c r="B556" s="57"/>
      <c r="C556" s="57"/>
      <c r="D556" s="92"/>
      <c r="E556" s="92"/>
      <c r="F556" s="92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</row>
    <row r="557">
      <c r="A557" s="91"/>
      <c r="B557" s="57"/>
      <c r="C557" s="57"/>
      <c r="D557" s="92"/>
      <c r="E557" s="92"/>
      <c r="F557" s="92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</row>
    <row r="558">
      <c r="A558" s="91"/>
      <c r="B558" s="57"/>
      <c r="C558" s="57"/>
      <c r="D558" s="92"/>
      <c r="E558" s="92"/>
      <c r="F558" s="92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</row>
    <row r="559">
      <c r="A559" s="91"/>
      <c r="B559" s="57"/>
      <c r="C559" s="57"/>
      <c r="D559" s="92"/>
      <c r="E559" s="92"/>
      <c r="F559" s="92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</row>
    <row r="560">
      <c r="A560" s="91"/>
      <c r="B560" s="57"/>
      <c r="C560" s="57"/>
      <c r="D560" s="92"/>
      <c r="E560" s="92"/>
      <c r="F560" s="92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</row>
    <row r="561">
      <c r="A561" s="91"/>
      <c r="B561" s="57"/>
      <c r="C561" s="57"/>
      <c r="D561" s="92"/>
      <c r="E561" s="92"/>
      <c r="F561" s="92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</row>
    <row r="562">
      <c r="A562" s="91"/>
      <c r="B562" s="57"/>
      <c r="C562" s="57"/>
      <c r="D562" s="92"/>
      <c r="E562" s="92"/>
      <c r="F562" s="92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</row>
    <row r="563">
      <c r="A563" s="91"/>
      <c r="B563" s="57"/>
      <c r="C563" s="57"/>
      <c r="D563" s="92"/>
      <c r="E563" s="92"/>
      <c r="F563" s="92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</row>
    <row r="564">
      <c r="A564" s="91"/>
      <c r="B564" s="57"/>
      <c r="C564" s="57"/>
      <c r="D564" s="92"/>
      <c r="E564" s="92"/>
      <c r="F564" s="92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</row>
    <row r="565">
      <c r="A565" s="91"/>
      <c r="B565" s="57"/>
      <c r="C565" s="57"/>
      <c r="D565" s="92"/>
      <c r="E565" s="92"/>
      <c r="F565" s="92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</row>
    <row r="566">
      <c r="A566" s="91"/>
      <c r="B566" s="57"/>
      <c r="C566" s="57"/>
      <c r="D566" s="92"/>
      <c r="E566" s="92"/>
      <c r="F566" s="92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</row>
    <row r="567">
      <c r="A567" s="91"/>
      <c r="B567" s="57"/>
      <c r="C567" s="57"/>
      <c r="D567" s="92"/>
      <c r="E567" s="92"/>
      <c r="F567" s="92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</row>
    <row r="568">
      <c r="A568" s="91"/>
      <c r="B568" s="57"/>
      <c r="C568" s="57"/>
      <c r="D568" s="92"/>
      <c r="E568" s="92"/>
      <c r="F568" s="92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</row>
    <row r="569">
      <c r="A569" s="91"/>
      <c r="B569" s="57"/>
      <c r="C569" s="57"/>
      <c r="D569" s="92"/>
      <c r="E569" s="92"/>
      <c r="F569" s="92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</row>
    <row r="570">
      <c r="A570" s="91"/>
      <c r="B570" s="57"/>
      <c r="C570" s="57"/>
      <c r="D570" s="92"/>
      <c r="E570" s="92"/>
      <c r="F570" s="92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</row>
    <row r="571">
      <c r="A571" s="91"/>
      <c r="B571" s="57"/>
      <c r="C571" s="57"/>
      <c r="D571" s="92"/>
      <c r="E571" s="92"/>
      <c r="F571" s="92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</row>
    <row r="572">
      <c r="A572" s="91"/>
      <c r="B572" s="57"/>
      <c r="C572" s="57"/>
      <c r="D572" s="92"/>
      <c r="E572" s="92"/>
      <c r="F572" s="92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</row>
    <row r="573">
      <c r="A573" s="91"/>
      <c r="B573" s="57"/>
      <c r="C573" s="57"/>
      <c r="D573" s="92"/>
      <c r="E573" s="92"/>
      <c r="F573" s="92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</row>
    <row r="574">
      <c r="A574" s="91"/>
      <c r="B574" s="57"/>
      <c r="C574" s="57"/>
      <c r="D574" s="92"/>
      <c r="E574" s="92"/>
      <c r="F574" s="92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</row>
    <row r="575">
      <c r="A575" s="91"/>
      <c r="B575" s="57"/>
      <c r="C575" s="57"/>
      <c r="D575" s="92"/>
      <c r="E575" s="92"/>
      <c r="F575" s="92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</row>
    <row r="576">
      <c r="A576" s="91"/>
      <c r="B576" s="57"/>
      <c r="C576" s="57"/>
      <c r="D576" s="92"/>
      <c r="E576" s="92"/>
      <c r="F576" s="92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</row>
    <row r="577">
      <c r="A577" s="91"/>
      <c r="B577" s="57"/>
      <c r="C577" s="57"/>
      <c r="D577" s="92"/>
      <c r="E577" s="92"/>
      <c r="F577" s="92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</row>
    <row r="578">
      <c r="A578" s="91"/>
      <c r="B578" s="57"/>
      <c r="C578" s="57"/>
      <c r="D578" s="92"/>
      <c r="E578" s="92"/>
      <c r="F578" s="92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</row>
    <row r="579">
      <c r="A579" s="91"/>
      <c r="B579" s="57"/>
      <c r="C579" s="57"/>
      <c r="D579" s="92"/>
      <c r="E579" s="92"/>
      <c r="F579" s="92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</row>
    <row r="580">
      <c r="A580" s="91"/>
      <c r="B580" s="57"/>
      <c r="C580" s="57"/>
      <c r="D580" s="92"/>
      <c r="E580" s="92"/>
      <c r="F580" s="92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</row>
    <row r="581">
      <c r="A581" s="91"/>
      <c r="B581" s="57"/>
      <c r="C581" s="57"/>
      <c r="D581" s="92"/>
      <c r="E581" s="92"/>
      <c r="F581" s="92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</row>
    <row r="582">
      <c r="A582" s="91"/>
      <c r="B582" s="57"/>
      <c r="C582" s="57"/>
      <c r="D582" s="92"/>
      <c r="E582" s="92"/>
      <c r="F582" s="92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</row>
    <row r="583">
      <c r="A583" s="91"/>
      <c r="B583" s="57"/>
      <c r="C583" s="57"/>
      <c r="D583" s="92"/>
      <c r="E583" s="92"/>
      <c r="F583" s="92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</row>
    <row r="584">
      <c r="A584" s="91"/>
      <c r="B584" s="57"/>
      <c r="C584" s="57"/>
      <c r="D584" s="92"/>
      <c r="E584" s="92"/>
      <c r="F584" s="92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</row>
    <row r="585">
      <c r="A585" s="91"/>
      <c r="B585" s="57"/>
      <c r="C585" s="57"/>
      <c r="D585" s="92"/>
      <c r="E585" s="92"/>
      <c r="F585" s="92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</row>
    <row r="586">
      <c r="A586" s="91"/>
      <c r="B586" s="57"/>
      <c r="C586" s="57"/>
      <c r="D586" s="92"/>
      <c r="E586" s="92"/>
      <c r="F586" s="92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</row>
    <row r="587">
      <c r="A587" s="91"/>
      <c r="B587" s="57"/>
      <c r="C587" s="57"/>
      <c r="D587" s="92"/>
      <c r="E587" s="92"/>
      <c r="F587" s="92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</row>
    <row r="588">
      <c r="A588" s="91"/>
      <c r="B588" s="57"/>
      <c r="C588" s="57"/>
      <c r="D588" s="92"/>
      <c r="E588" s="92"/>
      <c r="F588" s="92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</row>
    <row r="589">
      <c r="A589" s="91"/>
      <c r="B589" s="57"/>
      <c r="C589" s="57"/>
      <c r="D589" s="92"/>
      <c r="E589" s="92"/>
      <c r="F589" s="92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</row>
    <row r="590">
      <c r="A590" s="91"/>
      <c r="B590" s="57"/>
      <c r="C590" s="57"/>
      <c r="D590" s="92"/>
      <c r="E590" s="92"/>
      <c r="F590" s="92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</row>
    <row r="591">
      <c r="A591" s="91"/>
      <c r="B591" s="57"/>
      <c r="C591" s="57"/>
      <c r="D591" s="92"/>
      <c r="E591" s="92"/>
      <c r="F591" s="92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</row>
    <row r="592">
      <c r="A592" s="91"/>
      <c r="B592" s="57"/>
      <c r="C592" s="57"/>
      <c r="D592" s="92"/>
      <c r="E592" s="92"/>
      <c r="F592" s="92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</row>
    <row r="593">
      <c r="A593" s="91"/>
      <c r="B593" s="57"/>
      <c r="C593" s="57"/>
      <c r="D593" s="92"/>
      <c r="E593" s="92"/>
      <c r="F593" s="92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</row>
    <row r="594">
      <c r="A594" s="91"/>
      <c r="B594" s="57"/>
      <c r="C594" s="57"/>
      <c r="D594" s="92"/>
      <c r="E594" s="92"/>
      <c r="F594" s="92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</row>
    <row r="595">
      <c r="A595" s="91"/>
      <c r="B595" s="57"/>
      <c r="C595" s="57"/>
      <c r="D595" s="92"/>
      <c r="E595" s="92"/>
      <c r="F595" s="92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</row>
    <row r="596">
      <c r="A596" s="91"/>
      <c r="B596" s="57"/>
      <c r="C596" s="57"/>
      <c r="D596" s="92"/>
      <c r="E596" s="92"/>
      <c r="F596" s="92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</row>
    <row r="597">
      <c r="A597" s="91"/>
      <c r="B597" s="57"/>
      <c r="C597" s="57"/>
      <c r="D597" s="92"/>
      <c r="E597" s="92"/>
      <c r="F597" s="92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</row>
    <row r="598">
      <c r="A598" s="91"/>
      <c r="B598" s="57"/>
      <c r="C598" s="57"/>
      <c r="D598" s="92"/>
      <c r="E598" s="92"/>
      <c r="F598" s="92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</row>
    <row r="599">
      <c r="A599" s="91"/>
      <c r="B599" s="57"/>
      <c r="C599" s="57"/>
      <c r="D599" s="92"/>
      <c r="E599" s="92"/>
      <c r="F599" s="92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</row>
    <row r="600">
      <c r="A600" s="91"/>
      <c r="B600" s="57"/>
      <c r="C600" s="57"/>
      <c r="D600" s="92"/>
      <c r="E600" s="92"/>
      <c r="F600" s="92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</row>
    <row r="601">
      <c r="A601" s="91"/>
      <c r="B601" s="57"/>
      <c r="C601" s="57"/>
      <c r="D601" s="92"/>
      <c r="E601" s="92"/>
      <c r="F601" s="92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</row>
    <row r="602">
      <c r="A602" s="91"/>
      <c r="B602" s="57"/>
      <c r="C602" s="57"/>
      <c r="D602" s="92"/>
      <c r="E602" s="92"/>
      <c r="F602" s="92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</row>
    <row r="603">
      <c r="A603" s="91"/>
      <c r="B603" s="57"/>
      <c r="C603" s="57"/>
      <c r="D603" s="92"/>
      <c r="E603" s="92"/>
      <c r="F603" s="92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</row>
    <row r="604">
      <c r="A604" s="91"/>
      <c r="B604" s="57"/>
      <c r="C604" s="57"/>
      <c r="D604" s="92"/>
      <c r="E604" s="92"/>
      <c r="F604" s="92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</row>
    <row r="605">
      <c r="A605" s="91"/>
      <c r="B605" s="57"/>
      <c r="C605" s="57"/>
      <c r="D605" s="92"/>
      <c r="E605" s="92"/>
      <c r="F605" s="92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</row>
    <row r="606">
      <c r="A606" s="91"/>
      <c r="B606" s="57"/>
      <c r="C606" s="57"/>
      <c r="D606" s="92"/>
      <c r="E606" s="92"/>
      <c r="F606" s="92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</row>
    <row r="607">
      <c r="A607" s="91"/>
      <c r="B607" s="57"/>
      <c r="C607" s="57"/>
      <c r="D607" s="92"/>
      <c r="E607" s="92"/>
      <c r="F607" s="92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</row>
    <row r="608">
      <c r="A608" s="91"/>
      <c r="B608" s="57"/>
      <c r="C608" s="57"/>
      <c r="D608" s="92"/>
      <c r="E608" s="92"/>
      <c r="F608" s="92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</row>
    <row r="609">
      <c r="A609" s="91"/>
      <c r="B609" s="57"/>
      <c r="C609" s="57"/>
      <c r="D609" s="92"/>
      <c r="E609" s="92"/>
      <c r="F609" s="92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</row>
    <row r="610">
      <c r="A610" s="91"/>
      <c r="B610" s="57"/>
      <c r="C610" s="57"/>
      <c r="D610" s="92"/>
      <c r="E610" s="92"/>
      <c r="F610" s="92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</row>
    <row r="611">
      <c r="A611" s="91"/>
      <c r="B611" s="57"/>
      <c r="C611" s="57"/>
      <c r="D611" s="92"/>
      <c r="E611" s="92"/>
      <c r="F611" s="92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</row>
    <row r="612">
      <c r="A612" s="91"/>
      <c r="B612" s="57"/>
      <c r="C612" s="57"/>
      <c r="D612" s="92"/>
      <c r="E612" s="92"/>
      <c r="F612" s="92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</row>
    <row r="613">
      <c r="A613" s="91"/>
      <c r="B613" s="57"/>
      <c r="C613" s="57"/>
      <c r="D613" s="92"/>
      <c r="E613" s="92"/>
      <c r="F613" s="92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</row>
    <row r="614">
      <c r="A614" s="91"/>
      <c r="B614" s="57"/>
      <c r="C614" s="57"/>
      <c r="D614" s="92"/>
      <c r="E614" s="92"/>
      <c r="F614" s="92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</row>
    <row r="615">
      <c r="A615" s="91"/>
      <c r="B615" s="57"/>
      <c r="C615" s="57"/>
      <c r="D615" s="92"/>
      <c r="E615" s="92"/>
      <c r="F615" s="92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</row>
    <row r="616">
      <c r="A616" s="91"/>
      <c r="B616" s="57"/>
      <c r="C616" s="57"/>
      <c r="D616" s="92"/>
      <c r="E616" s="92"/>
      <c r="F616" s="92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</row>
    <row r="617">
      <c r="A617" s="91"/>
      <c r="B617" s="57"/>
      <c r="C617" s="57"/>
      <c r="D617" s="92"/>
      <c r="E617" s="92"/>
      <c r="F617" s="92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</row>
    <row r="618">
      <c r="A618" s="91"/>
      <c r="B618" s="57"/>
      <c r="C618" s="57"/>
      <c r="D618" s="92"/>
      <c r="E618" s="92"/>
      <c r="F618" s="92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</row>
    <row r="619">
      <c r="A619" s="91"/>
      <c r="B619" s="57"/>
      <c r="C619" s="57"/>
      <c r="D619" s="92"/>
      <c r="E619" s="92"/>
      <c r="F619" s="92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</row>
    <row r="620">
      <c r="A620" s="91"/>
      <c r="B620" s="57"/>
      <c r="C620" s="57"/>
      <c r="D620" s="92"/>
      <c r="E620" s="92"/>
      <c r="F620" s="92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</row>
    <row r="621">
      <c r="A621" s="91"/>
      <c r="B621" s="57"/>
      <c r="C621" s="57"/>
      <c r="D621" s="92"/>
      <c r="E621" s="92"/>
      <c r="F621" s="92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</row>
    <row r="622">
      <c r="A622" s="91"/>
      <c r="B622" s="57"/>
      <c r="C622" s="57"/>
      <c r="D622" s="92"/>
      <c r="E622" s="92"/>
      <c r="F622" s="92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</row>
    <row r="623">
      <c r="A623" s="91"/>
      <c r="B623" s="57"/>
      <c r="C623" s="57"/>
      <c r="D623" s="92"/>
      <c r="E623" s="92"/>
      <c r="F623" s="92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</row>
    <row r="624">
      <c r="A624" s="91"/>
      <c r="B624" s="57"/>
      <c r="C624" s="57"/>
      <c r="D624" s="92"/>
      <c r="E624" s="92"/>
      <c r="F624" s="92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</row>
    <row r="625">
      <c r="A625" s="91"/>
      <c r="B625" s="57"/>
      <c r="C625" s="57"/>
      <c r="D625" s="92"/>
      <c r="E625" s="92"/>
      <c r="F625" s="92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</row>
    <row r="626">
      <c r="A626" s="91"/>
      <c r="B626" s="57"/>
      <c r="C626" s="57"/>
      <c r="D626" s="92"/>
      <c r="E626" s="92"/>
      <c r="F626" s="92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</row>
    <row r="627">
      <c r="A627" s="91"/>
      <c r="B627" s="57"/>
      <c r="C627" s="57"/>
      <c r="D627" s="92"/>
      <c r="E627" s="92"/>
      <c r="F627" s="92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</row>
    <row r="628">
      <c r="A628" s="91"/>
      <c r="B628" s="57"/>
      <c r="C628" s="57"/>
      <c r="D628" s="92"/>
      <c r="E628" s="92"/>
      <c r="F628" s="92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</row>
    <row r="629">
      <c r="A629" s="91"/>
      <c r="B629" s="57"/>
      <c r="C629" s="57"/>
      <c r="D629" s="92"/>
      <c r="E629" s="92"/>
      <c r="F629" s="92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</row>
    <row r="630">
      <c r="A630" s="91"/>
      <c r="B630" s="57"/>
      <c r="C630" s="57"/>
      <c r="D630" s="92"/>
      <c r="E630" s="92"/>
      <c r="F630" s="92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</row>
    <row r="631">
      <c r="A631" s="91"/>
      <c r="B631" s="57"/>
      <c r="C631" s="57"/>
      <c r="D631" s="92"/>
      <c r="E631" s="92"/>
      <c r="F631" s="92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</row>
    <row r="632">
      <c r="A632" s="91"/>
      <c r="B632" s="57"/>
      <c r="C632" s="57"/>
      <c r="D632" s="92"/>
      <c r="E632" s="92"/>
      <c r="F632" s="92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</row>
    <row r="633">
      <c r="A633" s="91"/>
      <c r="B633" s="57"/>
      <c r="C633" s="57"/>
      <c r="D633" s="92"/>
      <c r="E633" s="92"/>
      <c r="F633" s="92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</row>
    <row r="634">
      <c r="A634" s="91"/>
      <c r="B634" s="57"/>
      <c r="C634" s="57"/>
      <c r="D634" s="92"/>
      <c r="E634" s="92"/>
      <c r="F634" s="92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</row>
    <row r="635">
      <c r="A635" s="91"/>
      <c r="B635" s="57"/>
      <c r="C635" s="57"/>
      <c r="D635" s="92"/>
      <c r="E635" s="92"/>
      <c r="F635" s="92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</row>
    <row r="636">
      <c r="A636" s="91"/>
      <c r="B636" s="57"/>
      <c r="C636" s="57"/>
      <c r="D636" s="92"/>
      <c r="E636" s="92"/>
      <c r="F636" s="92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</row>
    <row r="637">
      <c r="A637" s="91"/>
      <c r="B637" s="57"/>
      <c r="C637" s="57"/>
      <c r="D637" s="92"/>
      <c r="E637" s="92"/>
      <c r="F637" s="92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</row>
    <row r="638">
      <c r="A638" s="91"/>
      <c r="B638" s="57"/>
      <c r="C638" s="57"/>
      <c r="D638" s="92"/>
      <c r="E638" s="92"/>
      <c r="F638" s="92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</row>
    <row r="639">
      <c r="A639" s="91"/>
      <c r="B639" s="57"/>
      <c r="C639" s="57"/>
      <c r="D639" s="92"/>
      <c r="E639" s="92"/>
      <c r="F639" s="92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</row>
    <row r="640">
      <c r="A640" s="91"/>
      <c r="B640" s="57"/>
      <c r="C640" s="57"/>
      <c r="D640" s="92"/>
      <c r="E640" s="92"/>
      <c r="F640" s="92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</row>
    <row r="641">
      <c r="A641" s="91"/>
      <c r="B641" s="57"/>
      <c r="C641" s="57"/>
      <c r="D641" s="92"/>
      <c r="E641" s="92"/>
      <c r="F641" s="92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</row>
    <row r="642">
      <c r="A642" s="91"/>
      <c r="B642" s="57"/>
      <c r="C642" s="57"/>
      <c r="D642" s="92"/>
      <c r="E642" s="92"/>
      <c r="F642" s="92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</row>
    <row r="643">
      <c r="A643" s="91"/>
      <c r="B643" s="57"/>
      <c r="C643" s="57"/>
      <c r="D643" s="92"/>
      <c r="E643" s="92"/>
      <c r="F643" s="92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</row>
    <row r="644">
      <c r="A644" s="91"/>
      <c r="B644" s="57"/>
      <c r="C644" s="57"/>
      <c r="D644" s="92"/>
      <c r="E644" s="92"/>
      <c r="F644" s="92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</row>
    <row r="645">
      <c r="A645" s="91"/>
      <c r="B645" s="57"/>
      <c r="C645" s="57"/>
      <c r="D645" s="92"/>
      <c r="E645" s="92"/>
      <c r="F645" s="92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</row>
    <row r="646">
      <c r="A646" s="91"/>
      <c r="B646" s="57"/>
      <c r="C646" s="57"/>
      <c r="D646" s="92"/>
      <c r="E646" s="92"/>
      <c r="F646" s="92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</row>
    <row r="647">
      <c r="A647" s="91"/>
      <c r="B647" s="57"/>
      <c r="C647" s="57"/>
      <c r="D647" s="92"/>
      <c r="E647" s="92"/>
      <c r="F647" s="92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</row>
    <row r="648">
      <c r="A648" s="91"/>
      <c r="B648" s="57"/>
      <c r="C648" s="57"/>
      <c r="D648" s="92"/>
      <c r="E648" s="92"/>
      <c r="F648" s="92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</row>
    <row r="649">
      <c r="A649" s="91"/>
      <c r="B649" s="57"/>
      <c r="C649" s="57"/>
      <c r="D649" s="92"/>
      <c r="E649" s="92"/>
      <c r="F649" s="92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</row>
    <row r="650">
      <c r="A650" s="91"/>
      <c r="B650" s="57"/>
      <c r="C650" s="57"/>
      <c r="D650" s="92"/>
      <c r="E650" s="92"/>
      <c r="F650" s="92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</row>
    <row r="651">
      <c r="A651" s="91"/>
      <c r="B651" s="57"/>
      <c r="C651" s="57"/>
      <c r="D651" s="92"/>
      <c r="E651" s="92"/>
      <c r="F651" s="92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</row>
    <row r="652">
      <c r="A652" s="91"/>
      <c r="B652" s="57"/>
      <c r="C652" s="57"/>
      <c r="D652" s="92"/>
      <c r="E652" s="92"/>
      <c r="F652" s="92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</row>
    <row r="653">
      <c r="A653" s="91"/>
      <c r="B653" s="57"/>
      <c r="C653" s="57"/>
      <c r="D653" s="92"/>
      <c r="E653" s="92"/>
      <c r="F653" s="92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</row>
    <row r="654">
      <c r="A654" s="91"/>
      <c r="B654" s="57"/>
      <c r="C654" s="57"/>
      <c r="D654" s="92"/>
      <c r="E654" s="92"/>
      <c r="F654" s="92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</row>
    <row r="655">
      <c r="A655" s="91"/>
      <c r="B655" s="57"/>
      <c r="C655" s="57"/>
      <c r="D655" s="92"/>
      <c r="E655" s="92"/>
      <c r="F655" s="92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</row>
    <row r="656">
      <c r="A656" s="91"/>
      <c r="B656" s="57"/>
      <c r="C656" s="57"/>
      <c r="D656" s="92"/>
      <c r="E656" s="92"/>
      <c r="F656" s="92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</row>
    <row r="657">
      <c r="A657" s="91"/>
      <c r="B657" s="57"/>
      <c r="C657" s="57"/>
      <c r="D657" s="92"/>
      <c r="E657" s="92"/>
      <c r="F657" s="92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</row>
    <row r="658">
      <c r="A658" s="91"/>
      <c r="B658" s="57"/>
      <c r="C658" s="57"/>
      <c r="D658" s="92"/>
      <c r="E658" s="92"/>
      <c r="F658" s="92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</row>
    <row r="659">
      <c r="A659" s="91"/>
      <c r="B659" s="57"/>
      <c r="C659" s="57"/>
      <c r="D659" s="92"/>
      <c r="E659" s="92"/>
      <c r="F659" s="92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</row>
    <row r="660">
      <c r="A660" s="91"/>
      <c r="B660" s="57"/>
      <c r="C660" s="57"/>
      <c r="D660" s="92"/>
      <c r="E660" s="92"/>
      <c r="F660" s="92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</row>
    <row r="661">
      <c r="A661" s="91"/>
      <c r="B661" s="57"/>
      <c r="C661" s="57"/>
      <c r="D661" s="92"/>
      <c r="E661" s="92"/>
      <c r="F661" s="92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</row>
    <row r="662">
      <c r="A662" s="91"/>
      <c r="B662" s="57"/>
      <c r="C662" s="57"/>
      <c r="D662" s="92"/>
      <c r="E662" s="92"/>
      <c r="F662" s="92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</row>
    <row r="663">
      <c r="A663" s="91"/>
      <c r="B663" s="57"/>
      <c r="C663" s="57"/>
      <c r="D663" s="92"/>
      <c r="E663" s="92"/>
      <c r="F663" s="92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</row>
    <row r="664">
      <c r="A664" s="91"/>
      <c r="B664" s="57"/>
      <c r="C664" s="57"/>
      <c r="D664" s="92"/>
      <c r="E664" s="92"/>
      <c r="F664" s="92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</row>
    <row r="665">
      <c r="A665" s="91"/>
      <c r="B665" s="57"/>
      <c r="C665" s="57"/>
      <c r="D665" s="92"/>
      <c r="E665" s="92"/>
      <c r="F665" s="92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</row>
    <row r="666">
      <c r="A666" s="91"/>
      <c r="B666" s="57"/>
      <c r="C666" s="57"/>
      <c r="D666" s="92"/>
      <c r="E666" s="92"/>
      <c r="F666" s="92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</row>
    <row r="667">
      <c r="A667" s="91"/>
      <c r="B667" s="57"/>
      <c r="C667" s="57"/>
      <c r="D667" s="92"/>
      <c r="E667" s="92"/>
      <c r="F667" s="92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</row>
    <row r="668">
      <c r="A668" s="91"/>
      <c r="B668" s="57"/>
      <c r="C668" s="57"/>
      <c r="D668" s="92"/>
      <c r="E668" s="92"/>
      <c r="F668" s="92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</row>
    <row r="669">
      <c r="A669" s="91"/>
      <c r="B669" s="57"/>
      <c r="C669" s="57"/>
      <c r="D669" s="92"/>
      <c r="E669" s="92"/>
      <c r="F669" s="92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</row>
    <row r="670">
      <c r="A670" s="91"/>
      <c r="B670" s="57"/>
      <c r="C670" s="57"/>
      <c r="D670" s="92"/>
      <c r="E670" s="92"/>
      <c r="F670" s="92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</row>
    <row r="671">
      <c r="A671" s="91"/>
      <c r="B671" s="57"/>
      <c r="C671" s="57"/>
      <c r="D671" s="92"/>
      <c r="E671" s="92"/>
      <c r="F671" s="92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</row>
    <row r="672">
      <c r="A672" s="91"/>
      <c r="B672" s="57"/>
      <c r="C672" s="57"/>
      <c r="D672" s="92"/>
      <c r="E672" s="92"/>
      <c r="F672" s="92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</row>
    <row r="673">
      <c r="A673" s="91"/>
      <c r="B673" s="57"/>
      <c r="C673" s="57"/>
      <c r="D673" s="92"/>
      <c r="E673" s="92"/>
      <c r="F673" s="92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</row>
    <row r="674">
      <c r="A674" s="91"/>
      <c r="B674" s="57"/>
      <c r="C674" s="57"/>
      <c r="D674" s="92"/>
      <c r="E674" s="92"/>
      <c r="F674" s="92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</row>
    <row r="675">
      <c r="A675" s="91"/>
      <c r="B675" s="57"/>
      <c r="C675" s="57"/>
      <c r="D675" s="92"/>
      <c r="E675" s="92"/>
      <c r="F675" s="92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</row>
    <row r="676">
      <c r="A676" s="91"/>
      <c r="B676" s="57"/>
      <c r="C676" s="57"/>
      <c r="D676" s="92"/>
      <c r="E676" s="92"/>
      <c r="F676" s="92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</row>
    <row r="677">
      <c r="A677" s="91"/>
      <c r="B677" s="57"/>
      <c r="C677" s="57"/>
      <c r="D677" s="92"/>
      <c r="E677" s="92"/>
      <c r="F677" s="92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</row>
    <row r="678">
      <c r="A678" s="91"/>
      <c r="B678" s="57"/>
      <c r="C678" s="57"/>
      <c r="D678" s="92"/>
      <c r="E678" s="92"/>
      <c r="F678" s="92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</row>
    <row r="679">
      <c r="A679" s="91"/>
      <c r="B679" s="57"/>
      <c r="C679" s="57"/>
      <c r="D679" s="92"/>
      <c r="E679" s="92"/>
      <c r="F679" s="92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</row>
    <row r="680">
      <c r="A680" s="91"/>
      <c r="B680" s="57"/>
      <c r="C680" s="57"/>
      <c r="D680" s="92"/>
      <c r="E680" s="92"/>
      <c r="F680" s="92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</row>
    <row r="681">
      <c r="A681" s="91"/>
      <c r="B681" s="57"/>
      <c r="C681" s="57"/>
      <c r="D681" s="92"/>
      <c r="E681" s="92"/>
      <c r="F681" s="92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</row>
    <row r="682">
      <c r="A682" s="91"/>
      <c r="B682" s="57"/>
      <c r="C682" s="57"/>
      <c r="D682" s="92"/>
      <c r="E682" s="92"/>
      <c r="F682" s="92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</row>
    <row r="683">
      <c r="A683" s="91"/>
      <c r="B683" s="57"/>
      <c r="C683" s="57"/>
      <c r="D683" s="92"/>
      <c r="E683" s="92"/>
      <c r="F683" s="92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</row>
    <row r="684">
      <c r="A684" s="91"/>
      <c r="B684" s="57"/>
      <c r="C684" s="57"/>
      <c r="D684" s="92"/>
      <c r="E684" s="92"/>
      <c r="F684" s="92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</row>
    <row r="685">
      <c r="A685" s="91"/>
      <c r="B685" s="57"/>
      <c r="C685" s="57"/>
      <c r="D685" s="92"/>
      <c r="E685" s="92"/>
      <c r="F685" s="92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</row>
    <row r="686">
      <c r="A686" s="91"/>
      <c r="B686" s="57"/>
      <c r="C686" s="57"/>
      <c r="D686" s="92"/>
      <c r="E686" s="92"/>
      <c r="F686" s="92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</row>
    <row r="687">
      <c r="A687" s="91"/>
      <c r="B687" s="57"/>
      <c r="C687" s="57"/>
      <c r="D687" s="92"/>
      <c r="E687" s="92"/>
      <c r="F687" s="92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</row>
    <row r="688">
      <c r="A688" s="91"/>
      <c r="B688" s="57"/>
      <c r="C688" s="57"/>
      <c r="D688" s="92"/>
      <c r="E688" s="92"/>
      <c r="F688" s="92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</row>
    <row r="689">
      <c r="A689" s="91"/>
      <c r="B689" s="57"/>
      <c r="C689" s="57"/>
      <c r="D689" s="92"/>
      <c r="E689" s="92"/>
      <c r="F689" s="92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</row>
    <row r="690">
      <c r="A690" s="91"/>
      <c r="B690" s="57"/>
      <c r="C690" s="57"/>
      <c r="D690" s="92"/>
      <c r="E690" s="92"/>
      <c r="F690" s="92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</row>
    <row r="691">
      <c r="A691" s="91"/>
      <c r="B691" s="57"/>
      <c r="C691" s="57"/>
      <c r="D691" s="92"/>
      <c r="E691" s="92"/>
      <c r="F691" s="92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</row>
    <row r="692">
      <c r="A692" s="91"/>
      <c r="B692" s="57"/>
      <c r="C692" s="57"/>
      <c r="D692" s="92"/>
      <c r="E692" s="92"/>
      <c r="F692" s="92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</row>
    <row r="693">
      <c r="A693" s="91"/>
      <c r="B693" s="57"/>
      <c r="C693" s="57"/>
      <c r="D693" s="92"/>
      <c r="E693" s="92"/>
      <c r="F693" s="92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</row>
    <row r="694">
      <c r="A694" s="91"/>
      <c r="B694" s="57"/>
      <c r="C694" s="57"/>
      <c r="D694" s="92"/>
      <c r="E694" s="92"/>
      <c r="F694" s="92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</row>
    <row r="695">
      <c r="A695" s="91"/>
      <c r="B695" s="57"/>
      <c r="C695" s="57"/>
      <c r="D695" s="92"/>
      <c r="E695" s="92"/>
      <c r="F695" s="92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</row>
    <row r="696">
      <c r="A696" s="91"/>
      <c r="B696" s="57"/>
      <c r="C696" s="57"/>
      <c r="D696" s="92"/>
      <c r="E696" s="92"/>
      <c r="F696" s="92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</row>
    <row r="697">
      <c r="A697" s="91"/>
      <c r="B697" s="57"/>
      <c r="C697" s="57"/>
      <c r="D697" s="92"/>
      <c r="E697" s="92"/>
      <c r="F697" s="92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</row>
    <row r="698">
      <c r="A698" s="91"/>
      <c r="B698" s="57"/>
      <c r="C698" s="57"/>
      <c r="D698" s="92"/>
      <c r="E698" s="92"/>
      <c r="F698" s="92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</row>
    <row r="699">
      <c r="A699" s="91"/>
      <c r="B699" s="57"/>
      <c r="C699" s="57"/>
      <c r="D699" s="92"/>
      <c r="E699" s="92"/>
      <c r="F699" s="92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</row>
    <row r="700">
      <c r="A700" s="91"/>
      <c r="B700" s="57"/>
      <c r="C700" s="57"/>
      <c r="D700" s="92"/>
      <c r="E700" s="92"/>
      <c r="F700" s="92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</row>
    <row r="701">
      <c r="A701" s="91"/>
      <c r="B701" s="57"/>
      <c r="C701" s="57"/>
      <c r="D701" s="92"/>
      <c r="E701" s="92"/>
      <c r="F701" s="92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</row>
    <row r="702">
      <c r="A702" s="91"/>
      <c r="B702" s="57"/>
      <c r="C702" s="57"/>
      <c r="D702" s="92"/>
      <c r="E702" s="92"/>
      <c r="F702" s="92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</row>
    <row r="703">
      <c r="A703" s="91"/>
      <c r="B703" s="57"/>
      <c r="C703" s="57"/>
      <c r="D703" s="92"/>
      <c r="E703" s="92"/>
      <c r="F703" s="92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</row>
    <row r="704">
      <c r="A704" s="91"/>
      <c r="B704" s="57"/>
      <c r="C704" s="57"/>
      <c r="D704" s="92"/>
      <c r="E704" s="92"/>
      <c r="F704" s="92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</row>
    <row r="705">
      <c r="A705" s="91"/>
      <c r="B705" s="57"/>
      <c r="C705" s="57"/>
      <c r="D705" s="92"/>
      <c r="E705" s="92"/>
      <c r="F705" s="92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</row>
    <row r="706">
      <c r="A706" s="91"/>
      <c r="B706" s="57"/>
      <c r="C706" s="57"/>
      <c r="D706" s="92"/>
      <c r="E706" s="92"/>
      <c r="F706" s="92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</row>
    <row r="707">
      <c r="A707" s="91"/>
      <c r="B707" s="57"/>
      <c r="C707" s="57"/>
      <c r="D707" s="92"/>
      <c r="E707" s="92"/>
      <c r="F707" s="92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</row>
    <row r="708">
      <c r="A708" s="91"/>
      <c r="B708" s="57"/>
      <c r="C708" s="57"/>
      <c r="D708" s="92"/>
      <c r="E708" s="92"/>
      <c r="F708" s="92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</row>
    <row r="709">
      <c r="A709" s="91"/>
      <c r="B709" s="57"/>
      <c r="C709" s="57"/>
      <c r="D709" s="92"/>
      <c r="E709" s="92"/>
      <c r="F709" s="92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</row>
    <row r="710">
      <c r="A710" s="91"/>
      <c r="B710" s="57"/>
      <c r="C710" s="57"/>
      <c r="D710" s="92"/>
      <c r="E710" s="92"/>
      <c r="F710" s="92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</row>
    <row r="711">
      <c r="A711" s="91"/>
      <c r="B711" s="57"/>
      <c r="C711" s="57"/>
      <c r="D711" s="92"/>
      <c r="E711" s="92"/>
      <c r="F711" s="92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</row>
    <row r="712">
      <c r="A712" s="91"/>
      <c r="B712" s="57"/>
      <c r="C712" s="57"/>
      <c r="D712" s="92"/>
      <c r="E712" s="92"/>
      <c r="F712" s="92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</row>
    <row r="713">
      <c r="A713" s="91"/>
      <c r="B713" s="57"/>
      <c r="C713" s="57"/>
      <c r="D713" s="92"/>
      <c r="E713" s="92"/>
      <c r="F713" s="92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</row>
    <row r="714">
      <c r="A714" s="91"/>
      <c r="B714" s="57"/>
      <c r="C714" s="57"/>
      <c r="D714" s="92"/>
      <c r="E714" s="92"/>
      <c r="F714" s="92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</row>
    <row r="715">
      <c r="A715" s="91"/>
      <c r="B715" s="57"/>
      <c r="C715" s="57"/>
      <c r="D715" s="92"/>
      <c r="E715" s="92"/>
      <c r="F715" s="92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</row>
    <row r="716">
      <c r="A716" s="91"/>
      <c r="B716" s="57"/>
      <c r="C716" s="57"/>
      <c r="D716" s="92"/>
      <c r="E716" s="92"/>
      <c r="F716" s="92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</row>
    <row r="717">
      <c r="A717" s="91"/>
      <c r="B717" s="57"/>
      <c r="C717" s="57"/>
      <c r="D717" s="92"/>
      <c r="E717" s="92"/>
      <c r="F717" s="92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</row>
    <row r="718">
      <c r="A718" s="91"/>
      <c r="B718" s="57"/>
      <c r="C718" s="57"/>
      <c r="D718" s="92"/>
      <c r="E718" s="92"/>
      <c r="F718" s="92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</row>
    <row r="719">
      <c r="A719" s="91"/>
      <c r="B719" s="57"/>
      <c r="C719" s="57"/>
      <c r="D719" s="92"/>
      <c r="E719" s="92"/>
      <c r="F719" s="92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</row>
    <row r="720">
      <c r="A720" s="91"/>
      <c r="B720" s="57"/>
      <c r="C720" s="57"/>
      <c r="D720" s="92"/>
      <c r="E720" s="92"/>
      <c r="F720" s="92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</row>
    <row r="721">
      <c r="A721" s="91"/>
      <c r="B721" s="57"/>
      <c r="C721" s="57"/>
      <c r="D721" s="92"/>
      <c r="E721" s="92"/>
      <c r="F721" s="92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</row>
    <row r="722">
      <c r="A722" s="91"/>
      <c r="B722" s="57"/>
      <c r="C722" s="57"/>
      <c r="D722" s="92"/>
      <c r="E722" s="92"/>
      <c r="F722" s="92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</row>
    <row r="723">
      <c r="A723" s="91"/>
      <c r="B723" s="57"/>
      <c r="C723" s="57"/>
      <c r="D723" s="92"/>
      <c r="E723" s="92"/>
      <c r="F723" s="92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</row>
    <row r="724">
      <c r="A724" s="91"/>
      <c r="B724" s="57"/>
      <c r="C724" s="57"/>
      <c r="D724" s="92"/>
      <c r="E724" s="92"/>
      <c r="F724" s="92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</row>
    <row r="725">
      <c r="A725" s="91"/>
      <c r="B725" s="57"/>
      <c r="C725" s="57"/>
      <c r="D725" s="92"/>
      <c r="E725" s="92"/>
      <c r="F725" s="92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</row>
    <row r="726">
      <c r="A726" s="91"/>
      <c r="B726" s="57"/>
      <c r="C726" s="57"/>
      <c r="D726" s="92"/>
      <c r="E726" s="92"/>
      <c r="F726" s="92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</row>
    <row r="727">
      <c r="A727" s="91"/>
      <c r="B727" s="57"/>
      <c r="C727" s="57"/>
      <c r="D727" s="92"/>
      <c r="E727" s="92"/>
      <c r="F727" s="92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</row>
    <row r="728">
      <c r="A728" s="91"/>
      <c r="B728" s="57"/>
      <c r="C728" s="57"/>
      <c r="D728" s="92"/>
      <c r="E728" s="92"/>
      <c r="F728" s="92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</row>
    <row r="729">
      <c r="A729" s="91"/>
      <c r="B729" s="57"/>
      <c r="C729" s="57"/>
      <c r="D729" s="92"/>
      <c r="E729" s="92"/>
      <c r="F729" s="92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</row>
    <row r="730">
      <c r="A730" s="91"/>
      <c r="B730" s="57"/>
      <c r="C730" s="57"/>
      <c r="D730" s="92"/>
      <c r="E730" s="92"/>
      <c r="F730" s="92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</row>
    <row r="731">
      <c r="A731" s="91"/>
      <c r="B731" s="57"/>
      <c r="C731" s="57"/>
      <c r="D731" s="92"/>
      <c r="E731" s="92"/>
      <c r="F731" s="92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</row>
    <row r="732">
      <c r="A732" s="91"/>
      <c r="B732" s="57"/>
      <c r="C732" s="57"/>
      <c r="D732" s="92"/>
      <c r="E732" s="92"/>
      <c r="F732" s="92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</row>
    <row r="733">
      <c r="A733" s="91"/>
      <c r="B733" s="57"/>
      <c r="C733" s="57"/>
      <c r="D733" s="92"/>
      <c r="E733" s="92"/>
      <c r="F733" s="92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</row>
    <row r="734">
      <c r="A734" s="91"/>
      <c r="B734" s="57"/>
      <c r="C734" s="57"/>
      <c r="D734" s="92"/>
      <c r="E734" s="92"/>
      <c r="F734" s="92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</row>
    <row r="735">
      <c r="A735" s="91"/>
      <c r="B735" s="57"/>
      <c r="C735" s="57"/>
      <c r="D735" s="92"/>
      <c r="E735" s="92"/>
      <c r="F735" s="92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</row>
    <row r="736">
      <c r="A736" s="91"/>
      <c r="B736" s="57"/>
      <c r="C736" s="57"/>
      <c r="D736" s="92"/>
      <c r="E736" s="92"/>
      <c r="F736" s="92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</row>
    <row r="737">
      <c r="A737" s="91"/>
      <c r="B737" s="57"/>
      <c r="C737" s="57"/>
      <c r="D737" s="92"/>
      <c r="E737" s="92"/>
      <c r="F737" s="92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</row>
    <row r="738">
      <c r="A738" s="91"/>
      <c r="B738" s="57"/>
      <c r="C738" s="57"/>
      <c r="D738" s="92"/>
      <c r="E738" s="92"/>
      <c r="F738" s="92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</row>
    <row r="739">
      <c r="A739" s="91"/>
      <c r="B739" s="57"/>
      <c r="C739" s="57"/>
      <c r="D739" s="92"/>
      <c r="E739" s="92"/>
      <c r="F739" s="92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</row>
    <row r="740">
      <c r="A740" s="91"/>
      <c r="B740" s="57"/>
      <c r="C740" s="57"/>
      <c r="D740" s="92"/>
      <c r="E740" s="92"/>
      <c r="F740" s="92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</row>
    <row r="741">
      <c r="A741" s="91"/>
      <c r="B741" s="57"/>
      <c r="C741" s="57"/>
      <c r="D741" s="92"/>
      <c r="E741" s="92"/>
      <c r="F741" s="92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</row>
    <row r="742">
      <c r="A742" s="91"/>
      <c r="B742" s="57"/>
      <c r="C742" s="57"/>
      <c r="D742" s="92"/>
      <c r="E742" s="92"/>
      <c r="F742" s="92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</row>
    <row r="743">
      <c r="A743" s="91"/>
      <c r="B743" s="57"/>
      <c r="C743" s="57"/>
      <c r="D743" s="92"/>
      <c r="E743" s="92"/>
      <c r="F743" s="92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</row>
    <row r="744">
      <c r="A744" s="91"/>
      <c r="B744" s="57"/>
      <c r="C744" s="57"/>
      <c r="D744" s="92"/>
      <c r="E744" s="92"/>
      <c r="F744" s="92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</row>
    <row r="745">
      <c r="A745" s="91"/>
      <c r="B745" s="57"/>
      <c r="C745" s="57"/>
      <c r="D745" s="92"/>
      <c r="E745" s="92"/>
      <c r="F745" s="92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</row>
    <row r="746">
      <c r="A746" s="91"/>
      <c r="B746" s="57"/>
      <c r="C746" s="57"/>
      <c r="D746" s="92"/>
      <c r="E746" s="92"/>
      <c r="F746" s="92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</row>
    <row r="747">
      <c r="A747" s="91"/>
      <c r="B747" s="57"/>
      <c r="C747" s="57"/>
      <c r="D747" s="92"/>
      <c r="E747" s="92"/>
      <c r="F747" s="92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</row>
    <row r="748">
      <c r="A748" s="91"/>
      <c r="B748" s="57"/>
      <c r="C748" s="57"/>
      <c r="D748" s="92"/>
      <c r="E748" s="92"/>
      <c r="F748" s="92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</row>
    <row r="749">
      <c r="A749" s="91"/>
      <c r="B749" s="57"/>
      <c r="C749" s="57"/>
      <c r="D749" s="92"/>
      <c r="E749" s="92"/>
      <c r="F749" s="92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</row>
    <row r="750">
      <c r="A750" s="91"/>
      <c r="B750" s="57"/>
      <c r="C750" s="57"/>
      <c r="D750" s="92"/>
      <c r="E750" s="92"/>
      <c r="F750" s="92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</row>
    <row r="751">
      <c r="A751" s="91"/>
      <c r="B751" s="57"/>
      <c r="C751" s="57"/>
      <c r="D751" s="92"/>
      <c r="E751" s="92"/>
      <c r="F751" s="92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</row>
    <row r="752">
      <c r="A752" s="91"/>
      <c r="B752" s="57"/>
      <c r="C752" s="57"/>
      <c r="D752" s="92"/>
      <c r="E752" s="92"/>
      <c r="F752" s="92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</row>
    <row r="753">
      <c r="A753" s="91"/>
      <c r="B753" s="57"/>
      <c r="C753" s="57"/>
      <c r="D753" s="92"/>
      <c r="E753" s="92"/>
      <c r="F753" s="92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</row>
    <row r="754">
      <c r="A754" s="91"/>
      <c r="B754" s="57"/>
      <c r="C754" s="57"/>
      <c r="D754" s="92"/>
      <c r="E754" s="92"/>
      <c r="F754" s="92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</row>
    <row r="755">
      <c r="A755" s="91"/>
      <c r="B755" s="57"/>
      <c r="C755" s="57"/>
      <c r="D755" s="92"/>
      <c r="E755" s="92"/>
      <c r="F755" s="92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</row>
    <row r="756">
      <c r="A756" s="91"/>
      <c r="B756" s="57"/>
      <c r="C756" s="57"/>
      <c r="D756" s="92"/>
      <c r="E756" s="92"/>
      <c r="F756" s="92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</row>
    <row r="757">
      <c r="A757" s="91"/>
      <c r="B757" s="57"/>
      <c r="C757" s="57"/>
      <c r="D757" s="92"/>
      <c r="E757" s="92"/>
      <c r="F757" s="92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</row>
    <row r="758">
      <c r="A758" s="91"/>
      <c r="B758" s="57"/>
      <c r="C758" s="57"/>
      <c r="D758" s="92"/>
      <c r="E758" s="92"/>
      <c r="F758" s="92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</row>
    <row r="759">
      <c r="A759" s="91"/>
      <c r="B759" s="57"/>
      <c r="C759" s="57"/>
      <c r="D759" s="92"/>
      <c r="E759" s="92"/>
      <c r="F759" s="92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</row>
    <row r="760">
      <c r="A760" s="91"/>
      <c r="B760" s="57"/>
      <c r="C760" s="57"/>
      <c r="D760" s="92"/>
      <c r="E760" s="92"/>
      <c r="F760" s="92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</row>
    <row r="761">
      <c r="A761" s="91"/>
      <c r="B761" s="57"/>
      <c r="C761" s="57"/>
      <c r="D761" s="92"/>
      <c r="E761" s="92"/>
      <c r="F761" s="92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</row>
    <row r="762">
      <c r="A762" s="91"/>
      <c r="B762" s="57"/>
      <c r="C762" s="57"/>
      <c r="D762" s="92"/>
      <c r="E762" s="92"/>
      <c r="F762" s="92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</row>
    <row r="763">
      <c r="A763" s="91"/>
      <c r="B763" s="57"/>
      <c r="C763" s="57"/>
      <c r="D763" s="92"/>
      <c r="E763" s="92"/>
      <c r="F763" s="92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</row>
    <row r="764">
      <c r="A764" s="91"/>
      <c r="B764" s="57"/>
      <c r="C764" s="57"/>
      <c r="D764" s="92"/>
      <c r="E764" s="92"/>
      <c r="F764" s="92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</row>
    <row r="765">
      <c r="A765" s="91"/>
      <c r="B765" s="57"/>
      <c r="C765" s="57"/>
      <c r="D765" s="92"/>
      <c r="E765" s="92"/>
      <c r="F765" s="92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</row>
    <row r="766">
      <c r="A766" s="91"/>
      <c r="B766" s="57"/>
      <c r="C766" s="57"/>
      <c r="D766" s="92"/>
      <c r="E766" s="92"/>
      <c r="F766" s="92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</row>
    <row r="767">
      <c r="A767" s="91"/>
      <c r="B767" s="57"/>
      <c r="C767" s="57"/>
      <c r="D767" s="92"/>
      <c r="E767" s="92"/>
      <c r="F767" s="92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</row>
    <row r="768">
      <c r="A768" s="91"/>
      <c r="B768" s="57"/>
      <c r="C768" s="57"/>
      <c r="D768" s="92"/>
      <c r="E768" s="92"/>
      <c r="F768" s="92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</row>
    <row r="769">
      <c r="A769" s="91"/>
      <c r="B769" s="57"/>
      <c r="C769" s="57"/>
      <c r="D769" s="92"/>
      <c r="E769" s="92"/>
      <c r="F769" s="92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</row>
    <row r="770">
      <c r="A770" s="91"/>
      <c r="B770" s="57"/>
      <c r="C770" s="57"/>
      <c r="D770" s="92"/>
      <c r="E770" s="92"/>
      <c r="F770" s="92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</row>
    <row r="771">
      <c r="A771" s="91"/>
      <c r="B771" s="57"/>
      <c r="C771" s="57"/>
      <c r="D771" s="92"/>
      <c r="E771" s="92"/>
      <c r="F771" s="92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</row>
    <row r="772">
      <c r="A772" s="91"/>
      <c r="B772" s="57"/>
      <c r="C772" s="57"/>
      <c r="D772" s="92"/>
      <c r="E772" s="92"/>
      <c r="F772" s="92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</row>
    <row r="773">
      <c r="A773" s="91"/>
      <c r="B773" s="57"/>
      <c r="C773" s="57"/>
      <c r="D773" s="92"/>
      <c r="E773" s="92"/>
      <c r="F773" s="92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</row>
    <row r="774">
      <c r="A774" s="91"/>
      <c r="B774" s="57"/>
      <c r="C774" s="57"/>
      <c r="D774" s="92"/>
      <c r="E774" s="92"/>
      <c r="F774" s="92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</row>
    <row r="775">
      <c r="A775" s="91"/>
      <c r="B775" s="57"/>
      <c r="C775" s="57"/>
      <c r="D775" s="92"/>
      <c r="E775" s="92"/>
      <c r="F775" s="92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</row>
    <row r="776">
      <c r="A776" s="91"/>
      <c r="B776" s="57"/>
      <c r="C776" s="57"/>
      <c r="D776" s="92"/>
      <c r="E776" s="92"/>
      <c r="F776" s="92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</row>
    <row r="777">
      <c r="A777" s="91"/>
      <c r="B777" s="57"/>
      <c r="C777" s="57"/>
      <c r="D777" s="92"/>
      <c r="E777" s="92"/>
      <c r="F777" s="92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</row>
    <row r="778">
      <c r="A778" s="91"/>
      <c r="B778" s="57"/>
      <c r="C778" s="57"/>
      <c r="D778" s="92"/>
      <c r="E778" s="92"/>
      <c r="F778" s="92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</row>
    <row r="779">
      <c r="A779" s="91"/>
      <c r="B779" s="57"/>
      <c r="C779" s="57"/>
      <c r="D779" s="92"/>
      <c r="E779" s="92"/>
      <c r="F779" s="92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</row>
    <row r="780">
      <c r="A780" s="91"/>
      <c r="B780" s="57"/>
      <c r="C780" s="57"/>
      <c r="D780" s="92"/>
      <c r="E780" s="92"/>
      <c r="F780" s="92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</row>
    <row r="781">
      <c r="A781" s="91"/>
      <c r="B781" s="57"/>
      <c r="C781" s="57"/>
      <c r="D781" s="92"/>
      <c r="E781" s="92"/>
      <c r="F781" s="92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</row>
    <row r="782">
      <c r="A782" s="91"/>
      <c r="B782" s="57"/>
      <c r="C782" s="57"/>
      <c r="D782" s="92"/>
      <c r="E782" s="92"/>
      <c r="F782" s="92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</row>
    <row r="783">
      <c r="A783" s="91"/>
      <c r="B783" s="57"/>
      <c r="C783" s="57"/>
      <c r="D783" s="92"/>
      <c r="E783" s="92"/>
      <c r="F783" s="92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</row>
    <row r="784">
      <c r="A784" s="91"/>
      <c r="B784" s="57"/>
      <c r="C784" s="57"/>
      <c r="D784" s="92"/>
      <c r="E784" s="92"/>
      <c r="F784" s="92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</row>
    <row r="785">
      <c r="A785" s="91"/>
      <c r="B785" s="57"/>
      <c r="C785" s="57"/>
      <c r="D785" s="92"/>
      <c r="E785" s="92"/>
      <c r="F785" s="92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</row>
    <row r="786">
      <c r="A786" s="91"/>
      <c r="B786" s="57"/>
      <c r="C786" s="57"/>
      <c r="D786" s="92"/>
      <c r="E786" s="92"/>
      <c r="F786" s="92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</row>
    <row r="787">
      <c r="A787" s="91"/>
      <c r="B787" s="57"/>
      <c r="C787" s="57"/>
      <c r="D787" s="92"/>
      <c r="E787" s="92"/>
      <c r="F787" s="92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</row>
    <row r="788">
      <c r="A788" s="91"/>
      <c r="B788" s="57"/>
      <c r="C788" s="57"/>
      <c r="D788" s="92"/>
      <c r="E788" s="92"/>
      <c r="F788" s="92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</row>
    <row r="789">
      <c r="A789" s="91"/>
      <c r="B789" s="57"/>
      <c r="C789" s="57"/>
      <c r="D789" s="92"/>
      <c r="E789" s="92"/>
      <c r="F789" s="92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</row>
    <row r="790">
      <c r="A790" s="91"/>
      <c r="B790" s="57"/>
      <c r="C790" s="57"/>
      <c r="D790" s="92"/>
      <c r="E790" s="92"/>
      <c r="F790" s="92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</row>
    <row r="791">
      <c r="A791" s="91"/>
      <c r="B791" s="57"/>
      <c r="C791" s="57"/>
      <c r="D791" s="92"/>
      <c r="E791" s="92"/>
      <c r="F791" s="92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</row>
    <row r="792">
      <c r="A792" s="91"/>
      <c r="B792" s="57"/>
      <c r="C792" s="57"/>
      <c r="D792" s="92"/>
      <c r="E792" s="92"/>
      <c r="F792" s="92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</row>
    <row r="793">
      <c r="A793" s="91"/>
      <c r="B793" s="57"/>
      <c r="C793" s="57"/>
      <c r="D793" s="92"/>
      <c r="E793" s="92"/>
      <c r="F793" s="92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</row>
    <row r="794">
      <c r="A794" s="91"/>
      <c r="B794" s="57"/>
      <c r="C794" s="57"/>
      <c r="D794" s="92"/>
      <c r="E794" s="92"/>
      <c r="F794" s="92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</row>
    <row r="795">
      <c r="A795" s="91"/>
      <c r="B795" s="57"/>
      <c r="C795" s="57"/>
      <c r="D795" s="92"/>
      <c r="E795" s="92"/>
      <c r="F795" s="92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</row>
    <row r="796">
      <c r="A796" s="91"/>
      <c r="B796" s="57"/>
      <c r="C796" s="57"/>
      <c r="D796" s="92"/>
      <c r="E796" s="92"/>
      <c r="F796" s="92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</row>
    <row r="797">
      <c r="A797" s="91"/>
      <c r="B797" s="57"/>
      <c r="C797" s="57"/>
      <c r="D797" s="92"/>
      <c r="E797" s="92"/>
      <c r="F797" s="92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</row>
    <row r="798">
      <c r="A798" s="91"/>
      <c r="B798" s="57"/>
      <c r="C798" s="57"/>
      <c r="D798" s="92"/>
      <c r="E798" s="92"/>
      <c r="F798" s="92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</row>
    <row r="799">
      <c r="A799" s="91"/>
      <c r="B799" s="57"/>
      <c r="C799" s="57"/>
      <c r="D799" s="92"/>
      <c r="E799" s="92"/>
      <c r="F799" s="92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</row>
    <row r="800">
      <c r="A800" s="91"/>
      <c r="B800" s="57"/>
      <c r="C800" s="57"/>
      <c r="D800" s="92"/>
      <c r="E800" s="92"/>
      <c r="F800" s="92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</row>
    <row r="801">
      <c r="A801" s="91"/>
      <c r="B801" s="57"/>
      <c r="C801" s="57"/>
      <c r="D801" s="92"/>
      <c r="E801" s="92"/>
      <c r="F801" s="92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</row>
    <row r="802">
      <c r="A802" s="91"/>
      <c r="B802" s="57"/>
      <c r="C802" s="57"/>
      <c r="D802" s="92"/>
      <c r="E802" s="92"/>
      <c r="F802" s="92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</row>
    <row r="803">
      <c r="A803" s="91"/>
      <c r="B803" s="57"/>
      <c r="C803" s="57"/>
      <c r="D803" s="92"/>
      <c r="E803" s="92"/>
      <c r="F803" s="92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</row>
    <row r="804">
      <c r="A804" s="91"/>
      <c r="B804" s="57"/>
      <c r="C804" s="57"/>
      <c r="D804" s="92"/>
      <c r="E804" s="92"/>
      <c r="F804" s="92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</row>
    <row r="805">
      <c r="A805" s="91"/>
      <c r="B805" s="57"/>
      <c r="C805" s="57"/>
      <c r="D805" s="92"/>
      <c r="E805" s="92"/>
      <c r="F805" s="92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</row>
    <row r="806">
      <c r="A806" s="91"/>
      <c r="B806" s="57"/>
      <c r="C806" s="57"/>
      <c r="D806" s="92"/>
      <c r="E806" s="92"/>
      <c r="F806" s="92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</row>
    <row r="807">
      <c r="A807" s="91"/>
      <c r="B807" s="57"/>
      <c r="C807" s="57"/>
      <c r="D807" s="92"/>
      <c r="E807" s="92"/>
      <c r="F807" s="92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</row>
    <row r="808">
      <c r="A808" s="91"/>
      <c r="B808" s="57"/>
      <c r="C808" s="57"/>
      <c r="D808" s="92"/>
      <c r="E808" s="92"/>
      <c r="F808" s="92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</row>
    <row r="809">
      <c r="A809" s="91"/>
      <c r="B809" s="57"/>
      <c r="C809" s="57"/>
      <c r="D809" s="92"/>
      <c r="E809" s="92"/>
      <c r="F809" s="92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</row>
    <row r="810">
      <c r="A810" s="91"/>
      <c r="B810" s="57"/>
      <c r="C810" s="57"/>
      <c r="D810" s="92"/>
      <c r="E810" s="92"/>
      <c r="F810" s="92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</row>
    <row r="811">
      <c r="A811" s="91"/>
      <c r="B811" s="57"/>
      <c r="C811" s="57"/>
      <c r="D811" s="92"/>
      <c r="E811" s="92"/>
      <c r="F811" s="92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</row>
    <row r="812">
      <c r="A812" s="91"/>
      <c r="B812" s="57"/>
      <c r="C812" s="57"/>
      <c r="D812" s="92"/>
      <c r="E812" s="92"/>
      <c r="F812" s="92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</row>
    <row r="813">
      <c r="A813" s="91"/>
      <c r="B813" s="57"/>
      <c r="C813" s="57"/>
      <c r="D813" s="92"/>
      <c r="E813" s="92"/>
      <c r="F813" s="92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</row>
    <row r="814">
      <c r="A814" s="91"/>
      <c r="B814" s="57"/>
      <c r="C814" s="57"/>
      <c r="D814" s="92"/>
      <c r="E814" s="92"/>
      <c r="F814" s="92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</row>
    <row r="815">
      <c r="A815" s="91"/>
      <c r="B815" s="57"/>
      <c r="C815" s="57"/>
      <c r="D815" s="92"/>
      <c r="E815" s="92"/>
      <c r="F815" s="92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</row>
    <row r="816">
      <c r="A816" s="91"/>
      <c r="B816" s="57"/>
      <c r="C816" s="57"/>
      <c r="D816" s="92"/>
      <c r="E816" s="92"/>
      <c r="F816" s="92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</row>
    <row r="817">
      <c r="A817" s="91"/>
      <c r="B817" s="57"/>
      <c r="C817" s="57"/>
      <c r="D817" s="92"/>
      <c r="E817" s="92"/>
      <c r="F817" s="92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</row>
    <row r="818">
      <c r="A818" s="91"/>
      <c r="B818" s="57"/>
      <c r="C818" s="57"/>
      <c r="D818" s="92"/>
      <c r="E818" s="92"/>
      <c r="F818" s="92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</row>
    <row r="819">
      <c r="A819" s="91"/>
      <c r="B819" s="57"/>
      <c r="C819" s="57"/>
      <c r="D819" s="92"/>
      <c r="E819" s="92"/>
      <c r="F819" s="92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</row>
    <row r="820">
      <c r="A820" s="91"/>
      <c r="B820" s="57"/>
      <c r="C820" s="57"/>
      <c r="D820" s="92"/>
      <c r="E820" s="92"/>
      <c r="F820" s="92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</row>
    <row r="821">
      <c r="A821" s="91"/>
      <c r="B821" s="57"/>
      <c r="C821" s="57"/>
      <c r="D821" s="92"/>
      <c r="E821" s="92"/>
      <c r="F821" s="92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</row>
    <row r="822">
      <c r="A822" s="91"/>
      <c r="B822" s="57"/>
      <c r="C822" s="57"/>
      <c r="D822" s="92"/>
      <c r="E822" s="92"/>
      <c r="F822" s="92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</row>
    <row r="823">
      <c r="A823" s="91"/>
      <c r="B823" s="57"/>
      <c r="C823" s="57"/>
      <c r="D823" s="92"/>
      <c r="E823" s="92"/>
      <c r="F823" s="92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</row>
    <row r="824">
      <c r="A824" s="91"/>
      <c r="B824" s="57"/>
      <c r="C824" s="57"/>
      <c r="D824" s="92"/>
      <c r="E824" s="92"/>
      <c r="F824" s="92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</row>
    <row r="825">
      <c r="A825" s="91"/>
      <c r="B825" s="57"/>
      <c r="C825" s="57"/>
      <c r="D825" s="92"/>
      <c r="E825" s="92"/>
      <c r="F825" s="92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</row>
    <row r="826">
      <c r="A826" s="91"/>
      <c r="B826" s="57"/>
      <c r="C826" s="57"/>
      <c r="D826" s="92"/>
      <c r="E826" s="92"/>
      <c r="F826" s="92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</row>
    <row r="827">
      <c r="A827" s="91"/>
      <c r="B827" s="57"/>
      <c r="C827" s="57"/>
      <c r="D827" s="92"/>
      <c r="E827" s="92"/>
      <c r="F827" s="92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</row>
    <row r="828">
      <c r="A828" s="91"/>
      <c r="B828" s="57"/>
      <c r="C828" s="57"/>
      <c r="D828" s="92"/>
      <c r="E828" s="92"/>
      <c r="F828" s="92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</row>
    <row r="829">
      <c r="A829" s="91"/>
      <c r="B829" s="57"/>
      <c r="C829" s="57"/>
      <c r="D829" s="92"/>
      <c r="E829" s="92"/>
      <c r="F829" s="92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</row>
    <row r="830">
      <c r="A830" s="91"/>
      <c r="B830" s="57"/>
      <c r="C830" s="57"/>
      <c r="D830" s="92"/>
      <c r="E830" s="92"/>
      <c r="F830" s="92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</row>
    <row r="831">
      <c r="A831" s="91"/>
      <c r="B831" s="57"/>
      <c r="C831" s="57"/>
      <c r="D831" s="92"/>
      <c r="E831" s="92"/>
      <c r="F831" s="92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</row>
    <row r="832">
      <c r="A832" s="91"/>
      <c r="B832" s="57"/>
      <c r="C832" s="57"/>
      <c r="D832" s="92"/>
      <c r="E832" s="92"/>
      <c r="F832" s="92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</row>
    <row r="833">
      <c r="A833" s="91"/>
      <c r="B833" s="57"/>
      <c r="C833" s="57"/>
      <c r="D833" s="92"/>
      <c r="E833" s="92"/>
      <c r="F833" s="92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</row>
    <row r="834">
      <c r="A834" s="91"/>
      <c r="B834" s="57"/>
      <c r="C834" s="57"/>
      <c r="D834" s="92"/>
      <c r="E834" s="92"/>
      <c r="F834" s="92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</row>
    <row r="835">
      <c r="A835" s="91"/>
      <c r="B835" s="57"/>
      <c r="C835" s="57"/>
      <c r="D835" s="92"/>
      <c r="E835" s="92"/>
      <c r="F835" s="92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</row>
    <row r="836">
      <c r="A836" s="91"/>
      <c r="B836" s="57"/>
      <c r="C836" s="57"/>
      <c r="D836" s="92"/>
      <c r="E836" s="92"/>
      <c r="F836" s="92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</row>
    <row r="837">
      <c r="A837" s="91"/>
      <c r="B837" s="57"/>
      <c r="C837" s="57"/>
      <c r="D837" s="92"/>
      <c r="E837" s="92"/>
      <c r="F837" s="92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</row>
    <row r="838">
      <c r="A838" s="91"/>
      <c r="B838" s="57"/>
      <c r="C838" s="57"/>
      <c r="D838" s="92"/>
      <c r="E838" s="92"/>
      <c r="F838" s="92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</row>
    <row r="839">
      <c r="A839" s="91"/>
      <c r="B839" s="57"/>
      <c r="C839" s="57"/>
      <c r="D839" s="92"/>
      <c r="E839" s="92"/>
      <c r="F839" s="92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</row>
    <row r="840">
      <c r="A840" s="91"/>
      <c r="B840" s="57"/>
      <c r="C840" s="57"/>
      <c r="D840" s="92"/>
      <c r="E840" s="92"/>
      <c r="F840" s="92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</row>
    <row r="841">
      <c r="A841" s="91"/>
      <c r="B841" s="57"/>
      <c r="C841" s="57"/>
      <c r="D841" s="92"/>
      <c r="E841" s="92"/>
      <c r="F841" s="92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</row>
    <row r="842">
      <c r="A842" s="91"/>
      <c r="B842" s="57"/>
      <c r="C842" s="57"/>
      <c r="D842" s="92"/>
      <c r="E842" s="92"/>
      <c r="F842" s="92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</row>
    <row r="843">
      <c r="A843" s="91"/>
      <c r="B843" s="57"/>
      <c r="C843" s="57"/>
      <c r="D843" s="92"/>
      <c r="E843" s="92"/>
      <c r="F843" s="92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</row>
    <row r="844">
      <c r="A844" s="91"/>
      <c r="B844" s="57"/>
      <c r="C844" s="57"/>
      <c r="D844" s="92"/>
      <c r="E844" s="92"/>
      <c r="F844" s="92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</row>
    <row r="845">
      <c r="A845" s="91"/>
      <c r="B845" s="57"/>
      <c r="C845" s="57"/>
      <c r="D845" s="92"/>
      <c r="E845" s="92"/>
      <c r="F845" s="92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</row>
    <row r="846">
      <c r="A846" s="91"/>
      <c r="B846" s="57"/>
      <c r="C846" s="57"/>
      <c r="D846" s="92"/>
      <c r="E846" s="92"/>
      <c r="F846" s="92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</row>
    <row r="847">
      <c r="A847" s="91"/>
      <c r="B847" s="57"/>
      <c r="C847" s="57"/>
      <c r="D847" s="92"/>
      <c r="E847" s="92"/>
      <c r="F847" s="92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</row>
    <row r="848">
      <c r="A848" s="91"/>
      <c r="B848" s="57"/>
      <c r="C848" s="57"/>
      <c r="D848" s="92"/>
      <c r="E848" s="92"/>
      <c r="F848" s="92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</row>
    <row r="849">
      <c r="A849" s="91"/>
      <c r="B849" s="57"/>
      <c r="C849" s="57"/>
      <c r="D849" s="92"/>
      <c r="E849" s="92"/>
      <c r="F849" s="92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</row>
    <row r="850">
      <c r="A850" s="91"/>
      <c r="B850" s="57"/>
      <c r="C850" s="57"/>
      <c r="D850" s="92"/>
      <c r="E850" s="92"/>
      <c r="F850" s="92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</row>
    <row r="851">
      <c r="A851" s="91"/>
      <c r="B851" s="57"/>
      <c r="C851" s="57"/>
      <c r="D851" s="92"/>
      <c r="E851" s="92"/>
      <c r="F851" s="92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</row>
    <row r="852">
      <c r="A852" s="91"/>
      <c r="B852" s="57"/>
      <c r="C852" s="57"/>
      <c r="D852" s="92"/>
      <c r="E852" s="92"/>
      <c r="F852" s="92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</row>
    <row r="853">
      <c r="A853" s="91"/>
      <c r="B853" s="57"/>
      <c r="C853" s="57"/>
      <c r="D853" s="92"/>
      <c r="E853" s="92"/>
      <c r="F853" s="92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</row>
    <row r="854">
      <c r="A854" s="91"/>
      <c r="B854" s="57"/>
      <c r="C854" s="57"/>
      <c r="D854" s="92"/>
      <c r="E854" s="92"/>
      <c r="F854" s="92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</row>
    <row r="855">
      <c r="A855" s="91"/>
      <c r="B855" s="57"/>
      <c r="C855" s="57"/>
      <c r="D855" s="92"/>
      <c r="E855" s="92"/>
      <c r="F855" s="92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</row>
    <row r="856">
      <c r="A856" s="91"/>
      <c r="B856" s="57"/>
      <c r="C856" s="57"/>
      <c r="D856" s="92"/>
      <c r="E856" s="92"/>
      <c r="F856" s="92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</row>
    <row r="857">
      <c r="A857" s="91"/>
      <c r="B857" s="57"/>
      <c r="C857" s="57"/>
      <c r="D857" s="92"/>
      <c r="E857" s="92"/>
      <c r="F857" s="92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</row>
    <row r="858">
      <c r="A858" s="91"/>
      <c r="B858" s="57"/>
      <c r="C858" s="57"/>
      <c r="D858" s="92"/>
      <c r="E858" s="92"/>
      <c r="F858" s="92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</row>
    <row r="859">
      <c r="A859" s="91"/>
      <c r="B859" s="57"/>
      <c r="C859" s="57"/>
      <c r="D859" s="92"/>
      <c r="E859" s="92"/>
      <c r="F859" s="92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</row>
    <row r="860">
      <c r="A860" s="91"/>
      <c r="B860" s="57"/>
      <c r="C860" s="57"/>
      <c r="D860" s="92"/>
      <c r="E860" s="92"/>
      <c r="F860" s="92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</row>
    <row r="861">
      <c r="A861" s="91"/>
      <c r="B861" s="57"/>
      <c r="C861" s="57"/>
      <c r="D861" s="92"/>
      <c r="E861" s="92"/>
      <c r="F861" s="92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</row>
    <row r="862">
      <c r="A862" s="91"/>
      <c r="B862" s="57"/>
      <c r="C862" s="57"/>
      <c r="D862" s="92"/>
      <c r="E862" s="92"/>
      <c r="F862" s="92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</row>
    <row r="863">
      <c r="A863" s="91"/>
      <c r="B863" s="57"/>
      <c r="C863" s="57"/>
      <c r="D863" s="92"/>
      <c r="E863" s="92"/>
      <c r="F863" s="92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</row>
    <row r="864">
      <c r="A864" s="91"/>
      <c r="B864" s="57"/>
      <c r="C864" s="57"/>
      <c r="D864" s="92"/>
      <c r="E864" s="92"/>
      <c r="F864" s="92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</row>
    <row r="865">
      <c r="A865" s="91"/>
      <c r="B865" s="57"/>
      <c r="C865" s="57"/>
      <c r="D865" s="92"/>
      <c r="E865" s="92"/>
      <c r="F865" s="92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</row>
    <row r="866">
      <c r="A866" s="91"/>
      <c r="B866" s="57"/>
      <c r="C866" s="57"/>
      <c r="D866" s="92"/>
      <c r="E866" s="92"/>
      <c r="F866" s="92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</row>
    <row r="867">
      <c r="A867" s="91"/>
      <c r="B867" s="57"/>
      <c r="C867" s="57"/>
      <c r="D867" s="92"/>
      <c r="E867" s="92"/>
      <c r="F867" s="92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</row>
    <row r="868">
      <c r="A868" s="91"/>
      <c r="B868" s="57"/>
      <c r="C868" s="57"/>
      <c r="D868" s="92"/>
      <c r="E868" s="92"/>
      <c r="F868" s="92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</row>
    <row r="869">
      <c r="A869" s="91"/>
      <c r="B869" s="57"/>
      <c r="C869" s="57"/>
      <c r="D869" s="92"/>
      <c r="E869" s="92"/>
      <c r="F869" s="92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</row>
    <row r="870">
      <c r="A870" s="91"/>
      <c r="B870" s="57"/>
      <c r="C870" s="57"/>
      <c r="D870" s="92"/>
      <c r="E870" s="92"/>
      <c r="F870" s="92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</row>
    <row r="871">
      <c r="A871" s="91"/>
      <c r="B871" s="57"/>
      <c r="C871" s="57"/>
      <c r="D871" s="92"/>
      <c r="E871" s="92"/>
      <c r="F871" s="92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</row>
    <row r="872">
      <c r="A872" s="91"/>
      <c r="B872" s="57"/>
      <c r="C872" s="57"/>
      <c r="D872" s="92"/>
      <c r="E872" s="92"/>
      <c r="F872" s="92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</row>
    <row r="873">
      <c r="A873" s="91"/>
      <c r="B873" s="57"/>
      <c r="C873" s="57"/>
      <c r="D873" s="92"/>
      <c r="E873" s="92"/>
      <c r="F873" s="92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</row>
    <row r="874">
      <c r="A874" s="91"/>
      <c r="B874" s="57"/>
      <c r="C874" s="57"/>
      <c r="D874" s="92"/>
      <c r="E874" s="92"/>
      <c r="F874" s="92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</row>
    <row r="875">
      <c r="A875" s="91"/>
      <c r="B875" s="57"/>
      <c r="C875" s="57"/>
      <c r="D875" s="92"/>
      <c r="E875" s="92"/>
      <c r="F875" s="92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</row>
    <row r="876">
      <c r="A876" s="91"/>
      <c r="B876" s="57"/>
      <c r="C876" s="57"/>
      <c r="D876" s="92"/>
      <c r="E876" s="92"/>
      <c r="F876" s="92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</row>
    <row r="877">
      <c r="A877" s="91"/>
      <c r="B877" s="57"/>
      <c r="C877" s="57"/>
      <c r="D877" s="92"/>
      <c r="E877" s="92"/>
      <c r="F877" s="92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</row>
    <row r="878">
      <c r="A878" s="91"/>
      <c r="B878" s="57"/>
      <c r="C878" s="57"/>
      <c r="D878" s="92"/>
      <c r="E878" s="92"/>
      <c r="F878" s="92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</row>
    <row r="879">
      <c r="A879" s="91"/>
      <c r="B879" s="57"/>
      <c r="C879" s="57"/>
      <c r="D879" s="92"/>
      <c r="E879" s="92"/>
      <c r="F879" s="92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</row>
    <row r="880">
      <c r="A880" s="91"/>
      <c r="B880" s="57"/>
      <c r="C880" s="57"/>
      <c r="D880" s="92"/>
      <c r="E880" s="92"/>
      <c r="F880" s="92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</row>
    <row r="881">
      <c r="A881" s="91"/>
      <c r="B881" s="57"/>
      <c r="C881" s="57"/>
      <c r="D881" s="92"/>
      <c r="E881" s="92"/>
      <c r="F881" s="92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</row>
    <row r="882">
      <c r="A882" s="91"/>
      <c r="B882" s="57"/>
      <c r="C882" s="57"/>
      <c r="D882" s="92"/>
      <c r="E882" s="92"/>
      <c r="F882" s="92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</row>
    <row r="883">
      <c r="A883" s="91"/>
      <c r="B883" s="57"/>
      <c r="C883" s="57"/>
      <c r="D883" s="92"/>
      <c r="E883" s="92"/>
      <c r="F883" s="92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</row>
    <row r="884">
      <c r="A884" s="91"/>
      <c r="B884" s="57"/>
      <c r="C884" s="57"/>
      <c r="D884" s="92"/>
      <c r="E884" s="92"/>
      <c r="F884" s="92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</row>
    <row r="885">
      <c r="A885" s="91"/>
      <c r="B885" s="57"/>
      <c r="C885" s="57"/>
      <c r="D885" s="92"/>
      <c r="E885" s="92"/>
      <c r="F885" s="92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</row>
    <row r="886">
      <c r="A886" s="91"/>
      <c r="B886" s="57"/>
      <c r="C886" s="57"/>
      <c r="D886" s="92"/>
      <c r="E886" s="92"/>
      <c r="F886" s="92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</row>
    <row r="887">
      <c r="A887" s="91"/>
      <c r="B887" s="57"/>
      <c r="C887" s="57"/>
      <c r="D887" s="92"/>
      <c r="E887" s="92"/>
      <c r="F887" s="92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</row>
    <row r="888">
      <c r="A888" s="91"/>
      <c r="B888" s="57"/>
      <c r="C888" s="57"/>
      <c r="D888" s="92"/>
      <c r="E888" s="92"/>
      <c r="F888" s="92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</row>
    <row r="889">
      <c r="A889" s="91"/>
      <c r="B889" s="57"/>
      <c r="C889" s="57"/>
      <c r="D889" s="92"/>
      <c r="E889" s="92"/>
      <c r="F889" s="92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</row>
    <row r="890">
      <c r="A890" s="91"/>
      <c r="B890" s="57"/>
      <c r="C890" s="57"/>
      <c r="D890" s="92"/>
      <c r="E890" s="92"/>
      <c r="F890" s="92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</row>
    <row r="891">
      <c r="A891" s="91"/>
      <c r="B891" s="57"/>
      <c r="C891" s="57"/>
      <c r="D891" s="92"/>
      <c r="E891" s="92"/>
      <c r="F891" s="92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</row>
    <row r="892">
      <c r="A892" s="91"/>
      <c r="B892" s="57"/>
      <c r="C892" s="57"/>
      <c r="D892" s="92"/>
      <c r="E892" s="92"/>
      <c r="F892" s="92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</row>
    <row r="893">
      <c r="A893" s="91"/>
      <c r="B893" s="57"/>
      <c r="C893" s="57"/>
      <c r="D893" s="92"/>
      <c r="E893" s="92"/>
      <c r="F893" s="92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</row>
    <row r="894">
      <c r="A894" s="91"/>
      <c r="B894" s="57"/>
      <c r="C894" s="57"/>
      <c r="D894" s="92"/>
      <c r="E894" s="92"/>
      <c r="F894" s="92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</row>
    <row r="895">
      <c r="A895" s="91"/>
      <c r="B895" s="57"/>
      <c r="C895" s="57"/>
      <c r="D895" s="92"/>
      <c r="E895" s="92"/>
      <c r="F895" s="92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</row>
    <row r="896">
      <c r="A896" s="91"/>
      <c r="B896" s="57"/>
      <c r="C896" s="57"/>
      <c r="D896" s="92"/>
      <c r="E896" s="92"/>
      <c r="F896" s="92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</row>
    <row r="897">
      <c r="A897" s="91"/>
      <c r="B897" s="57"/>
      <c r="C897" s="57"/>
      <c r="D897" s="92"/>
      <c r="E897" s="92"/>
      <c r="F897" s="92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</row>
    <row r="898">
      <c r="A898" s="91"/>
      <c r="B898" s="57"/>
      <c r="C898" s="57"/>
      <c r="D898" s="92"/>
      <c r="E898" s="92"/>
      <c r="F898" s="92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</row>
    <row r="899">
      <c r="A899" s="91"/>
      <c r="B899" s="57"/>
      <c r="C899" s="57"/>
      <c r="D899" s="92"/>
      <c r="E899" s="92"/>
      <c r="F899" s="92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</row>
    <row r="900">
      <c r="A900" s="91"/>
      <c r="B900" s="57"/>
      <c r="C900" s="57"/>
      <c r="D900" s="92"/>
      <c r="E900" s="92"/>
      <c r="F900" s="92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</row>
    <row r="901">
      <c r="A901" s="91"/>
      <c r="B901" s="57"/>
      <c r="C901" s="57"/>
      <c r="D901" s="92"/>
      <c r="E901" s="92"/>
      <c r="F901" s="92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</row>
    <row r="902">
      <c r="A902" s="91"/>
      <c r="B902" s="57"/>
      <c r="C902" s="57"/>
      <c r="D902" s="92"/>
      <c r="E902" s="92"/>
      <c r="F902" s="92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</row>
    <row r="903">
      <c r="A903" s="91"/>
      <c r="B903" s="57"/>
      <c r="C903" s="57"/>
      <c r="D903" s="92"/>
      <c r="E903" s="92"/>
      <c r="F903" s="92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</row>
    <row r="904">
      <c r="A904" s="91"/>
      <c r="B904" s="57"/>
      <c r="C904" s="57"/>
      <c r="D904" s="92"/>
      <c r="E904" s="92"/>
      <c r="F904" s="92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</row>
    <row r="905">
      <c r="A905" s="91"/>
      <c r="B905" s="57"/>
      <c r="C905" s="57"/>
      <c r="D905" s="92"/>
      <c r="E905" s="92"/>
      <c r="F905" s="92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</row>
    <row r="906">
      <c r="A906" s="91"/>
      <c r="B906" s="57"/>
      <c r="C906" s="57"/>
      <c r="D906" s="92"/>
      <c r="E906" s="92"/>
      <c r="F906" s="92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</row>
    <row r="907">
      <c r="A907" s="91"/>
      <c r="B907" s="57"/>
      <c r="C907" s="57"/>
      <c r="D907" s="92"/>
      <c r="E907" s="92"/>
      <c r="F907" s="92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</row>
    <row r="908">
      <c r="A908" s="91"/>
      <c r="B908" s="57"/>
      <c r="C908" s="57"/>
      <c r="D908" s="92"/>
      <c r="E908" s="92"/>
      <c r="F908" s="92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</row>
    <row r="909">
      <c r="A909" s="91"/>
      <c r="B909" s="57"/>
      <c r="C909" s="57"/>
      <c r="D909" s="92"/>
      <c r="E909" s="92"/>
      <c r="F909" s="92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</row>
    <row r="910">
      <c r="A910" s="91"/>
      <c r="B910" s="57"/>
      <c r="C910" s="57"/>
      <c r="D910" s="92"/>
      <c r="E910" s="92"/>
      <c r="F910" s="92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</row>
    <row r="911">
      <c r="A911" s="91"/>
      <c r="B911" s="57"/>
      <c r="C911" s="57"/>
      <c r="D911" s="92"/>
      <c r="E911" s="92"/>
      <c r="F911" s="92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</row>
    <row r="912">
      <c r="A912" s="91"/>
      <c r="B912" s="57"/>
      <c r="C912" s="57"/>
      <c r="D912" s="92"/>
      <c r="E912" s="92"/>
      <c r="F912" s="92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</row>
    <row r="913">
      <c r="A913" s="91"/>
      <c r="B913" s="57"/>
      <c r="C913" s="57"/>
      <c r="D913" s="92"/>
      <c r="E913" s="92"/>
      <c r="F913" s="92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</row>
    <row r="914">
      <c r="A914" s="91"/>
      <c r="B914" s="57"/>
      <c r="C914" s="57"/>
      <c r="D914" s="92"/>
      <c r="E914" s="92"/>
      <c r="F914" s="92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</row>
    <row r="915">
      <c r="A915" s="91"/>
      <c r="B915" s="57"/>
      <c r="C915" s="57"/>
      <c r="D915" s="92"/>
      <c r="E915" s="92"/>
      <c r="F915" s="92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</row>
    <row r="916">
      <c r="A916" s="91"/>
      <c r="B916" s="57"/>
      <c r="C916" s="57"/>
      <c r="D916" s="92"/>
      <c r="E916" s="92"/>
      <c r="F916" s="92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</row>
    <row r="917">
      <c r="A917" s="91"/>
      <c r="B917" s="57"/>
      <c r="C917" s="57"/>
      <c r="D917" s="92"/>
      <c r="E917" s="92"/>
      <c r="F917" s="92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</row>
    <row r="918">
      <c r="A918" s="91"/>
      <c r="B918" s="57"/>
      <c r="C918" s="57"/>
      <c r="D918" s="92"/>
      <c r="E918" s="92"/>
      <c r="F918" s="92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</row>
    <row r="919">
      <c r="A919" s="91"/>
      <c r="B919" s="57"/>
      <c r="C919" s="57"/>
      <c r="D919" s="92"/>
      <c r="E919" s="92"/>
      <c r="F919" s="92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</row>
    <row r="920">
      <c r="A920" s="91"/>
      <c r="B920" s="57"/>
      <c r="C920" s="57"/>
      <c r="D920" s="92"/>
      <c r="E920" s="92"/>
      <c r="F920" s="92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</row>
    <row r="921">
      <c r="A921" s="91"/>
      <c r="B921" s="57"/>
      <c r="C921" s="57"/>
      <c r="D921" s="92"/>
      <c r="E921" s="92"/>
      <c r="F921" s="92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</row>
    <row r="922">
      <c r="A922" s="91"/>
      <c r="B922" s="57"/>
      <c r="C922" s="57"/>
      <c r="D922" s="92"/>
      <c r="E922" s="92"/>
      <c r="F922" s="92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</row>
    <row r="923">
      <c r="A923" s="91"/>
      <c r="B923" s="57"/>
      <c r="C923" s="57"/>
      <c r="D923" s="92"/>
      <c r="E923" s="92"/>
      <c r="F923" s="92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</row>
    <row r="924">
      <c r="A924" s="91"/>
      <c r="B924" s="57"/>
      <c r="C924" s="57"/>
      <c r="D924" s="92"/>
      <c r="E924" s="92"/>
      <c r="F924" s="92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</row>
    <row r="925">
      <c r="A925" s="91"/>
      <c r="B925" s="57"/>
      <c r="C925" s="57"/>
      <c r="D925" s="92"/>
      <c r="E925" s="92"/>
      <c r="F925" s="92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</row>
    <row r="926">
      <c r="A926" s="91"/>
      <c r="B926" s="57"/>
      <c r="C926" s="57"/>
      <c r="D926" s="92"/>
      <c r="E926" s="92"/>
      <c r="F926" s="92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</row>
    <row r="927">
      <c r="A927" s="91"/>
      <c r="B927" s="57"/>
      <c r="C927" s="57"/>
      <c r="D927" s="92"/>
      <c r="E927" s="92"/>
      <c r="F927" s="92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</row>
    <row r="928">
      <c r="A928" s="91"/>
      <c r="B928" s="57"/>
      <c r="C928" s="57"/>
      <c r="D928" s="92"/>
      <c r="E928" s="92"/>
      <c r="F928" s="92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</row>
    <row r="929">
      <c r="A929" s="91"/>
      <c r="B929" s="57"/>
      <c r="C929" s="57"/>
      <c r="D929" s="92"/>
      <c r="E929" s="92"/>
      <c r="F929" s="92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</row>
    <row r="930">
      <c r="A930" s="91"/>
      <c r="B930" s="57"/>
      <c r="C930" s="57"/>
      <c r="D930" s="92"/>
      <c r="E930" s="92"/>
      <c r="F930" s="92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</row>
    <row r="931">
      <c r="A931" s="91"/>
      <c r="B931" s="57"/>
      <c r="C931" s="57"/>
      <c r="D931" s="92"/>
      <c r="E931" s="92"/>
      <c r="F931" s="92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</row>
    <row r="932">
      <c r="A932" s="91"/>
      <c r="B932" s="57"/>
      <c r="C932" s="57"/>
      <c r="D932" s="92"/>
      <c r="E932" s="92"/>
      <c r="F932" s="92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</row>
    <row r="933">
      <c r="A933" s="91"/>
      <c r="B933" s="57"/>
      <c r="C933" s="57"/>
      <c r="D933" s="92"/>
      <c r="E933" s="92"/>
      <c r="F933" s="92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</row>
    <row r="934">
      <c r="A934" s="91"/>
      <c r="B934" s="57"/>
      <c r="C934" s="57"/>
      <c r="D934" s="92"/>
      <c r="E934" s="92"/>
      <c r="F934" s="92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</row>
    <row r="935">
      <c r="A935" s="91"/>
      <c r="B935" s="57"/>
      <c r="C935" s="57"/>
      <c r="D935" s="92"/>
      <c r="E935" s="92"/>
      <c r="F935" s="92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</row>
    <row r="936">
      <c r="A936" s="91"/>
      <c r="B936" s="57"/>
      <c r="C936" s="57"/>
      <c r="D936" s="92"/>
      <c r="E936" s="92"/>
      <c r="F936" s="92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</row>
    <row r="937">
      <c r="A937" s="91"/>
      <c r="B937" s="57"/>
      <c r="C937" s="57"/>
      <c r="D937" s="92"/>
      <c r="E937" s="92"/>
      <c r="F937" s="92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</row>
    <row r="938">
      <c r="A938" s="91"/>
      <c r="B938" s="57"/>
      <c r="C938" s="57"/>
      <c r="D938" s="92"/>
      <c r="E938" s="92"/>
      <c r="F938" s="92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</row>
    <row r="939">
      <c r="A939" s="91"/>
      <c r="B939" s="57"/>
      <c r="C939" s="57"/>
      <c r="D939" s="92"/>
      <c r="E939" s="92"/>
      <c r="F939" s="92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</row>
    <row r="940">
      <c r="A940" s="91"/>
      <c r="B940" s="57"/>
      <c r="C940" s="57"/>
      <c r="D940" s="92"/>
      <c r="E940" s="92"/>
      <c r="F940" s="92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</row>
    <row r="941">
      <c r="A941" s="91"/>
      <c r="B941" s="57"/>
      <c r="C941" s="57"/>
      <c r="D941" s="92"/>
      <c r="E941" s="92"/>
      <c r="F941" s="92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</row>
    <row r="942">
      <c r="A942" s="91"/>
      <c r="B942" s="57"/>
      <c r="C942" s="57"/>
      <c r="D942" s="92"/>
      <c r="E942" s="92"/>
      <c r="F942" s="92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</row>
    <row r="943">
      <c r="A943" s="91"/>
      <c r="B943" s="57"/>
      <c r="C943" s="57"/>
      <c r="D943" s="92"/>
      <c r="E943" s="92"/>
      <c r="F943" s="92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</row>
    <row r="944">
      <c r="A944" s="91"/>
      <c r="B944" s="57"/>
      <c r="C944" s="57"/>
      <c r="D944" s="92"/>
      <c r="E944" s="92"/>
      <c r="F944" s="92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</row>
    <row r="945">
      <c r="A945" s="91"/>
      <c r="B945" s="57"/>
      <c r="C945" s="57"/>
      <c r="D945" s="92"/>
      <c r="E945" s="92"/>
      <c r="F945" s="92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</row>
    <row r="946">
      <c r="A946" s="91"/>
      <c r="B946" s="57"/>
      <c r="C946" s="57"/>
      <c r="D946" s="92"/>
      <c r="E946" s="92"/>
      <c r="F946" s="92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</row>
    <row r="947">
      <c r="A947" s="91"/>
      <c r="B947" s="57"/>
      <c r="C947" s="57"/>
      <c r="D947" s="92"/>
      <c r="E947" s="92"/>
      <c r="F947" s="92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</row>
    <row r="948">
      <c r="A948" s="91"/>
      <c r="B948" s="57"/>
      <c r="C948" s="57"/>
      <c r="D948" s="92"/>
      <c r="E948" s="92"/>
      <c r="F948" s="92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</row>
    <row r="949">
      <c r="A949" s="91"/>
      <c r="B949" s="57"/>
      <c r="C949" s="57"/>
      <c r="D949" s="92"/>
      <c r="E949" s="92"/>
      <c r="F949" s="92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</row>
    <row r="950">
      <c r="A950" s="91"/>
      <c r="B950" s="57"/>
      <c r="C950" s="57"/>
      <c r="D950" s="92"/>
      <c r="E950" s="92"/>
      <c r="F950" s="92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</row>
    <row r="951">
      <c r="A951" s="91"/>
      <c r="B951" s="57"/>
      <c r="C951" s="57"/>
      <c r="D951" s="92"/>
      <c r="E951" s="92"/>
      <c r="F951" s="92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</row>
    <row r="952">
      <c r="A952" s="91"/>
      <c r="B952" s="57"/>
      <c r="C952" s="57"/>
      <c r="D952" s="92"/>
      <c r="E952" s="92"/>
      <c r="F952" s="92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</row>
    <row r="953">
      <c r="A953" s="91"/>
      <c r="B953" s="57"/>
      <c r="C953" s="57"/>
      <c r="D953" s="92"/>
      <c r="E953" s="92"/>
      <c r="F953" s="92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</row>
    <row r="954">
      <c r="A954" s="91"/>
      <c r="B954" s="57"/>
      <c r="C954" s="57"/>
      <c r="D954" s="92"/>
      <c r="E954" s="92"/>
      <c r="F954" s="92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</row>
    <row r="955">
      <c r="A955" s="91"/>
      <c r="B955" s="57"/>
      <c r="C955" s="57"/>
      <c r="D955" s="92"/>
      <c r="E955" s="92"/>
      <c r="F955" s="92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</row>
    <row r="956">
      <c r="A956" s="91"/>
      <c r="B956" s="57"/>
      <c r="C956" s="57"/>
      <c r="D956" s="92"/>
      <c r="E956" s="92"/>
      <c r="F956" s="92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</row>
    <row r="957">
      <c r="A957" s="91"/>
      <c r="B957" s="57"/>
      <c r="C957" s="57"/>
      <c r="D957" s="92"/>
      <c r="E957" s="92"/>
      <c r="F957" s="92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</row>
    <row r="958">
      <c r="A958" s="91"/>
      <c r="B958" s="57"/>
      <c r="C958" s="57"/>
      <c r="D958" s="92"/>
      <c r="E958" s="92"/>
      <c r="F958" s="92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</row>
    <row r="959">
      <c r="A959" s="91"/>
      <c r="B959" s="57"/>
      <c r="C959" s="57"/>
      <c r="D959" s="92"/>
      <c r="E959" s="92"/>
      <c r="F959" s="92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</row>
    <row r="960">
      <c r="A960" s="91"/>
      <c r="B960" s="57"/>
      <c r="C960" s="57"/>
      <c r="D960" s="92"/>
      <c r="E960" s="92"/>
      <c r="F960" s="92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</row>
    <row r="961">
      <c r="A961" s="91"/>
      <c r="B961" s="57"/>
      <c r="C961" s="57"/>
      <c r="D961" s="92"/>
      <c r="E961" s="92"/>
      <c r="F961" s="92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</row>
    <row r="962">
      <c r="A962" s="91"/>
      <c r="B962" s="57"/>
      <c r="C962" s="57"/>
      <c r="D962" s="92"/>
      <c r="E962" s="92"/>
      <c r="F962" s="92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</row>
    <row r="963">
      <c r="A963" s="91"/>
      <c r="B963" s="57"/>
      <c r="C963" s="57"/>
      <c r="D963" s="92"/>
      <c r="E963" s="92"/>
      <c r="F963" s="92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</row>
    <row r="964">
      <c r="A964" s="91"/>
      <c r="B964" s="57"/>
      <c r="C964" s="57"/>
      <c r="D964" s="92"/>
      <c r="E964" s="92"/>
      <c r="F964" s="92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</row>
    <row r="965">
      <c r="A965" s="91"/>
      <c r="B965" s="57"/>
      <c r="C965" s="57"/>
      <c r="D965" s="92"/>
      <c r="E965" s="92"/>
      <c r="F965" s="92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</row>
    <row r="966">
      <c r="A966" s="91"/>
      <c r="B966" s="57"/>
      <c r="C966" s="57"/>
      <c r="D966" s="92"/>
      <c r="E966" s="92"/>
      <c r="F966" s="92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</row>
    <row r="967">
      <c r="A967" s="91"/>
      <c r="B967" s="57"/>
      <c r="C967" s="57"/>
      <c r="D967" s="92"/>
      <c r="E967" s="92"/>
      <c r="F967" s="92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</row>
    <row r="968">
      <c r="A968" s="91"/>
      <c r="B968" s="57"/>
      <c r="C968" s="57"/>
      <c r="D968" s="92"/>
      <c r="E968" s="92"/>
      <c r="F968" s="92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</row>
    <row r="969">
      <c r="A969" s="91"/>
      <c r="B969" s="57"/>
      <c r="C969" s="57"/>
      <c r="D969" s="92"/>
      <c r="E969" s="92"/>
      <c r="F969" s="92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</row>
    <row r="970">
      <c r="A970" s="91"/>
      <c r="B970" s="57"/>
      <c r="C970" s="57"/>
      <c r="D970" s="92"/>
      <c r="E970" s="92"/>
      <c r="F970" s="92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</row>
    <row r="971">
      <c r="A971" s="91"/>
      <c r="B971" s="57"/>
      <c r="C971" s="57"/>
      <c r="D971" s="92"/>
      <c r="E971" s="92"/>
      <c r="F971" s="92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</row>
    <row r="972">
      <c r="A972" s="91"/>
      <c r="B972" s="57"/>
      <c r="C972" s="57"/>
      <c r="D972" s="92"/>
      <c r="E972" s="92"/>
      <c r="F972" s="92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</row>
    <row r="973">
      <c r="A973" s="91"/>
      <c r="B973" s="57"/>
      <c r="C973" s="57"/>
      <c r="D973" s="92"/>
      <c r="E973" s="92"/>
      <c r="F973" s="92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</row>
    <row r="974">
      <c r="A974" s="91"/>
      <c r="B974" s="57"/>
      <c r="C974" s="57"/>
      <c r="D974" s="92"/>
      <c r="E974" s="92"/>
      <c r="F974" s="92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</row>
    <row r="975">
      <c r="A975" s="91"/>
      <c r="B975" s="57"/>
      <c r="C975" s="57"/>
      <c r="D975" s="92"/>
      <c r="E975" s="92"/>
      <c r="F975" s="92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</row>
    <row r="976">
      <c r="A976" s="91"/>
      <c r="B976" s="57"/>
      <c r="C976" s="57"/>
      <c r="D976" s="92"/>
      <c r="E976" s="92"/>
      <c r="F976" s="92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</row>
    <row r="977">
      <c r="A977" s="91"/>
      <c r="B977" s="57"/>
      <c r="C977" s="57"/>
      <c r="D977" s="92"/>
      <c r="E977" s="92"/>
      <c r="F977" s="92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</row>
    <row r="978">
      <c r="A978" s="91"/>
      <c r="B978" s="57"/>
      <c r="C978" s="57"/>
      <c r="D978" s="92"/>
      <c r="E978" s="92"/>
      <c r="F978" s="92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</row>
    <row r="979">
      <c r="A979" s="91"/>
      <c r="B979" s="57"/>
      <c r="C979" s="57"/>
      <c r="D979" s="92"/>
      <c r="E979" s="92"/>
      <c r="F979" s="92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</row>
    <row r="980">
      <c r="A980" s="91"/>
      <c r="B980" s="57"/>
      <c r="C980" s="57"/>
      <c r="D980" s="92"/>
      <c r="E980" s="92"/>
      <c r="F980" s="92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</row>
    <row r="981">
      <c r="A981" s="91"/>
      <c r="B981" s="57"/>
      <c r="C981" s="57"/>
      <c r="D981" s="92"/>
      <c r="E981" s="92"/>
      <c r="F981" s="92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</row>
    <row r="982">
      <c r="A982" s="91"/>
      <c r="B982" s="57"/>
      <c r="C982" s="57"/>
      <c r="D982" s="92"/>
      <c r="E982" s="92"/>
      <c r="F982" s="92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</row>
    <row r="983">
      <c r="A983" s="91"/>
      <c r="B983" s="57"/>
      <c r="C983" s="57"/>
      <c r="D983" s="92"/>
      <c r="E983" s="92"/>
      <c r="F983" s="92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</row>
    <row r="984">
      <c r="A984" s="91"/>
      <c r="B984" s="57"/>
      <c r="C984" s="57"/>
      <c r="D984" s="92"/>
      <c r="E984" s="92"/>
      <c r="F984" s="92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</row>
    <row r="985">
      <c r="A985" s="91"/>
      <c r="B985" s="57"/>
      <c r="C985" s="57"/>
      <c r="D985" s="92"/>
      <c r="E985" s="92"/>
      <c r="F985" s="92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</row>
    <row r="986">
      <c r="A986" s="91"/>
      <c r="B986" s="57"/>
      <c r="C986" s="57"/>
      <c r="D986" s="92"/>
      <c r="E986" s="92"/>
      <c r="F986" s="92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</row>
    <row r="987">
      <c r="A987" s="91"/>
      <c r="B987" s="57"/>
      <c r="C987" s="57"/>
      <c r="D987" s="92"/>
      <c r="E987" s="92"/>
      <c r="F987" s="92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</row>
    <row r="988">
      <c r="A988" s="91"/>
      <c r="B988" s="57"/>
      <c r="C988" s="57"/>
      <c r="D988" s="92"/>
      <c r="E988" s="92"/>
      <c r="F988" s="92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</row>
    <row r="989">
      <c r="A989" s="91"/>
      <c r="B989" s="57"/>
      <c r="C989" s="57"/>
      <c r="D989" s="92"/>
      <c r="E989" s="92"/>
      <c r="F989" s="92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</row>
  </sheetData>
  <autoFilter ref="$H$1:$H$989"/>
  <dataValidations>
    <dataValidation type="list" allowBlank="1" showErrorMessage="1" sqref="H1:N1 H2:H20">
      <formula1>"-----------------------,📄 ТЗ,⏳ На согласовании,🎨 Дизайн,💻 Разработка,🧪 Тестирование,🔄 Доработка,📤 Сдан заказчику,🚀 Продакшен,✅ Завершён,⏸️ Приостановлен,❌ Клиент отказался,🚫 Отменён"</formula1>
    </dataValidation>
    <dataValidation type="list" allowBlank="1" showErrorMessage="1" sqref="G2:G20">
      <formula1>"-----------------------,🟢  По графику,🟡  Риск задержки,🟠  Отставание,🔴  Просрочен"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7.25"/>
    <col customWidth="1" min="2" max="2" width="17.5"/>
    <col customWidth="1" min="3" max="3" width="10.38"/>
    <col customWidth="1" min="4" max="4" width="18.63"/>
    <col customWidth="1" min="5" max="5" width="10.25"/>
    <col customWidth="1" min="6" max="6" width="12.63"/>
    <col customWidth="1" min="7" max="7" width="7.13"/>
    <col customWidth="1" min="8" max="8" width="11.38"/>
    <col customWidth="1" min="9" max="9" width="8.25"/>
    <col customWidth="1" min="10" max="10" width="9.0"/>
    <col customWidth="1" min="11" max="11" width="21.13"/>
  </cols>
  <sheetData>
    <row r="1">
      <c r="A1" s="35"/>
      <c r="B1" s="37" t="s">
        <v>44</v>
      </c>
      <c r="C1" s="97" t="s">
        <v>48</v>
      </c>
      <c r="D1" s="6" t="s">
        <v>167</v>
      </c>
      <c r="E1" s="26" t="s">
        <v>168</v>
      </c>
      <c r="F1" s="26" t="s">
        <v>169</v>
      </c>
      <c r="G1" s="26" t="s">
        <v>170</v>
      </c>
      <c r="H1" s="26" t="s">
        <v>171</v>
      </c>
      <c r="I1" s="98" t="s">
        <v>172</v>
      </c>
      <c r="J1" s="26" t="s">
        <v>173</v>
      </c>
      <c r="K1" s="26" t="s">
        <v>174</v>
      </c>
    </row>
    <row r="2">
      <c r="A2" s="58"/>
      <c r="B2" s="60"/>
      <c r="C2" s="59"/>
      <c r="D2" s="100"/>
      <c r="E2" s="26">
        <f t="shared" ref="E2:J2" si="1">SUM(E3:E12)</f>
        <v>70</v>
      </c>
      <c r="F2" s="26">
        <f t="shared" si="1"/>
        <v>3</v>
      </c>
      <c r="G2" s="26">
        <f t="shared" si="1"/>
        <v>9</v>
      </c>
      <c r="H2" s="26">
        <f t="shared" si="1"/>
        <v>1</v>
      </c>
      <c r="I2" s="26">
        <f t="shared" si="1"/>
        <v>82</v>
      </c>
      <c r="J2" s="26">
        <f t="shared" si="1"/>
        <v>30</v>
      </c>
      <c r="K2" s="98"/>
    </row>
    <row r="3">
      <c r="A3" s="58" t="s">
        <v>175</v>
      </c>
      <c r="B3" s="60" t="s">
        <v>119</v>
      </c>
      <c r="C3" s="59" t="s">
        <v>0</v>
      </c>
      <c r="D3" s="100" t="s">
        <v>67</v>
      </c>
      <c r="E3" s="26">
        <v>11.0</v>
      </c>
      <c r="F3" s="98"/>
      <c r="G3" s="26">
        <v>1.0</v>
      </c>
      <c r="H3" s="98"/>
      <c r="I3" s="98">
        <f t="shared" ref="I3:I6" si="2">SUM(E3:H3)</f>
        <v>12</v>
      </c>
      <c r="J3" s="98"/>
      <c r="K3" s="98"/>
    </row>
    <row r="4">
      <c r="A4" s="58" t="s">
        <v>176</v>
      </c>
      <c r="B4" s="59" t="s">
        <v>102</v>
      </c>
      <c r="C4" s="59" t="s">
        <v>100</v>
      </c>
      <c r="D4" s="100" t="s">
        <v>68</v>
      </c>
      <c r="E4" s="26">
        <v>11.0</v>
      </c>
      <c r="F4" s="26">
        <v>0.0</v>
      </c>
      <c r="G4" s="26">
        <v>4.0</v>
      </c>
      <c r="H4" s="26">
        <v>1.0</v>
      </c>
      <c r="I4" s="98">
        <f t="shared" si="2"/>
        <v>16</v>
      </c>
      <c r="J4" s="26">
        <v>15.0</v>
      </c>
      <c r="K4" s="26"/>
    </row>
    <row r="5">
      <c r="A5" s="58" t="s">
        <v>176</v>
      </c>
      <c r="B5" s="59" t="s">
        <v>99</v>
      </c>
      <c r="C5" s="59" t="s">
        <v>100</v>
      </c>
      <c r="D5" s="100" t="s">
        <v>67</v>
      </c>
      <c r="E5" s="26">
        <v>14.0</v>
      </c>
      <c r="F5" s="98"/>
      <c r="G5" s="26">
        <v>4.0</v>
      </c>
      <c r="H5" s="98"/>
      <c r="I5" s="98">
        <f t="shared" si="2"/>
        <v>18</v>
      </c>
      <c r="J5" s="98"/>
      <c r="K5" s="98"/>
    </row>
    <row r="6">
      <c r="A6" s="58" t="s">
        <v>175</v>
      </c>
      <c r="B6" s="59" t="s">
        <v>123</v>
      </c>
      <c r="C6" s="59" t="s">
        <v>0</v>
      </c>
      <c r="D6" s="100" t="s">
        <v>68</v>
      </c>
      <c r="E6" s="26">
        <v>6.0</v>
      </c>
      <c r="F6" s="98"/>
      <c r="G6" s="98"/>
      <c r="H6" s="98"/>
      <c r="I6" s="98">
        <f t="shared" si="2"/>
        <v>6</v>
      </c>
      <c r="J6" s="98"/>
      <c r="K6" s="98"/>
    </row>
    <row r="7">
      <c r="A7" s="58" t="s">
        <v>176</v>
      </c>
      <c r="B7" s="102" t="s">
        <v>94</v>
      </c>
      <c r="C7" s="59" t="s">
        <v>0</v>
      </c>
      <c r="D7" s="100" t="s">
        <v>68</v>
      </c>
      <c r="E7" s="26">
        <v>16.0</v>
      </c>
      <c r="F7" s="26">
        <v>2.0</v>
      </c>
      <c r="G7" s="98"/>
      <c r="H7" s="98"/>
      <c r="I7" s="26">
        <v>17.0</v>
      </c>
      <c r="J7" s="103">
        <v>15.0</v>
      </c>
      <c r="K7" s="26"/>
    </row>
    <row r="8">
      <c r="A8" s="58" t="s">
        <v>176</v>
      </c>
      <c r="B8" s="59" t="s">
        <v>105</v>
      </c>
      <c r="C8" s="59" t="s">
        <v>100</v>
      </c>
      <c r="D8" s="100" t="s">
        <v>68</v>
      </c>
      <c r="E8" s="26">
        <v>3.0</v>
      </c>
      <c r="F8" s="26">
        <v>1.0</v>
      </c>
      <c r="G8" s="104"/>
      <c r="H8" s="104"/>
      <c r="I8" s="98">
        <f t="shared" ref="I8:I12" si="3">SUM(E8:H8)</f>
        <v>4</v>
      </c>
      <c r="J8" s="98"/>
      <c r="K8" s="98"/>
    </row>
    <row r="9">
      <c r="A9" s="58" t="s">
        <v>176</v>
      </c>
      <c r="B9" s="59" t="s">
        <v>108</v>
      </c>
      <c r="C9" s="59" t="s">
        <v>0</v>
      </c>
      <c r="D9" s="100" t="s">
        <v>68</v>
      </c>
      <c r="E9" s="26">
        <v>9.0</v>
      </c>
      <c r="F9" s="26">
        <v>0.0</v>
      </c>
      <c r="G9" s="26">
        <v>0.0</v>
      </c>
      <c r="H9" s="26">
        <v>0.0</v>
      </c>
      <c r="I9" s="98">
        <f t="shared" si="3"/>
        <v>9</v>
      </c>
      <c r="J9" s="98"/>
      <c r="K9" s="98"/>
    </row>
    <row r="10">
      <c r="A10" s="105"/>
      <c r="B10" s="106"/>
      <c r="C10" s="106"/>
      <c r="D10" s="106"/>
      <c r="E10" s="98"/>
      <c r="F10" s="98"/>
      <c r="G10" s="98"/>
      <c r="H10" s="98"/>
      <c r="I10" s="98">
        <f t="shared" si="3"/>
        <v>0</v>
      </c>
      <c r="J10" s="98"/>
      <c r="K10" s="98"/>
    </row>
    <row r="11">
      <c r="A11" s="58" t="s">
        <v>176</v>
      </c>
      <c r="B11" s="59" t="s">
        <v>110</v>
      </c>
      <c r="C11" s="59" t="s">
        <v>0</v>
      </c>
      <c r="D11" s="100" t="s">
        <v>68</v>
      </c>
      <c r="E11" s="98"/>
      <c r="F11" s="98"/>
      <c r="G11" s="98"/>
      <c r="H11" s="98"/>
      <c r="I11" s="98">
        <f t="shared" si="3"/>
        <v>0</v>
      </c>
      <c r="J11" s="98"/>
      <c r="K11" s="98"/>
    </row>
    <row r="12">
      <c r="A12" s="58" t="s">
        <v>176</v>
      </c>
      <c r="B12" s="59" t="s">
        <v>112</v>
      </c>
      <c r="C12" s="59" t="s">
        <v>0</v>
      </c>
      <c r="D12" s="60"/>
      <c r="E12" s="98"/>
      <c r="F12" s="98"/>
      <c r="G12" s="98"/>
      <c r="H12" s="98"/>
      <c r="I12" s="98">
        <f t="shared" si="3"/>
        <v>0</v>
      </c>
      <c r="J12" s="98"/>
      <c r="K12" s="98"/>
    </row>
    <row r="13">
      <c r="A13" s="91"/>
      <c r="B13" s="57"/>
      <c r="C13" s="57"/>
      <c r="D13" s="57"/>
    </row>
    <row r="14">
      <c r="A14" s="91"/>
      <c r="B14" s="57"/>
      <c r="C14" s="57"/>
      <c r="D14" s="57"/>
    </row>
    <row r="15">
      <c r="A15" s="91"/>
      <c r="B15" s="57"/>
      <c r="C15" s="57"/>
    </row>
    <row r="16">
      <c r="A16" s="91"/>
      <c r="B16" s="57"/>
      <c r="C16" s="57"/>
      <c r="D16" s="57"/>
    </row>
    <row r="17">
      <c r="A17" s="91"/>
      <c r="B17" s="37" t="s">
        <v>44</v>
      </c>
      <c r="C17" s="107" t="s">
        <v>48</v>
      </c>
      <c r="D17" s="57"/>
    </row>
    <row r="18">
      <c r="A18" s="91"/>
      <c r="B18" s="43" t="s">
        <v>112</v>
      </c>
      <c r="C18" s="43" t="s">
        <v>0</v>
      </c>
      <c r="D18" s="57"/>
    </row>
    <row r="19">
      <c r="A19" s="91"/>
      <c r="B19" s="43" t="s">
        <v>177</v>
      </c>
      <c r="C19" s="43" t="s">
        <v>100</v>
      </c>
      <c r="D19" s="57"/>
    </row>
    <row r="20">
      <c r="A20" s="91"/>
      <c r="B20" s="43" t="s">
        <v>178</v>
      </c>
      <c r="C20" s="43" t="s">
        <v>100</v>
      </c>
      <c r="D20" s="57"/>
    </row>
    <row r="21">
      <c r="A21" s="91"/>
      <c r="B21" s="57"/>
      <c r="C21" s="57"/>
      <c r="D21" s="57"/>
    </row>
    <row r="22">
      <c r="A22" s="91"/>
      <c r="B22" s="57"/>
      <c r="C22" s="57"/>
      <c r="D22" s="57"/>
    </row>
    <row r="23">
      <c r="A23" s="91"/>
      <c r="B23" s="57"/>
      <c r="C23" s="57"/>
      <c r="D23" s="57"/>
    </row>
    <row r="24">
      <c r="A24" s="91"/>
      <c r="B24" s="57"/>
      <c r="C24" s="57"/>
      <c r="D24" s="57"/>
    </row>
    <row r="25">
      <c r="A25" s="91"/>
      <c r="B25" s="57"/>
      <c r="C25" s="57"/>
      <c r="D25" s="57"/>
    </row>
    <row r="26">
      <c r="A26" s="91"/>
      <c r="B26" s="57"/>
      <c r="C26" s="57"/>
      <c r="D26" s="57"/>
    </row>
    <row r="27">
      <c r="A27" s="91"/>
      <c r="B27" s="57"/>
      <c r="C27" s="57"/>
      <c r="D27" s="57"/>
    </row>
    <row r="28">
      <c r="A28" s="91"/>
      <c r="B28" s="57"/>
      <c r="C28" s="57"/>
      <c r="D28" s="57"/>
    </row>
    <row r="29">
      <c r="A29" s="91"/>
      <c r="B29" s="57"/>
      <c r="C29" s="57"/>
      <c r="D29" s="57"/>
    </row>
    <row r="30">
      <c r="A30" s="91"/>
      <c r="B30" s="57"/>
      <c r="C30" s="57"/>
      <c r="D30" s="57"/>
    </row>
    <row r="31">
      <c r="A31" s="91"/>
      <c r="B31" s="57"/>
      <c r="C31" s="57"/>
      <c r="D31" s="57"/>
    </row>
    <row r="32">
      <c r="A32" s="91"/>
      <c r="B32" s="57"/>
      <c r="C32" s="57"/>
      <c r="D32" s="57"/>
    </row>
    <row r="33">
      <c r="A33" s="91"/>
      <c r="B33" s="57"/>
      <c r="C33" s="57"/>
      <c r="D33" s="57"/>
    </row>
    <row r="34">
      <c r="A34" s="91"/>
      <c r="B34" s="57"/>
      <c r="C34" s="57"/>
      <c r="D34" s="57"/>
    </row>
    <row r="35">
      <c r="A35" s="91"/>
      <c r="B35" s="57"/>
      <c r="C35" s="57"/>
      <c r="D35" s="57"/>
    </row>
    <row r="36">
      <c r="A36" s="91"/>
      <c r="B36" s="57"/>
      <c r="C36" s="57"/>
      <c r="D36" s="57"/>
    </row>
    <row r="37">
      <c r="A37" s="91"/>
      <c r="B37" s="57"/>
      <c r="C37" s="57"/>
      <c r="D37" s="57"/>
    </row>
    <row r="38">
      <c r="A38" s="91"/>
      <c r="B38" s="57"/>
      <c r="C38" s="57"/>
      <c r="D38" s="57"/>
    </row>
    <row r="39">
      <c r="A39" s="91"/>
      <c r="B39" s="57"/>
      <c r="C39" s="57"/>
      <c r="D39" s="57"/>
    </row>
    <row r="40">
      <c r="A40" s="91"/>
      <c r="B40" s="57"/>
      <c r="C40" s="57"/>
      <c r="D40" s="57"/>
    </row>
    <row r="41">
      <c r="A41" s="91"/>
      <c r="B41" s="57"/>
      <c r="C41" s="57"/>
      <c r="D41" s="57"/>
    </row>
    <row r="42">
      <c r="A42" s="91"/>
      <c r="B42" s="57"/>
      <c r="C42" s="57"/>
      <c r="D42" s="57"/>
    </row>
    <row r="43">
      <c r="A43" s="91"/>
      <c r="B43" s="57"/>
      <c r="C43" s="57"/>
      <c r="D43" s="57"/>
    </row>
    <row r="44">
      <c r="A44" s="91"/>
      <c r="B44" s="57"/>
      <c r="C44" s="57"/>
      <c r="D44" s="57"/>
    </row>
    <row r="45">
      <c r="A45" s="91"/>
      <c r="B45" s="57"/>
      <c r="C45" s="57"/>
      <c r="D45" s="57"/>
    </row>
    <row r="46">
      <c r="A46" s="91"/>
      <c r="B46" s="57"/>
      <c r="C46" s="57"/>
      <c r="D46" s="57"/>
    </row>
    <row r="47">
      <c r="A47" s="91"/>
      <c r="B47" s="57"/>
      <c r="C47" s="57"/>
      <c r="D47" s="57"/>
    </row>
    <row r="48">
      <c r="A48" s="91"/>
      <c r="B48" s="57"/>
      <c r="C48" s="57"/>
      <c r="D48" s="57"/>
    </row>
    <row r="49">
      <c r="A49" s="91"/>
      <c r="B49" s="57"/>
      <c r="C49" s="57"/>
      <c r="D49" s="57"/>
    </row>
    <row r="50">
      <c r="A50" s="91"/>
      <c r="B50" s="57"/>
      <c r="C50" s="57"/>
      <c r="D50" s="57"/>
    </row>
    <row r="51">
      <c r="A51" s="91"/>
      <c r="B51" s="57"/>
      <c r="C51" s="57"/>
      <c r="D51" s="57"/>
    </row>
    <row r="52">
      <c r="A52" s="91"/>
      <c r="B52" s="57"/>
      <c r="C52" s="57"/>
      <c r="D52" s="57"/>
    </row>
    <row r="53">
      <c r="A53" s="91"/>
      <c r="B53" s="57"/>
      <c r="C53" s="57"/>
      <c r="D53" s="57"/>
    </row>
    <row r="54">
      <c r="A54" s="91"/>
      <c r="B54" s="57"/>
      <c r="C54" s="57"/>
      <c r="D54" s="57"/>
    </row>
    <row r="55">
      <c r="A55" s="91"/>
      <c r="B55" s="57"/>
      <c r="C55" s="57"/>
      <c r="D55" s="57"/>
    </row>
    <row r="56">
      <c r="A56" s="91"/>
      <c r="B56" s="57"/>
      <c r="C56" s="57"/>
      <c r="D56" s="57"/>
    </row>
    <row r="57">
      <c r="A57" s="91"/>
      <c r="B57" s="57"/>
      <c r="C57" s="57"/>
      <c r="D57" s="57"/>
    </row>
    <row r="58">
      <c r="A58" s="91"/>
      <c r="B58" s="57"/>
      <c r="C58" s="57"/>
      <c r="D58" s="57"/>
    </row>
    <row r="59">
      <c r="A59" s="91"/>
      <c r="B59" s="57"/>
      <c r="C59" s="57"/>
      <c r="D59" s="57"/>
    </row>
    <row r="60">
      <c r="A60" s="91"/>
      <c r="B60" s="57"/>
      <c r="C60" s="57"/>
      <c r="D60" s="57"/>
    </row>
    <row r="61">
      <c r="A61" s="91"/>
      <c r="B61" s="57"/>
      <c r="C61" s="57"/>
      <c r="D61" s="57"/>
    </row>
    <row r="62">
      <c r="A62" s="91"/>
      <c r="B62" s="57"/>
      <c r="C62" s="57"/>
      <c r="D62" s="57"/>
    </row>
    <row r="63">
      <c r="A63" s="91"/>
      <c r="B63" s="57"/>
      <c r="C63" s="57"/>
      <c r="D63" s="57"/>
    </row>
    <row r="64">
      <c r="A64" s="91"/>
      <c r="B64" s="57"/>
      <c r="C64" s="57"/>
      <c r="D64" s="57"/>
    </row>
    <row r="65">
      <c r="A65" s="91"/>
      <c r="B65" s="57"/>
      <c r="C65" s="57"/>
      <c r="D65" s="57"/>
    </row>
    <row r="66">
      <c r="A66" s="91"/>
      <c r="B66" s="57"/>
      <c r="C66" s="57"/>
      <c r="D66" s="57"/>
    </row>
    <row r="67">
      <c r="A67" s="91"/>
      <c r="B67" s="57"/>
      <c r="C67" s="57"/>
      <c r="D67" s="57"/>
    </row>
    <row r="68">
      <c r="A68" s="91"/>
      <c r="B68" s="57"/>
      <c r="C68" s="57"/>
      <c r="D68" s="57"/>
    </row>
    <row r="69">
      <c r="A69" s="91"/>
      <c r="B69" s="57"/>
      <c r="C69" s="57"/>
      <c r="D69" s="57"/>
    </row>
    <row r="70">
      <c r="A70" s="91"/>
      <c r="B70" s="57"/>
      <c r="C70" s="57"/>
      <c r="D70" s="57"/>
    </row>
    <row r="71">
      <c r="A71" s="91"/>
      <c r="B71" s="57"/>
      <c r="C71" s="57"/>
      <c r="D71" s="57"/>
    </row>
    <row r="72">
      <c r="A72" s="91"/>
      <c r="B72" s="57"/>
      <c r="C72" s="57"/>
      <c r="D72" s="57"/>
    </row>
    <row r="73">
      <c r="A73" s="91"/>
      <c r="B73" s="57"/>
      <c r="C73" s="57"/>
      <c r="D73" s="57"/>
    </row>
    <row r="74">
      <c r="A74" s="91"/>
      <c r="B74" s="57"/>
      <c r="C74" s="57"/>
      <c r="D74" s="57"/>
    </row>
    <row r="75">
      <c r="A75" s="91"/>
      <c r="B75" s="57"/>
      <c r="C75" s="57"/>
      <c r="D75" s="57"/>
    </row>
    <row r="76">
      <c r="A76" s="91"/>
      <c r="B76" s="57"/>
      <c r="C76" s="57"/>
      <c r="D76" s="57"/>
    </row>
    <row r="77">
      <c r="A77" s="91"/>
      <c r="B77" s="57"/>
      <c r="C77" s="57"/>
      <c r="D77" s="57"/>
    </row>
    <row r="78">
      <c r="A78" s="91"/>
      <c r="B78" s="57"/>
      <c r="C78" s="57"/>
      <c r="D78" s="57"/>
    </row>
    <row r="79">
      <c r="A79" s="91"/>
      <c r="B79" s="57"/>
      <c r="C79" s="57"/>
      <c r="D79" s="57"/>
    </row>
    <row r="80">
      <c r="A80" s="91"/>
      <c r="B80" s="57"/>
      <c r="C80" s="57"/>
      <c r="D80" s="57"/>
    </row>
    <row r="81">
      <c r="A81" s="91"/>
      <c r="B81" s="57"/>
      <c r="C81" s="57"/>
      <c r="D81" s="57"/>
    </row>
    <row r="82">
      <c r="A82" s="91"/>
      <c r="B82" s="57"/>
      <c r="C82" s="57"/>
      <c r="D82" s="57"/>
    </row>
    <row r="83">
      <c r="A83" s="91"/>
      <c r="B83" s="57"/>
      <c r="C83" s="57"/>
      <c r="D83" s="57"/>
    </row>
    <row r="84">
      <c r="A84" s="91"/>
      <c r="B84" s="57"/>
      <c r="C84" s="57"/>
      <c r="D84" s="57"/>
    </row>
    <row r="85">
      <c r="A85" s="91"/>
      <c r="B85" s="57"/>
      <c r="C85" s="57"/>
      <c r="D85" s="57"/>
    </row>
    <row r="86">
      <c r="A86" s="91"/>
      <c r="B86" s="57"/>
      <c r="C86" s="57"/>
      <c r="D86" s="57"/>
    </row>
    <row r="87">
      <c r="A87" s="91"/>
      <c r="B87" s="57"/>
      <c r="C87" s="57"/>
      <c r="D87" s="57"/>
    </row>
    <row r="88">
      <c r="A88" s="91"/>
      <c r="B88" s="57"/>
      <c r="C88" s="57"/>
      <c r="D88" s="57"/>
    </row>
    <row r="89">
      <c r="A89" s="91"/>
      <c r="B89" s="57"/>
      <c r="C89" s="57"/>
      <c r="D89" s="57"/>
    </row>
    <row r="90">
      <c r="A90" s="91"/>
      <c r="B90" s="57"/>
      <c r="C90" s="57"/>
      <c r="D90" s="57"/>
    </row>
    <row r="91">
      <c r="A91" s="91"/>
      <c r="B91" s="57"/>
      <c r="C91" s="57"/>
      <c r="D91" s="57"/>
    </row>
    <row r="92">
      <c r="A92" s="91"/>
      <c r="B92" s="57"/>
      <c r="C92" s="57"/>
      <c r="D92" s="57"/>
    </row>
    <row r="93">
      <c r="A93" s="91"/>
      <c r="B93" s="57"/>
      <c r="C93" s="57"/>
      <c r="D93" s="57"/>
    </row>
    <row r="94">
      <c r="A94" s="91"/>
      <c r="B94" s="57"/>
      <c r="C94" s="57"/>
      <c r="D94" s="57"/>
    </row>
    <row r="95">
      <c r="A95" s="91"/>
      <c r="B95" s="57"/>
      <c r="C95" s="57"/>
      <c r="D95" s="57"/>
    </row>
    <row r="96">
      <c r="A96" s="91"/>
      <c r="B96" s="57"/>
      <c r="C96" s="57"/>
      <c r="D96" s="57"/>
    </row>
    <row r="97">
      <c r="A97" s="91"/>
      <c r="B97" s="57"/>
      <c r="C97" s="57"/>
      <c r="D97" s="57"/>
    </row>
    <row r="98">
      <c r="A98" s="91"/>
      <c r="B98" s="57"/>
      <c r="C98" s="57"/>
      <c r="D98" s="57"/>
    </row>
    <row r="99">
      <c r="A99" s="91"/>
      <c r="B99" s="57"/>
      <c r="C99" s="57"/>
      <c r="D99" s="57"/>
    </row>
    <row r="100">
      <c r="A100" s="91"/>
      <c r="B100" s="57"/>
      <c r="C100" s="57"/>
      <c r="D100" s="57"/>
    </row>
    <row r="101">
      <c r="A101" s="91"/>
      <c r="B101" s="57"/>
      <c r="C101" s="57"/>
      <c r="D101" s="57"/>
    </row>
    <row r="102">
      <c r="A102" s="91"/>
      <c r="B102" s="57"/>
      <c r="C102" s="57"/>
      <c r="D102" s="57"/>
    </row>
    <row r="103">
      <c r="A103" s="91"/>
      <c r="B103" s="57"/>
      <c r="C103" s="57"/>
      <c r="D103" s="57"/>
    </row>
    <row r="104">
      <c r="A104" s="91"/>
      <c r="B104" s="57"/>
      <c r="C104" s="57"/>
      <c r="D104" s="57"/>
    </row>
    <row r="105">
      <c r="A105" s="91"/>
      <c r="B105" s="57"/>
      <c r="C105" s="57"/>
      <c r="D105" s="57"/>
    </row>
    <row r="106">
      <c r="A106" s="91"/>
      <c r="B106" s="57"/>
      <c r="C106" s="57"/>
      <c r="D106" s="57"/>
    </row>
    <row r="107">
      <c r="A107" s="91"/>
      <c r="B107" s="57"/>
      <c r="C107" s="57"/>
      <c r="D107" s="57"/>
    </row>
    <row r="108">
      <c r="A108" s="91"/>
      <c r="B108" s="57"/>
      <c r="C108" s="57"/>
      <c r="D108" s="57"/>
    </row>
    <row r="109">
      <c r="A109" s="91"/>
      <c r="B109" s="57"/>
      <c r="C109" s="57"/>
      <c r="D109" s="57"/>
    </row>
    <row r="110">
      <c r="A110" s="91"/>
      <c r="B110" s="57"/>
      <c r="C110" s="57"/>
      <c r="D110" s="57"/>
    </row>
    <row r="111">
      <c r="A111" s="91"/>
      <c r="B111" s="57"/>
      <c r="C111" s="57"/>
      <c r="D111" s="57"/>
    </row>
    <row r="112">
      <c r="A112" s="91"/>
      <c r="B112" s="57"/>
      <c r="C112" s="57"/>
      <c r="D112" s="57"/>
    </row>
    <row r="113">
      <c r="A113" s="91"/>
      <c r="B113" s="57"/>
      <c r="C113" s="57"/>
      <c r="D113" s="57"/>
    </row>
    <row r="114">
      <c r="A114" s="91"/>
      <c r="B114" s="57"/>
      <c r="C114" s="57"/>
      <c r="D114" s="57"/>
    </row>
    <row r="115">
      <c r="A115" s="91"/>
      <c r="B115" s="57"/>
      <c r="C115" s="57"/>
      <c r="D115" s="57"/>
    </row>
    <row r="116">
      <c r="A116" s="91"/>
      <c r="B116" s="57"/>
      <c r="C116" s="57"/>
      <c r="D116" s="57"/>
    </row>
    <row r="117">
      <c r="A117" s="91"/>
      <c r="B117" s="57"/>
      <c r="C117" s="57"/>
      <c r="D117" s="57"/>
    </row>
    <row r="118">
      <c r="A118" s="91"/>
      <c r="B118" s="57"/>
      <c r="C118" s="57"/>
      <c r="D118" s="57"/>
    </row>
    <row r="119">
      <c r="A119" s="91"/>
      <c r="B119" s="57"/>
      <c r="C119" s="57"/>
      <c r="D119" s="57"/>
    </row>
    <row r="120">
      <c r="A120" s="91"/>
      <c r="B120" s="57"/>
      <c r="C120" s="57"/>
      <c r="D120" s="57"/>
    </row>
    <row r="121">
      <c r="A121" s="91"/>
      <c r="B121" s="57"/>
      <c r="C121" s="57"/>
      <c r="D121" s="57"/>
    </row>
    <row r="122">
      <c r="A122" s="91"/>
      <c r="B122" s="57"/>
      <c r="C122" s="57"/>
      <c r="D122" s="57"/>
    </row>
    <row r="123">
      <c r="A123" s="91"/>
      <c r="B123" s="57"/>
      <c r="C123" s="57"/>
      <c r="D123" s="57"/>
    </row>
    <row r="124">
      <c r="A124" s="91"/>
      <c r="B124" s="57"/>
      <c r="C124" s="57"/>
      <c r="D124" s="57"/>
    </row>
    <row r="125">
      <c r="A125" s="91"/>
      <c r="B125" s="57"/>
      <c r="C125" s="57"/>
      <c r="D125" s="57"/>
    </row>
    <row r="126">
      <c r="A126" s="91"/>
      <c r="B126" s="57"/>
      <c r="C126" s="57"/>
      <c r="D126" s="57"/>
    </row>
    <row r="127">
      <c r="A127" s="91"/>
      <c r="B127" s="57"/>
      <c r="C127" s="57"/>
      <c r="D127" s="57"/>
    </row>
    <row r="128">
      <c r="A128" s="91"/>
      <c r="B128" s="57"/>
      <c r="C128" s="57"/>
      <c r="D128" s="57"/>
    </row>
    <row r="129">
      <c r="A129" s="91"/>
      <c r="B129" s="57"/>
      <c r="C129" s="57"/>
      <c r="D129" s="57"/>
    </row>
    <row r="130">
      <c r="A130" s="91"/>
      <c r="B130" s="57"/>
      <c r="C130" s="57"/>
      <c r="D130" s="57"/>
    </row>
    <row r="131">
      <c r="A131" s="91"/>
      <c r="B131" s="57"/>
      <c r="C131" s="57"/>
      <c r="D131" s="57"/>
    </row>
    <row r="132">
      <c r="A132" s="91"/>
      <c r="B132" s="57"/>
      <c r="C132" s="57"/>
      <c r="D132" s="57"/>
    </row>
    <row r="133">
      <c r="A133" s="91"/>
      <c r="B133" s="57"/>
      <c r="C133" s="57"/>
      <c r="D133" s="57"/>
    </row>
    <row r="134">
      <c r="A134" s="91"/>
      <c r="B134" s="57"/>
      <c r="C134" s="57"/>
      <c r="D134" s="57"/>
    </row>
    <row r="135">
      <c r="A135" s="91"/>
      <c r="B135" s="57"/>
      <c r="C135" s="57"/>
      <c r="D135" s="57"/>
    </row>
    <row r="136">
      <c r="A136" s="91"/>
      <c r="B136" s="57"/>
      <c r="C136" s="57"/>
      <c r="D136" s="57"/>
    </row>
    <row r="137">
      <c r="A137" s="91"/>
      <c r="B137" s="57"/>
      <c r="C137" s="57"/>
      <c r="D137" s="57"/>
    </row>
    <row r="138">
      <c r="A138" s="91"/>
      <c r="B138" s="57"/>
      <c r="C138" s="57"/>
      <c r="D138" s="57"/>
    </row>
    <row r="139">
      <c r="A139" s="91"/>
      <c r="B139" s="57"/>
      <c r="C139" s="57"/>
      <c r="D139" s="57"/>
    </row>
    <row r="140">
      <c r="A140" s="91"/>
      <c r="B140" s="57"/>
      <c r="C140" s="57"/>
      <c r="D140" s="57"/>
    </row>
    <row r="141">
      <c r="A141" s="91"/>
      <c r="B141" s="57"/>
      <c r="C141" s="57"/>
      <c r="D141" s="57"/>
    </row>
    <row r="142">
      <c r="A142" s="91"/>
      <c r="B142" s="57"/>
      <c r="C142" s="57"/>
      <c r="D142" s="57"/>
    </row>
    <row r="143">
      <c r="A143" s="91"/>
      <c r="B143" s="57"/>
      <c r="C143" s="57"/>
      <c r="D143" s="57"/>
    </row>
    <row r="144">
      <c r="A144" s="91"/>
      <c r="B144" s="57"/>
      <c r="C144" s="57"/>
      <c r="D144" s="57"/>
    </row>
    <row r="145">
      <c r="A145" s="91"/>
      <c r="B145" s="57"/>
      <c r="C145" s="57"/>
      <c r="D145" s="57"/>
    </row>
    <row r="146">
      <c r="A146" s="91"/>
      <c r="B146" s="57"/>
      <c r="C146" s="57"/>
      <c r="D146" s="57"/>
    </row>
    <row r="147">
      <c r="A147" s="91"/>
      <c r="B147" s="57"/>
      <c r="C147" s="57"/>
      <c r="D147" s="57"/>
    </row>
    <row r="148">
      <c r="A148" s="91"/>
      <c r="B148" s="57"/>
      <c r="C148" s="57"/>
      <c r="D148" s="57"/>
    </row>
    <row r="149">
      <c r="A149" s="91"/>
      <c r="B149" s="57"/>
      <c r="C149" s="57"/>
      <c r="D149" s="57"/>
    </row>
    <row r="150">
      <c r="A150" s="91"/>
      <c r="B150" s="57"/>
      <c r="C150" s="57"/>
      <c r="D150" s="57"/>
    </row>
    <row r="151">
      <c r="A151" s="91"/>
      <c r="B151" s="57"/>
      <c r="C151" s="57"/>
      <c r="D151" s="57"/>
    </row>
    <row r="152">
      <c r="A152" s="91"/>
      <c r="B152" s="57"/>
      <c r="C152" s="57"/>
      <c r="D152" s="57"/>
    </row>
    <row r="153">
      <c r="A153" s="91"/>
      <c r="B153" s="57"/>
      <c r="C153" s="57"/>
      <c r="D153" s="57"/>
    </row>
    <row r="154">
      <c r="A154" s="91"/>
      <c r="B154" s="57"/>
      <c r="C154" s="57"/>
      <c r="D154" s="57"/>
    </row>
    <row r="155">
      <c r="A155" s="91"/>
      <c r="B155" s="57"/>
      <c r="C155" s="57"/>
      <c r="D155" s="57"/>
    </row>
    <row r="156">
      <c r="A156" s="91"/>
      <c r="B156" s="57"/>
      <c r="C156" s="57"/>
      <c r="D156" s="57"/>
    </row>
    <row r="157">
      <c r="A157" s="91"/>
      <c r="B157" s="57"/>
      <c r="C157" s="57"/>
      <c r="D157" s="57"/>
    </row>
    <row r="158">
      <c r="A158" s="91"/>
      <c r="B158" s="57"/>
      <c r="C158" s="57"/>
      <c r="D158" s="57"/>
    </row>
    <row r="159">
      <c r="A159" s="91"/>
      <c r="B159" s="57"/>
      <c r="C159" s="57"/>
      <c r="D159" s="57"/>
    </row>
    <row r="160">
      <c r="A160" s="91"/>
      <c r="B160" s="57"/>
      <c r="C160" s="57"/>
      <c r="D160" s="57"/>
    </row>
    <row r="161">
      <c r="A161" s="91"/>
      <c r="B161" s="57"/>
      <c r="C161" s="57"/>
      <c r="D161" s="57"/>
    </row>
    <row r="162">
      <c r="A162" s="91"/>
      <c r="B162" s="57"/>
      <c r="C162" s="57"/>
      <c r="D162" s="57"/>
    </row>
    <row r="163">
      <c r="A163" s="91"/>
      <c r="B163" s="57"/>
      <c r="C163" s="57"/>
      <c r="D163" s="57"/>
    </row>
    <row r="164">
      <c r="A164" s="91"/>
      <c r="B164" s="57"/>
      <c r="C164" s="57"/>
      <c r="D164" s="57"/>
    </row>
    <row r="165">
      <c r="A165" s="91"/>
      <c r="B165" s="57"/>
      <c r="C165" s="57"/>
      <c r="D165" s="57"/>
    </row>
    <row r="166">
      <c r="A166" s="91"/>
      <c r="B166" s="57"/>
      <c r="C166" s="57"/>
      <c r="D166" s="57"/>
    </row>
    <row r="167">
      <c r="A167" s="91"/>
      <c r="B167" s="57"/>
      <c r="C167" s="57"/>
      <c r="D167" s="57"/>
    </row>
    <row r="168">
      <c r="A168" s="91"/>
      <c r="B168" s="57"/>
      <c r="C168" s="57"/>
      <c r="D168" s="57"/>
    </row>
    <row r="169">
      <c r="A169" s="91"/>
      <c r="B169" s="57"/>
      <c r="C169" s="57"/>
      <c r="D169" s="57"/>
    </row>
    <row r="170">
      <c r="A170" s="91"/>
      <c r="B170" s="57"/>
      <c r="C170" s="57"/>
      <c r="D170" s="57"/>
    </row>
    <row r="171">
      <c r="A171" s="91"/>
      <c r="B171" s="57"/>
      <c r="C171" s="57"/>
      <c r="D171" s="57"/>
    </row>
    <row r="172">
      <c r="A172" s="91"/>
      <c r="B172" s="57"/>
      <c r="C172" s="57"/>
      <c r="D172" s="57"/>
    </row>
    <row r="173">
      <c r="A173" s="91"/>
      <c r="B173" s="57"/>
      <c r="C173" s="57"/>
      <c r="D173" s="57"/>
    </row>
    <row r="174">
      <c r="A174" s="91"/>
      <c r="B174" s="57"/>
      <c r="C174" s="57"/>
      <c r="D174" s="57"/>
    </row>
    <row r="175">
      <c r="A175" s="91"/>
      <c r="B175" s="57"/>
      <c r="C175" s="57"/>
      <c r="D175" s="57"/>
    </row>
    <row r="176">
      <c r="A176" s="91"/>
      <c r="B176" s="57"/>
      <c r="C176" s="57"/>
      <c r="D176" s="57"/>
    </row>
    <row r="177">
      <c r="A177" s="91"/>
      <c r="B177" s="57"/>
      <c r="C177" s="57"/>
      <c r="D177" s="57"/>
    </row>
    <row r="178">
      <c r="A178" s="91"/>
      <c r="B178" s="57"/>
      <c r="C178" s="57"/>
      <c r="D178" s="57"/>
    </row>
    <row r="179">
      <c r="A179" s="91"/>
      <c r="B179" s="57"/>
      <c r="C179" s="57"/>
      <c r="D179" s="57"/>
    </row>
    <row r="180">
      <c r="A180" s="91"/>
      <c r="B180" s="57"/>
      <c r="C180" s="57"/>
      <c r="D180" s="57"/>
    </row>
    <row r="181">
      <c r="A181" s="91"/>
      <c r="B181" s="57"/>
      <c r="C181" s="57"/>
      <c r="D181" s="57"/>
    </row>
    <row r="182">
      <c r="A182" s="91"/>
      <c r="B182" s="57"/>
      <c r="C182" s="57"/>
      <c r="D182" s="57"/>
    </row>
    <row r="183">
      <c r="A183" s="91"/>
      <c r="B183" s="57"/>
      <c r="C183" s="57"/>
      <c r="D183" s="57"/>
    </row>
    <row r="184">
      <c r="A184" s="91"/>
      <c r="B184" s="57"/>
      <c r="C184" s="57"/>
      <c r="D184" s="57"/>
    </row>
    <row r="185">
      <c r="A185" s="91"/>
      <c r="B185" s="57"/>
      <c r="C185" s="57"/>
      <c r="D185" s="57"/>
    </row>
    <row r="186">
      <c r="A186" s="91"/>
      <c r="B186" s="57"/>
      <c r="C186" s="57"/>
      <c r="D186" s="57"/>
    </row>
    <row r="187">
      <c r="A187" s="91"/>
      <c r="B187" s="57"/>
      <c r="C187" s="57"/>
      <c r="D187" s="57"/>
    </row>
    <row r="188">
      <c r="A188" s="91"/>
      <c r="B188" s="57"/>
      <c r="C188" s="57"/>
      <c r="D188" s="57"/>
    </row>
    <row r="189">
      <c r="A189" s="91"/>
      <c r="B189" s="57"/>
      <c r="C189" s="57"/>
      <c r="D189" s="57"/>
    </row>
    <row r="190">
      <c r="A190" s="91"/>
      <c r="B190" s="57"/>
      <c r="C190" s="57"/>
      <c r="D190" s="57"/>
    </row>
    <row r="191">
      <c r="A191" s="91"/>
      <c r="B191" s="57"/>
      <c r="C191" s="57"/>
      <c r="D191" s="57"/>
    </row>
    <row r="192">
      <c r="A192" s="91"/>
      <c r="B192" s="57"/>
      <c r="C192" s="57"/>
      <c r="D192" s="57"/>
    </row>
    <row r="193">
      <c r="A193" s="91"/>
      <c r="B193" s="57"/>
      <c r="C193" s="57"/>
      <c r="D193" s="57"/>
    </row>
    <row r="194">
      <c r="A194" s="91"/>
      <c r="B194" s="57"/>
      <c r="C194" s="57"/>
      <c r="D194" s="57"/>
    </row>
    <row r="195">
      <c r="A195" s="91"/>
      <c r="B195" s="57"/>
      <c r="C195" s="57"/>
      <c r="D195" s="57"/>
    </row>
    <row r="196">
      <c r="A196" s="91"/>
      <c r="B196" s="57"/>
      <c r="C196" s="57"/>
      <c r="D196" s="57"/>
    </row>
    <row r="197">
      <c r="A197" s="91"/>
      <c r="B197" s="57"/>
      <c r="C197" s="57"/>
      <c r="D197" s="57"/>
    </row>
    <row r="198">
      <c r="A198" s="91"/>
      <c r="B198" s="57"/>
      <c r="C198" s="57"/>
      <c r="D198" s="57"/>
    </row>
    <row r="199">
      <c r="A199" s="91"/>
      <c r="B199" s="57"/>
      <c r="C199" s="57"/>
      <c r="D199" s="57"/>
    </row>
    <row r="200">
      <c r="A200" s="91"/>
      <c r="B200" s="57"/>
      <c r="C200" s="57"/>
      <c r="D200" s="57"/>
    </row>
    <row r="201">
      <c r="A201" s="91"/>
      <c r="B201" s="57"/>
      <c r="C201" s="57"/>
      <c r="D201" s="57"/>
    </row>
    <row r="202">
      <c r="A202" s="91"/>
      <c r="B202" s="57"/>
      <c r="C202" s="57"/>
      <c r="D202" s="57"/>
    </row>
    <row r="203">
      <c r="A203" s="91"/>
      <c r="B203" s="57"/>
      <c r="C203" s="57"/>
      <c r="D203" s="57"/>
    </row>
    <row r="204">
      <c r="A204" s="91"/>
      <c r="B204" s="57"/>
      <c r="C204" s="57"/>
      <c r="D204" s="57"/>
    </row>
    <row r="205">
      <c r="A205" s="91"/>
      <c r="B205" s="57"/>
      <c r="C205" s="57"/>
      <c r="D205" s="57"/>
    </row>
    <row r="206">
      <c r="A206" s="91"/>
      <c r="B206" s="57"/>
      <c r="C206" s="57"/>
      <c r="D206" s="57"/>
    </row>
    <row r="207">
      <c r="A207" s="91"/>
      <c r="B207" s="57"/>
      <c r="C207" s="57"/>
      <c r="D207" s="57"/>
    </row>
    <row r="208">
      <c r="A208" s="91"/>
      <c r="B208" s="57"/>
      <c r="C208" s="57"/>
      <c r="D208" s="57"/>
    </row>
    <row r="209">
      <c r="A209" s="91"/>
      <c r="B209" s="57"/>
      <c r="C209" s="57"/>
      <c r="D209" s="57"/>
    </row>
    <row r="210">
      <c r="A210" s="91"/>
      <c r="B210" s="57"/>
      <c r="C210" s="57"/>
      <c r="D210" s="57"/>
    </row>
    <row r="211">
      <c r="A211" s="91"/>
      <c r="B211" s="57"/>
      <c r="C211" s="57"/>
      <c r="D211" s="57"/>
    </row>
    <row r="212">
      <c r="A212" s="91"/>
      <c r="B212" s="57"/>
      <c r="C212" s="57"/>
      <c r="D212" s="57"/>
    </row>
    <row r="213">
      <c r="A213" s="91"/>
      <c r="B213" s="57"/>
      <c r="C213" s="57"/>
      <c r="D213" s="57"/>
    </row>
    <row r="214">
      <c r="A214" s="91"/>
      <c r="B214" s="57"/>
      <c r="C214" s="57"/>
      <c r="D214" s="57"/>
    </row>
    <row r="215">
      <c r="A215" s="91"/>
      <c r="B215" s="57"/>
      <c r="C215" s="57"/>
      <c r="D215" s="57"/>
    </row>
    <row r="216">
      <c r="A216" s="91"/>
      <c r="B216" s="57"/>
      <c r="C216" s="57"/>
      <c r="D216" s="57"/>
    </row>
    <row r="217">
      <c r="A217" s="91"/>
      <c r="B217" s="57"/>
      <c r="C217" s="57"/>
      <c r="D217" s="57"/>
    </row>
    <row r="218">
      <c r="A218" s="91"/>
      <c r="B218" s="57"/>
      <c r="C218" s="57"/>
      <c r="D218" s="57"/>
    </row>
    <row r="219">
      <c r="A219" s="91"/>
      <c r="B219" s="57"/>
      <c r="C219" s="57"/>
      <c r="D219" s="57"/>
    </row>
    <row r="220">
      <c r="A220" s="91"/>
      <c r="B220" s="57"/>
      <c r="C220" s="57"/>
      <c r="D220" s="57"/>
    </row>
    <row r="221">
      <c r="A221" s="91"/>
      <c r="B221" s="57"/>
      <c r="C221" s="57"/>
      <c r="D221" s="57"/>
    </row>
    <row r="222">
      <c r="A222" s="91"/>
      <c r="B222" s="57"/>
      <c r="C222" s="57"/>
      <c r="D222" s="57"/>
    </row>
    <row r="223">
      <c r="A223" s="91"/>
      <c r="B223" s="57"/>
      <c r="C223" s="57"/>
      <c r="D223" s="57"/>
    </row>
    <row r="224">
      <c r="A224" s="91"/>
      <c r="B224" s="57"/>
      <c r="C224" s="57"/>
      <c r="D224" s="57"/>
    </row>
    <row r="225">
      <c r="A225" s="91"/>
      <c r="B225" s="57"/>
      <c r="C225" s="57"/>
      <c r="D225" s="57"/>
    </row>
    <row r="226">
      <c r="A226" s="91"/>
      <c r="B226" s="57"/>
      <c r="C226" s="57"/>
      <c r="D226" s="57"/>
    </row>
    <row r="227">
      <c r="A227" s="91"/>
      <c r="B227" s="57"/>
      <c r="C227" s="57"/>
      <c r="D227" s="57"/>
    </row>
    <row r="228">
      <c r="A228" s="91"/>
      <c r="B228" s="57"/>
      <c r="C228" s="57"/>
      <c r="D228" s="57"/>
    </row>
    <row r="229">
      <c r="A229" s="91"/>
      <c r="B229" s="57"/>
      <c r="C229" s="57"/>
      <c r="D229" s="57"/>
    </row>
    <row r="230">
      <c r="A230" s="91"/>
      <c r="B230" s="57"/>
      <c r="C230" s="57"/>
      <c r="D230" s="57"/>
    </row>
    <row r="231">
      <c r="A231" s="91"/>
      <c r="B231" s="57"/>
      <c r="C231" s="57"/>
      <c r="D231" s="57"/>
    </row>
    <row r="232">
      <c r="A232" s="91"/>
      <c r="B232" s="57"/>
      <c r="C232" s="57"/>
      <c r="D232" s="57"/>
    </row>
    <row r="233">
      <c r="A233" s="91"/>
      <c r="B233" s="57"/>
      <c r="C233" s="57"/>
      <c r="D233" s="57"/>
    </row>
    <row r="234">
      <c r="A234" s="91"/>
      <c r="B234" s="57"/>
      <c r="C234" s="57"/>
      <c r="D234" s="57"/>
    </row>
    <row r="235">
      <c r="A235" s="91"/>
      <c r="B235" s="57"/>
      <c r="C235" s="57"/>
      <c r="D235" s="57"/>
    </row>
    <row r="236">
      <c r="A236" s="91"/>
      <c r="B236" s="57"/>
      <c r="C236" s="57"/>
      <c r="D236" s="57"/>
    </row>
    <row r="237">
      <c r="A237" s="91"/>
      <c r="B237" s="57"/>
      <c r="C237" s="57"/>
      <c r="D237" s="57"/>
    </row>
    <row r="238">
      <c r="A238" s="91"/>
      <c r="B238" s="57"/>
      <c r="C238" s="57"/>
      <c r="D238" s="57"/>
    </row>
    <row r="239">
      <c r="A239" s="91"/>
      <c r="B239" s="57"/>
      <c r="C239" s="57"/>
      <c r="D239" s="57"/>
    </row>
    <row r="240">
      <c r="A240" s="91"/>
      <c r="B240" s="57"/>
      <c r="C240" s="57"/>
      <c r="D240" s="57"/>
    </row>
    <row r="241">
      <c r="A241" s="91"/>
      <c r="B241" s="57"/>
      <c r="C241" s="57"/>
      <c r="D241" s="57"/>
    </row>
    <row r="242">
      <c r="A242" s="91"/>
      <c r="B242" s="57"/>
      <c r="C242" s="57"/>
      <c r="D242" s="57"/>
    </row>
    <row r="243">
      <c r="A243" s="91"/>
      <c r="B243" s="57"/>
      <c r="C243" s="57"/>
      <c r="D243" s="57"/>
    </row>
    <row r="244">
      <c r="A244" s="91"/>
      <c r="B244" s="57"/>
      <c r="C244" s="57"/>
      <c r="D244" s="57"/>
    </row>
    <row r="245">
      <c r="A245" s="91"/>
      <c r="B245" s="57"/>
      <c r="C245" s="57"/>
      <c r="D245" s="57"/>
    </row>
    <row r="246">
      <c r="A246" s="91"/>
      <c r="B246" s="57"/>
      <c r="C246" s="57"/>
      <c r="D246" s="57"/>
    </row>
    <row r="247">
      <c r="A247" s="91"/>
      <c r="B247" s="57"/>
      <c r="C247" s="57"/>
      <c r="D247" s="57"/>
    </row>
    <row r="248">
      <c r="A248" s="91"/>
      <c r="B248" s="57"/>
      <c r="C248" s="57"/>
      <c r="D248" s="57"/>
    </row>
    <row r="249">
      <c r="A249" s="91"/>
      <c r="B249" s="57"/>
      <c r="C249" s="57"/>
      <c r="D249" s="57"/>
    </row>
    <row r="250">
      <c r="A250" s="91"/>
      <c r="B250" s="57"/>
      <c r="C250" s="57"/>
      <c r="D250" s="57"/>
    </row>
    <row r="251">
      <c r="A251" s="91"/>
      <c r="B251" s="57"/>
      <c r="C251" s="57"/>
      <c r="D251" s="57"/>
    </row>
    <row r="252">
      <c r="A252" s="91"/>
      <c r="B252" s="57"/>
      <c r="C252" s="57"/>
      <c r="D252" s="57"/>
    </row>
    <row r="253">
      <c r="A253" s="91"/>
      <c r="B253" s="57"/>
      <c r="C253" s="57"/>
      <c r="D253" s="57"/>
    </row>
    <row r="254">
      <c r="A254" s="91"/>
      <c r="B254" s="57"/>
      <c r="C254" s="57"/>
      <c r="D254" s="57"/>
    </row>
    <row r="255">
      <c r="A255" s="91"/>
      <c r="B255" s="57"/>
      <c r="C255" s="57"/>
      <c r="D255" s="57"/>
    </row>
    <row r="256">
      <c r="A256" s="91"/>
      <c r="B256" s="57"/>
      <c r="C256" s="57"/>
      <c r="D256" s="57"/>
    </row>
    <row r="257">
      <c r="A257" s="91"/>
      <c r="B257" s="57"/>
      <c r="C257" s="57"/>
      <c r="D257" s="57"/>
    </row>
    <row r="258">
      <c r="A258" s="91"/>
      <c r="B258" s="57"/>
      <c r="C258" s="57"/>
      <c r="D258" s="57"/>
    </row>
    <row r="259">
      <c r="A259" s="91"/>
      <c r="B259" s="57"/>
      <c r="C259" s="57"/>
      <c r="D259" s="57"/>
    </row>
    <row r="260">
      <c r="A260" s="91"/>
      <c r="B260" s="57"/>
      <c r="C260" s="57"/>
      <c r="D260" s="57"/>
    </row>
    <row r="261">
      <c r="A261" s="91"/>
      <c r="B261" s="57"/>
      <c r="C261" s="57"/>
      <c r="D261" s="57"/>
    </row>
    <row r="262">
      <c r="A262" s="91"/>
      <c r="B262" s="57"/>
      <c r="C262" s="57"/>
      <c r="D262" s="57"/>
    </row>
    <row r="263">
      <c r="A263" s="91"/>
      <c r="B263" s="57"/>
      <c r="C263" s="57"/>
      <c r="D263" s="57"/>
    </row>
    <row r="264">
      <c r="A264" s="91"/>
      <c r="B264" s="57"/>
      <c r="C264" s="57"/>
      <c r="D264" s="57"/>
    </row>
    <row r="265">
      <c r="A265" s="91"/>
      <c r="B265" s="57"/>
      <c r="C265" s="57"/>
      <c r="D265" s="57"/>
    </row>
    <row r="266">
      <c r="A266" s="91"/>
      <c r="B266" s="57"/>
      <c r="C266" s="57"/>
      <c r="D266" s="57"/>
    </row>
    <row r="267">
      <c r="A267" s="91"/>
      <c r="B267" s="57"/>
      <c r="C267" s="57"/>
      <c r="D267" s="57"/>
    </row>
    <row r="268">
      <c r="A268" s="91"/>
      <c r="B268" s="57"/>
      <c r="C268" s="57"/>
      <c r="D268" s="57"/>
    </row>
    <row r="269">
      <c r="A269" s="91"/>
      <c r="B269" s="57"/>
      <c r="C269" s="57"/>
      <c r="D269" s="57"/>
    </row>
    <row r="270">
      <c r="A270" s="91"/>
      <c r="B270" s="57"/>
      <c r="C270" s="57"/>
      <c r="D270" s="57"/>
    </row>
    <row r="271">
      <c r="A271" s="91"/>
      <c r="B271" s="57"/>
      <c r="C271" s="57"/>
      <c r="D271" s="57"/>
    </row>
    <row r="272">
      <c r="A272" s="91"/>
      <c r="B272" s="57"/>
      <c r="C272" s="57"/>
      <c r="D272" s="57"/>
    </row>
    <row r="273">
      <c r="A273" s="91"/>
      <c r="B273" s="57"/>
      <c r="C273" s="57"/>
      <c r="D273" s="57"/>
    </row>
    <row r="274">
      <c r="A274" s="91"/>
      <c r="B274" s="57"/>
      <c r="C274" s="57"/>
      <c r="D274" s="57"/>
    </row>
    <row r="275">
      <c r="A275" s="91"/>
      <c r="B275" s="57"/>
      <c r="C275" s="57"/>
      <c r="D275" s="57"/>
    </row>
    <row r="276">
      <c r="A276" s="91"/>
      <c r="B276" s="57"/>
      <c r="C276" s="57"/>
      <c r="D276" s="57"/>
    </row>
    <row r="277">
      <c r="A277" s="91"/>
      <c r="B277" s="57"/>
      <c r="C277" s="57"/>
      <c r="D277" s="57"/>
    </row>
    <row r="278">
      <c r="A278" s="91"/>
      <c r="B278" s="57"/>
      <c r="C278" s="57"/>
      <c r="D278" s="57"/>
    </row>
    <row r="279">
      <c r="A279" s="91"/>
      <c r="B279" s="57"/>
      <c r="C279" s="57"/>
      <c r="D279" s="57"/>
    </row>
    <row r="280">
      <c r="A280" s="91"/>
      <c r="B280" s="57"/>
      <c r="C280" s="57"/>
      <c r="D280" s="57"/>
    </row>
    <row r="281">
      <c r="A281" s="91"/>
      <c r="B281" s="57"/>
      <c r="C281" s="57"/>
      <c r="D281" s="57"/>
    </row>
    <row r="282">
      <c r="A282" s="91"/>
      <c r="B282" s="57"/>
      <c r="C282" s="57"/>
      <c r="D282" s="57"/>
    </row>
    <row r="283">
      <c r="A283" s="91"/>
      <c r="B283" s="57"/>
      <c r="C283" s="57"/>
      <c r="D283" s="57"/>
    </row>
    <row r="284">
      <c r="A284" s="91"/>
      <c r="B284" s="57"/>
      <c r="C284" s="57"/>
      <c r="D284" s="57"/>
    </row>
    <row r="285">
      <c r="A285" s="91"/>
      <c r="B285" s="57"/>
      <c r="C285" s="57"/>
      <c r="D285" s="57"/>
    </row>
    <row r="286">
      <c r="A286" s="91"/>
      <c r="B286" s="57"/>
      <c r="C286" s="57"/>
      <c r="D286" s="57"/>
    </row>
    <row r="287">
      <c r="A287" s="91"/>
      <c r="B287" s="57"/>
      <c r="C287" s="57"/>
      <c r="D287" s="57"/>
    </row>
    <row r="288">
      <c r="A288" s="91"/>
      <c r="B288" s="57"/>
      <c r="C288" s="57"/>
      <c r="D288" s="57"/>
    </row>
    <row r="289">
      <c r="A289" s="91"/>
      <c r="B289" s="57"/>
      <c r="C289" s="57"/>
      <c r="D289" s="57"/>
    </row>
    <row r="290">
      <c r="A290" s="91"/>
      <c r="B290" s="57"/>
      <c r="C290" s="57"/>
      <c r="D290" s="57"/>
    </row>
    <row r="291">
      <c r="A291" s="91"/>
      <c r="B291" s="57"/>
      <c r="C291" s="57"/>
      <c r="D291" s="57"/>
    </row>
    <row r="292">
      <c r="A292" s="91"/>
      <c r="B292" s="57"/>
      <c r="C292" s="57"/>
      <c r="D292" s="57"/>
    </row>
    <row r="293">
      <c r="A293" s="91"/>
      <c r="B293" s="57"/>
      <c r="C293" s="57"/>
      <c r="D293" s="57"/>
    </row>
    <row r="294">
      <c r="A294" s="91"/>
      <c r="B294" s="57"/>
      <c r="C294" s="57"/>
      <c r="D294" s="57"/>
    </row>
    <row r="295">
      <c r="A295" s="91"/>
      <c r="B295" s="57"/>
      <c r="C295" s="57"/>
      <c r="D295" s="57"/>
    </row>
    <row r="296">
      <c r="A296" s="91"/>
      <c r="B296" s="57"/>
      <c r="C296" s="57"/>
      <c r="D296" s="57"/>
    </row>
    <row r="297">
      <c r="A297" s="91"/>
      <c r="B297" s="57"/>
      <c r="C297" s="57"/>
      <c r="D297" s="57"/>
    </row>
    <row r="298">
      <c r="A298" s="91"/>
      <c r="B298" s="57"/>
      <c r="C298" s="57"/>
      <c r="D298" s="57"/>
    </row>
    <row r="299">
      <c r="A299" s="91"/>
      <c r="B299" s="57"/>
      <c r="C299" s="57"/>
      <c r="D299" s="57"/>
    </row>
    <row r="300">
      <c r="A300" s="91"/>
      <c r="B300" s="57"/>
      <c r="C300" s="57"/>
      <c r="D300" s="57"/>
    </row>
    <row r="301">
      <c r="A301" s="91"/>
      <c r="B301" s="57"/>
      <c r="C301" s="57"/>
      <c r="D301" s="57"/>
    </row>
    <row r="302">
      <c r="A302" s="91"/>
      <c r="B302" s="57"/>
      <c r="C302" s="57"/>
      <c r="D302" s="57"/>
    </row>
    <row r="303">
      <c r="A303" s="91"/>
      <c r="B303" s="57"/>
      <c r="C303" s="57"/>
      <c r="D303" s="57"/>
    </row>
    <row r="304">
      <c r="A304" s="91"/>
      <c r="B304" s="57"/>
      <c r="C304" s="57"/>
      <c r="D304" s="57"/>
    </row>
    <row r="305">
      <c r="A305" s="91"/>
      <c r="B305" s="57"/>
      <c r="C305" s="57"/>
      <c r="D305" s="57"/>
    </row>
    <row r="306">
      <c r="A306" s="91"/>
      <c r="B306" s="57"/>
      <c r="C306" s="57"/>
      <c r="D306" s="57"/>
    </row>
    <row r="307">
      <c r="A307" s="91"/>
      <c r="B307" s="57"/>
      <c r="C307" s="57"/>
      <c r="D307" s="57"/>
    </row>
    <row r="308">
      <c r="A308" s="91"/>
      <c r="B308" s="57"/>
      <c r="C308" s="57"/>
      <c r="D308" s="57"/>
    </row>
    <row r="309">
      <c r="A309" s="91"/>
      <c r="B309" s="57"/>
      <c r="C309" s="57"/>
      <c r="D309" s="57"/>
    </row>
    <row r="310">
      <c r="A310" s="91"/>
      <c r="B310" s="57"/>
      <c r="C310" s="57"/>
      <c r="D310" s="57"/>
    </row>
    <row r="311">
      <c r="A311" s="91"/>
      <c r="B311" s="57"/>
      <c r="C311" s="57"/>
      <c r="D311" s="57"/>
    </row>
    <row r="312">
      <c r="A312" s="91"/>
      <c r="B312" s="57"/>
      <c r="C312" s="57"/>
      <c r="D312" s="57"/>
    </row>
    <row r="313">
      <c r="A313" s="91"/>
      <c r="B313" s="57"/>
      <c r="C313" s="57"/>
      <c r="D313" s="57"/>
    </row>
    <row r="314">
      <c r="A314" s="91"/>
      <c r="B314" s="57"/>
      <c r="C314" s="57"/>
      <c r="D314" s="57"/>
    </row>
    <row r="315">
      <c r="A315" s="91"/>
      <c r="B315" s="57"/>
      <c r="C315" s="57"/>
      <c r="D315" s="57"/>
    </row>
    <row r="316">
      <c r="A316" s="91"/>
      <c r="B316" s="57"/>
      <c r="C316" s="57"/>
      <c r="D316" s="57"/>
    </row>
    <row r="317">
      <c r="A317" s="91"/>
      <c r="B317" s="57"/>
      <c r="C317" s="57"/>
      <c r="D317" s="57"/>
    </row>
    <row r="318">
      <c r="A318" s="91"/>
      <c r="B318" s="57"/>
      <c r="C318" s="57"/>
      <c r="D318" s="57"/>
    </row>
    <row r="319">
      <c r="A319" s="91"/>
      <c r="B319" s="57"/>
      <c r="C319" s="57"/>
      <c r="D319" s="57"/>
    </row>
    <row r="320">
      <c r="A320" s="91"/>
      <c r="B320" s="57"/>
      <c r="C320" s="57"/>
      <c r="D320" s="57"/>
    </row>
    <row r="321">
      <c r="A321" s="91"/>
      <c r="B321" s="57"/>
      <c r="C321" s="57"/>
      <c r="D321" s="57"/>
    </row>
    <row r="322">
      <c r="A322" s="91"/>
      <c r="B322" s="57"/>
      <c r="C322" s="57"/>
      <c r="D322" s="57"/>
    </row>
    <row r="323">
      <c r="A323" s="91"/>
      <c r="B323" s="57"/>
      <c r="C323" s="57"/>
      <c r="D323" s="57"/>
    </row>
    <row r="324">
      <c r="A324" s="91"/>
      <c r="B324" s="57"/>
      <c r="C324" s="57"/>
      <c r="D324" s="57"/>
    </row>
    <row r="325">
      <c r="A325" s="91"/>
      <c r="B325" s="57"/>
      <c r="C325" s="57"/>
      <c r="D325" s="57"/>
    </row>
    <row r="326">
      <c r="A326" s="91"/>
      <c r="B326" s="57"/>
      <c r="C326" s="57"/>
      <c r="D326" s="57"/>
    </row>
    <row r="327">
      <c r="A327" s="91"/>
      <c r="B327" s="57"/>
      <c r="C327" s="57"/>
      <c r="D327" s="57"/>
    </row>
    <row r="328">
      <c r="A328" s="91"/>
      <c r="B328" s="57"/>
      <c r="C328" s="57"/>
      <c r="D328" s="57"/>
    </row>
    <row r="329">
      <c r="A329" s="91"/>
      <c r="B329" s="57"/>
      <c r="C329" s="57"/>
      <c r="D329" s="57"/>
    </row>
    <row r="330">
      <c r="A330" s="91"/>
      <c r="B330" s="57"/>
      <c r="C330" s="57"/>
      <c r="D330" s="57"/>
    </row>
    <row r="331">
      <c r="A331" s="91"/>
      <c r="B331" s="57"/>
      <c r="C331" s="57"/>
      <c r="D331" s="57"/>
    </row>
    <row r="332">
      <c r="A332" s="91"/>
      <c r="B332" s="57"/>
      <c r="C332" s="57"/>
      <c r="D332" s="57"/>
    </row>
    <row r="333">
      <c r="A333" s="91"/>
      <c r="B333" s="57"/>
      <c r="C333" s="57"/>
      <c r="D333" s="57"/>
    </row>
    <row r="334">
      <c r="A334" s="91"/>
      <c r="B334" s="57"/>
      <c r="C334" s="57"/>
      <c r="D334" s="57"/>
    </row>
    <row r="335">
      <c r="A335" s="91"/>
      <c r="B335" s="57"/>
      <c r="C335" s="57"/>
      <c r="D335" s="57"/>
    </row>
    <row r="336">
      <c r="A336" s="91"/>
      <c r="B336" s="57"/>
      <c r="C336" s="57"/>
      <c r="D336" s="57"/>
    </row>
    <row r="337">
      <c r="A337" s="91"/>
      <c r="B337" s="57"/>
      <c r="C337" s="57"/>
      <c r="D337" s="57"/>
    </row>
    <row r="338">
      <c r="A338" s="91"/>
      <c r="B338" s="57"/>
      <c r="C338" s="57"/>
      <c r="D338" s="57"/>
    </row>
    <row r="339">
      <c r="A339" s="91"/>
      <c r="B339" s="57"/>
      <c r="C339" s="57"/>
      <c r="D339" s="57"/>
    </row>
    <row r="340">
      <c r="A340" s="91"/>
      <c r="B340" s="57"/>
      <c r="C340" s="57"/>
      <c r="D340" s="57"/>
    </row>
    <row r="341">
      <c r="A341" s="91"/>
      <c r="B341" s="57"/>
      <c r="C341" s="57"/>
      <c r="D341" s="57"/>
    </row>
    <row r="342">
      <c r="A342" s="91"/>
      <c r="B342" s="57"/>
      <c r="C342" s="57"/>
      <c r="D342" s="57"/>
    </row>
    <row r="343">
      <c r="A343" s="91"/>
      <c r="B343" s="57"/>
      <c r="C343" s="57"/>
      <c r="D343" s="57"/>
    </row>
    <row r="344">
      <c r="A344" s="91"/>
      <c r="B344" s="57"/>
      <c r="C344" s="57"/>
      <c r="D344" s="57"/>
    </row>
    <row r="345">
      <c r="A345" s="91"/>
      <c r="B345" s="57"/>
      <c r="C345" s="57"/>
      <c r="D345" s="57"/>
    </row>
    <row r="346">
      <c r="A346" s="91"/>
      <c r="B346" s="57"/>
      <c r="C346" s="57"/>
      <c r="D346" s="57"/>
    </row>
    <row r="347">
      <c r="A347" s="91"/>
      <c r="B347" s="57"/>
      <c r="C347" s="57"/>
      <c r="D347" s="57"/>
    </row>
    <row r="348">
      <c r="A348" s="91"/>
      <c r="B348" s="57"/>
      <c r="C348" s="57"/>
      <c r="D348" s="57"/>
    </row>
    <row r="349">
      <c r="A349" s="91"/>
      <c r="B349" s="57"/>
      <c r="C349" s="57"/>
      <c r="D349" s="57"/>
    </row>
    <row r="350">
      <c r="A350" s="91"/>
      <c r="B350" s="57"/>
      <c r="C350" s="57"/>
      <c r="D350" s="57"/>
    </row>
    <row r="351">
      <c r="A351" s="91"/>
      <c r="B351" s="57"/>
      <c r="C351" s="57"/>
      <c r="D351" s="57"/>
    </row>
    <row r="352">
      <c r="A352" s="91"/>
      <c r="B352" s="57"/>
      <c r="C352" s="57"/>
      <c r="D352" s="57"/>
    </row>
    <row r="353">
      <c r="A353" s="91"/>
      <c r="B353" s="57"/>
      <c r="C353" s="57"/>
      <c r="D353" s="57"/>
    </row>
    <row r="354">
      <c r="A354" s="91"/>
      <c r="B354" s="57"/>
      <c r="C354" s="57"/>
      <c r="D354" s="57"/>
    </row>
    <row r="355">
      <c r="A355" s="91"/>
      <c r="B355" s="57"/>
      <c r="C355" s="57"/>
      <c r="D355" s="57"/>
    </row>
    <row r="356">
      <c r="A356" s="91"/>
      <c r="B356" s="57"/>
      <c r="C356" s="57"/>
      <c r="D356" s="57"/>
    </row>
    <row r="357">
      <c r="A357" s="91"/>
      <c r="B357" s="57"/>
      <c r="C357" s="57"/>
      <c r="D357" s="57"/>
    </row>
    <row r="358">
      <c r="A358" s="91"/>
      <c r="B358" s="57"/>
      <c r="C358" s="57"/>
      <c r="D358" s="57"/>
    </row>
    <row r="359">
      <c r="A359" s="91"/>
      <c r="B359" s="57"/>
      <c r="C359" s="57"/>
      <c r="D359" s="57"/>
    </row>
    <row r="360">
      <c r="A360" s="91"/>
      <c r="B360" s="57"/>
      <c r="C360" s="57"/>
      <c r="D360" s="57"/>
    </row>
    <row r="361">
      <c r="A361" s="91"/>
      <c r="B361" s="57"/>
      <c r="C361" s="57"/>
      <c r="D361" s="57"/>
    </row>
    <row r="362">
      <c r="A362" s="91"/>
      <c r="B362" s="57"/>
      <c r="C362" s="57"/>
      <c r="D362" s="57"/>
    </row>
    <row r="363">
      <c r="A363" s="91"/>
      <c r="B363" s="57"/>
      <c r="C363" s="57"/>
      <c r="D363" s="57"/>
    </row>
    <row r="364">
      <c r="A364" s="91"/>
      <c r="B364" s="57"/>
      <c r="C364" s="57"/>
      <c r="D364" s="57"/>
    </row>
    <row r="365">
      <c r="A365" s="91"/>
      <c r="B365" s="57"/>
      <c r="C365" s="57"/>
      <c r="D365" s="57"/>
    </row>
    <row r="366">
      <c r="A366" s="91"/>
      <c r="B366" s="57"/>
      <c r="C366" s="57"/>
      <c r="D366" s="57"/>
    </row>
    <row r="367">
      <c r="A367" s="91"/>
      <c r="B367" s="57"/>
      <c r="C367" s="57"/>
      <c r="D367" s="57"/>
    </row>
    <row r="368">
      <c r="A368" s="91"/>
      <c r="B368" s="57"/>
      <c r="C368" s="57"/>
      <c r="D368" s="57"/>
    </row>
    <row r="369">
      <c r="A369" s="91"/>
      <c r="B369" s="57"/>
      <c r="C369" s="57"/>
      <c r="D369" s="57"/>
    </row>
    <row r="370">
      <c r="A370" s="91"/>
      <c r="B370" s="57"/>
      <c r="C370" s="57"/>
      <c r="D370" s="57"/>
    </row>
    <row r="371">
      <c r="A371" s="91"/>
      <c r="B371" s="57"/>
      <c r="C371" s="57"/>
      <c r="D371" s="57"/>
    </row>
    <row r="372">
      <c r="A372" s="91"/>
      <c r="B372" s="57"/>
      <c r="C372" s="57"/>
      <c r="D372" s="57"/>
    </row>
    <row r="373">
      <c r="A373" s="91"/>
      <c r="B373" s="57"/>
      <c r="C373" s="57"/>
      <c r="D373" s="57"/>
    </row>
    <row r="374">
      <c r="A374" s="91"/>
      <c r="B374" s="57"/>
      <c r="C374" s="57"/>
      <c r="D374" s="57"/>
    </row>
    <row r="375">
      <c r="A375" s="91"/>
      <c r="B375" s="57"/>
      <c r="C375" s="57"/>
      <c r="D375" s="57"/>
    </row>
    <row r="376">
      <c r="A376" s="91"/>
      <c r="B376" s="57"/>
      <c r="C376" s="57"/>
      <c r="D376" s="57"/>
    </row>
    <row r="377">
      <c r="A377" s="91"/>
      <c r="B377" s="57"/>
      <c r="C377" s="57"/>
      <c r="D377" s="57"/>
    </row>
    <row r="378">
      <c r="A378" s="91"/>
      <c r="B378" s="57"/>
      <c r="C378" s="57"/>
      <c r="D378" s="57"/>
    </row>
    <row r="379">
      <c r="A379" s="91"/>
      <c r="B379" s="57"/>
      <c r="C379" s="57"/>
      <c r="D379" s="57"/>
    </row>
    <row r="380">
      <c r="A380" s="91"/>
      <c r="B380" s="57"/>
      <c r="C380" s="57"/>
      <c r="D380" s="57"/>
    </row>
    <row r="381">
      <c r="A381" s="91"/>
      <c r="B381" s="57"/>
      <c r="C381" s="57"/>
      <c r="D381" s="57"/>
    </row>
    <row r="382">
      <c r="A382" s="91"/>
      <c r="B382" s="57"/>
      <c r="C382" s="57"/>
      <c r="D382" s="57"/>
    </row>
    <row r="383">
      <c r="A383" s="91"/>
      <c r="B383" s="57"/>
      <c r="C383" s="57"/>
      <c r="D383" s="57"/>
    </row>
    <row r="384">
      <c r="A384" s="91"/>
      <c r="B384" s="57"/>
      <c r="C384" s="57"/>
      <c r="D384" s="57"/>
    </row>
    <row r="385">
      <c r="A385" s="91"/>
      <c r="B385" s="57"/>
      <c r="C385" s="57"/>
      <c r="D385" s="57"/>
    </row>
    <row r="386">
      <c r="A386" s="91"/>
      <c r="B386" s="57"/>
      <c r="C386" s="57"/>
      <c r="D386" s="57"/>
    </row>
    <row r="387">
      <c r="A387" s="91"/>
      <c r="B387" s="57"/>
      <c r="C387" s="57"/>
      <c r="D387" s="57"/>
    </row>
    <row r="388">
      <c r="A388" s="91"/>
      <c r="B388" s="57"/>
      <c r="C388" s="57"/>
      <c r="D388" s="57"/>
    </row>
    <row r="389">
      <c r="A389" s="91"/>
      <c r="B389" s="57"/>
      <c r="C389" s="57"/>
      <c r="D389" s="57"/>
    </row>
    <row r="390">
      <c r="A390" s="91"/>
      <c r="B390" s="57"/>
      <c r="C390" s="57"/>
      <c r="D390" s="57"/>
    </row>
    <row r="391">
      <c r="A391" s="91"/>
      <c r="B391" s="57"/>
      <c r="C391" s="57"/>
      <c r="D391" s="57"/>
    </row>
    <row r="392">
      <c r="A392" s="91"/>
      <c r="B392" s="57"/>
      <c r="C392" s="57"/>
      <c r="D392" s="57"/>
    </row>
    <row r="393">
      <c r="A393" s="91"/>
      <c r="B393" s="57"/>
      <c r="C393" s="57"/>
      <c r="D393" s="57"/>
    </row>
    <row r="394">
      <c r="A394" s="91"/>
      <c r="B394" s="57"/>
      <c r="C394" s="57"/>
      <c r="D394" s="57"/>
    </row>
    <row r="395">
      <c r="A395" s="91"/>
      <c r="B395" s="57"/>
      <c r="C395" s="57"/>
      <c r="D395" s="57"/>
    </row>
    <row r="396">
      <c r="A396" s="91"/>
      <c r="B396" s="57"/>
      <c r="C396" s="57"/>
      <c r="D396" s="57"/>
    </row>
    <row r="397">
      <c r="A397" s="91"/>
      <c r="B397" s="57"/>
      <c r="C397" s="57"/>
      <c r="D397" s="57"/>
    </row>
    <row r="398">
      <c r="A398" s="91"/>
      <c r="B398" s="57"/>
      <c r="C398" s="57"/>
      <c r="D398" s="57"/>
    </row>
    <row r="399">
      <c r="A399" s="91"/>
      <c r="B399" s="57"/>
      <c r="C399" s="57"/>
      <c r="D399" s="57"/>
    </row>
    <row r="400">
      <c r="A400" s="91"/>
      <c r="B400" s="57"/>
      <c r="C400" s="57"/>
      <c r="D400" s="57"/>
    </row>
    <row r="401">
      <c r="A401" s="91"/>
      <c r="B401" s="57"/>
      <c r="C401" s="57"/>
      <c r="D401" s="57"/>
    </row>
    <row r="402">
      <c r="A402" s="91"/>
      <c r="B402" s="57"/>
      <c r="C402" s="57"/>
      <c r="D402" s="57"/>
    </row>
    <row r="403">
      <c r="A403" s="91"/>
      <c r="B403" s="57"/>
      <c r="C403" s="57"/>
      <c r="D403" s="57"/>
    </row>
    <row r="404">
      <c r="A404" s="91"/>
      <c r="B404" s="57"/>
      <c r="C404" s="57"/>
      <c r="D404" s="57"/>
    </row>
    <row r="405">
      <c r="A405" s="91"/>
      <c r="B405" s="57"/>
      <c r="C405" s="57"/>
      <c r="D405" s="57"/>
    </row>
    <row r="406">
      <c r="A406" s="91"/>
      <c r="B406" s="57"/>
      <c r="C406" s="57"/>
      <c r="D406" s="57"/>
    </row>
    <row r="407">
      <c r="A407" s="91"/>
      <c r="B407" s="57"/>
      <c r="C407" s="57"/>
      <c r="D407" s="57"/>
    </row>
    <row r="408">
      <c r="A408" s="91"/>
      <c r="B408" s="57"/>
      <c r="C408" s="57"/>
      <c r="D408" s="57"/>
    </row>
    <row r="409">
      <c r="A409" s="91"/>
      <c r="B409" s="57"/>
      <c r="C409" s="57"/>
      <c r="D409" s="57"/>
    </row>
    <row r="410">
      <c r="A410" s="91"/>
      <c r="B410" s="57"/>
      <c r="C410" s="57"/>
      <c r="D410" s="57"/>
    </row>
    <row r="411">
      <c r="A411" s="91"/>
      <c r="B411" s="57"/>
      <c r="C411" s="57"/>
      <c r="D411" s="57"/>
    </row>
    <row r="412">
      <c r="A412" s="91"/>
      <c r="B412" s="57"/>
      <c r="C412" s="57"/>
      <c r="D412" s="57"/>
    </row>
    <row r="413">
      <c r="A413" s="91"/>
      <c r="B413" s="57"/>
      <c r="C413" s="57"/>
      <c r="D413" s="57"/>
    </row>
    <row r="414">
      <c r="A414" s="91"/>
      <c r="B414" s="57"/>
      <c r="C414" s="57"/>
      <c r="D414" s="57"/>
    </row>
    <row r="415">
      <c r="A415" s="91"/>
      <c r="B415" s="57"/>
      <c r="C415" s="57"/>
      <c r="D415" s="57"/>
    </row>
    <row r="416">
      <c r="A416" s="91"/>
      <c r="B416" s="57"/>
      <c r="C416" s="57"/>
      <c r="D416" s="57"/>
    </row>
    <row r="417">
      <c r="A417" s="91"/>
      <c r="B417" s="57"/>
      <c r="C417" s="57"/>
      <c r="D417" s="57"/>
    </row>
    <row r="418">
      <c r="A418" s="91"/>
      <c r="B418" s="57"/>
      <c r="C418" s="57"/>
      <c r="D418" s="57"/>
    </row>
    <row r="419">
      <c r="A419" s="91"/>
      <c r="B419" s="57"/>
      <c r="C419" s="57"/>
      <c r="D419" s="57"/>
    </row>
    <row r="420">
      <c r="A420" s="91"/>
      <c r="B420" s="57"/>
      <c r="C420" s="57"/>
      <c r="D420" s="57"/>
    </row>
    <row r="421">
      <c r="A421" s="91"/>
      <c r="B421" s="57"/>
      <c r="C421" s="57"/>
      <c r="D421" s="57"/>
    </row>
    <row r="422">
      <c r="A422" s="91"/>
      <c r="B422" s="57"/>
      <c r="C422" s="57"/>
      <c r="D422" s="57"/>
    </row>
    <row r="423">
      <c r="A423" s="91"/>
      <c r="B423" s="57"/>
      <c r="C423" s="57"/>
      <c r="D423" s="57"/>
    </row>
    <row r="424">
      <c r="A424" s="91"/>
      <c r="B424" s="57"/>
      <c r="C424" s="57"/>
      <c r="D424" s="57"/>
    </row>
    <row r="425">
      <c r="A425" s="91"/>
      <c r="B425" s="57"/>
      <c r="C425" s="57"/>
      <c r="D425" s="57"/>
    </row>
    <row r="426">
      <c r="A426" s="91"/>
      <c r="B426" s="57"/>
      <c r="C426" s="57"/>
      <c r="D426" s="57"/>
    </row>
    <row r="427">
      <c r="A427" s="91"/>
      <c r="B427" s="57"/>
      <c r="C427" s="57"/>
      <c r="D427" s="57"/>
    </row>
    <row r="428">
      <c r="A428" s="91"/>
      <c r="B428" s="57"/>
      <c r="C428" s="57"/>
      <c r="D428" s="57"/>
    </row>
    <row r="429">
      <c r="A429" s="91"/>
      <c r="B429" s="57"/>
      <c r="C429" s="57"/>
      <c r="D429" s="57"/>
    </row>
    <row r="430">
      <c r="A430" s="91"/>
      <c r="B430" s="57"/>
      <c r="C430" s="57"/>
      <c r="D430" s="57"/>
    </row>
    <row r="431">
      <c r="A431" s="91"/>
      <c r="B431" s="57"/>
      <c r="C431" s="57"/>
      <c r="D431" s="57"/>
    </row>
    <row r="432">
      <c r="A432" s="91"/>
      <c r="B432" s="57"/>
      <c r="C432" s="57"/>
      <c r="D432" s="57"/>
    </row>
    <row r="433">
      <c r="A433" s="91"/>
      <c r="B433" s="57"/>
      <c r="C433" s="57"/>
      <c r="D433" s="57"/>
    </row>
    <row r="434">
      <c r="A434" s="91"/>
      <c r="B434" s="57"/>
      <c r="C434" s="57"/>
      <c r="D434" s="57"/>
    </row>
    <row r="435">
      <c r="A435" s="91"/>
      <c r="B435" s="57"/>
      <c r="C435" s="57"/>
      <c r="D435" s="57"/>
    </row>
    <row r="436">
      <c r="A436" s="91"/>
      <c r="B436" s="57"/>
      <c r="C436" s="57"/>
      <c r="D436" s="57"/>
    </row>
    <row r="437">
      <c r="A437" s="91"/>
      <c r="B437" s="57"/>
      <c r="C437" s="57"/>
      <c r="D437" s="57"/>
    </row>
    <row r="438">
      <c r="A438" s="91"/>
      <c r="B438" s="57"/>
      <c r="C438" s="57"/>
      <c r="D438" s="57"/>
    </row>
    <row r="439">
      <c r="A439" s="91"/>
      <c r="B439" s="57"/>
      <c r="C439" s="57"/>
      <c r="D439" s="57"/>
    </row>
    <row r="440">
      <c r="A440" s="91"/>
      <c r="B440" s="57"/>
      <c r="C440" s="57"/>
      <c r="D440" s="57"/>
    </row>
    <row r="441">
      <c r="A441" s="91"/>
      <c r="B441" s="57"/>
      <c r="C441" s="57"/>
      <c r="D441" s="57"/>
    </row>
    <row r="442">
      <c r="A442" s="91"/>
      <c r="B442" s="57"/>
      <c r="C442" s="57"/>
      <c r="D442" s="57"/>
    </row>
    <row r="443">
      <c r="A443" s="91"/>
      <c r="B443" s="57"/>
      <c r="C443" s="57"/>
      <c r="D443" s="57"/>
    </row>
    <row r="444">
      <c r="A444" s="91"/>
      <c r="B444" s="57"/>
      <c r="C444" s="57"/>
      <c r="D444" s="57"/>
    </row>
    <row r="445">
      <c r="A445" s="91"/>
      <c r="B445" s="57"/>
      <c r="C445" s="57"/>
      <c r="D445" s="57"/>
    </row>
    <row r="446">
      <c r="A446" s="91"/>
      <c r="B446" s="57"/>
      <c r="C446" s="57"/>
      <c r="D446" s="57"/>
    </row>
    <row r="447">
      <c r="A447" s="91"/>
      <c r="B447" s="57"/>
      <c r="C447" s="57"/>
      <c r="D447" s="57"/>
    </row>
    <row r="448">
      <c r="A448" s="91"/>
      <c r="B448" s="57"/>
      <c r="C448" s="57"/>
      <c r="D448" s="57"/>
    </row>
    <row r="449">
      <c r="A449" s="91"/>
      <c r="B449" s="57"/>
      <c r="C449" s="57"/>
      <c r="D449" s="57"/>
    </row>
    <row r="450">
      <c r="A450" s="91"/>
      <c r="B450" s="57"/>
      <c r="C450" s="57"/>
      <c r="D450" s="57"/>
    </row>
    <row r="451">
      <c r="A451" s="91"/>
      <c r="B451" s="57"/>
      <c r="C451" s="57"/>
      <c r="D451" s="57"/>
    </row>
    <row r="452">
      <c r="A452" s="91"/>
      <c r="B452" s="57"/>
      <c r="C452" s="57"/>
      <c r="D452" s="57"/>
    </row>
    <row r="453">
      <c r="A453" s="91"/>
      <c r="B453" s="57"/>
      <c r="C453" s="57"/>
      <c r="D453" s="57"/>
    </row>
    <row r="454">
      <c r="A454" s="91"/>
      <c r="B454" s="57"/>
      <c r="C454" s="57"/>
      <c r="D454" s="57"/>
    </row>
    <row r="455">
      <c r="A455" s="91"/>
      <c r="B455" s="57"/>
      <c r="C455" s="57"/>
      <c r="D455" s="57"/>
    </row>
    <row r="456">
      <c r="A456" s="91"/>
      <c r="B456" s="57"/>
      <c r="C456" s="57"/>
      <c r="D456" s="57"/>
    </row>
    <row r="457">
      <c r="A457" s="91"/>
      <c r="B457" s="57"/>
      <c r="C457" s="57"/>
      <c r="D457" s="57"/>
    </row>
    <row r="458">
      <c r="A458" s="91"/>
      <c r="B458" s="57"/>
      <c r="C458" s="57"/>
      <c r="D458" s="57"/>
    </row>
    <row r="459">
      <c r="A459" s="91"/>
      <c r="B459" s="57"/>
      <c r="C459" s="57"/>
      <c r="D459" s="57"/>
    </row>
    <row r="460">
      <c r="A460" s="91"/>
      <c r="B460" s="57"/>
      <c r="C460" s="57"/>
      <c r="D460" s="57"/>
    </row>
    <row r="461">
      <c r="A461" s="91"/>
      <c r="B461" s="57"/>
      <c r="C461" s="57"/>
      <c r="D461" s="57"/>
    </row>
    <row r="462">
      <c r="A462" s="91"/>
      <c r="B462" s="57"/>
      <c r="C462" s="57"/>
      <c r="D462" s="57"/>
    </row>
    <row r="463">
      <c r="A463" s="91"/>
      <c r="B463" s="57"/>
      <c r="C463" s="57"/>
      <c r="D463" s="57"/>
    </row>
    <row r="464">
      <c r="A464" s="91"/>
      <c r="B464" s="57"/>
      <c r="C464" s="57"/>
      <c r="D464" s="57"/>
    </row>
    <row r="465">
      <c r="A465" s="91"/>
      <c r="B465" s="57"/>
      <c r="C465" s="57"/>
      <c r="D465" s="57"/>
    </row>
    <row r="466">
      <c r="A466" s="91"/>
      <c r="B466" s="57"/>
      <c r="C466" s="57"/>
      <c r="D466" s="57"/>
    </row>
    <row r="467">
      <c r="A467" s="91"/>
      <c r="B467" s="57"/>
      <c r="C467" s="57"/>
      <c r="D467" s="57"/>
    </row>
    <row r="468">
      <c r="A468" s="91"/>
      <c r="B468" s="57"/>
      <c r="C468" s="57"/>
      <c r="D468" s="57"/>
    </row>
    <row r="469">
      <c r="A469" s="91"/>
      <c r="B469" s="57"/>
      <c r="C469" s="57"/>
      <c r="D469" s="57"/>
    </row>
    <row r="470">
      <c r="A470" s="91"/>
      <c r="B470" s="57"/>
      <c r="C470" s="57"/>
      <c r="D470" s="57"/>
    </row>
    <row r="471">
      <c r="A471" s="91"/>
      <c r="B471" s="57"/>
      <c r="C471" s="57"/>
      <c r="D471" s="57"/>
    </row>
    <row r="472">
      <c r="A472" s="91"/>
      <c r="B472" s="57"/>
      <c r="C472" s="57"/>
      <c r="D472" s="57"/>
    </row>
    <row r="473">
      <c r="A473" s="91"/>
      <c r="B473" s="57"/>
      <c r="C473" s="57"/>
      <c r="D473" s="57"/>
    </row>
    <row r="474">
      <c r="A474" s="91"/>
      <c r="B474" s="57"/>
      <c r="C474" s="57"/>
      <c r="D474" s="57"/>
    </row>
    <row r="475">
      <c r="A475" s="91"/>
      <c r="B475" s="57"/>
      <c r="C475" s="57"/>
      <c r="D475" s="57"/>
    </row>
    <row r="476">
      <c r="A476" s="91"/>
      <c r="B476" s="57"/>
      <c r="C476" s="57"/>
      <c r="D476" s="57"/>
    </row>
    <row r="477">
      <c r="A477" s="91"/>
      <c r="B477" s="57"/>
      <c r="C477" s="57"/>
      <c r="D477" s="57"/>
    </row>
    <row r="478">
      <c r="A478" s="91"/>
      <c r="B478" s="57"/>
      <c r="C478" s="57"/>
      <c r="D478" s="57"/>
    </row>
    <row r="479">
      <c r="A479" s="91"/>
      <c r="B479" s="57"/>
      <c r="C479" s="57"/>
      <c r="D479" s="57"/>
    </row>
    <row r="480">
      <c r="A480" s="91"/>
      <c r="B480" s="57"/>
      <c r="C480" s="57"/>
      <c r="D480" s="57"/>
    </row>
    <row r="481">
      <c r="A481" s="91"/>
      <c r="B481" s="57"/>
      <c r="C481" s="57"/>
      <c r="D481" s="57"/>
    </row>
    <row r="482">
      <c r="A482" s="91"/>
      <c r="B482" s="57"/>
      <c r="C482" s="57"/>
      <c r="D482" s="57"/>
    </row>
    <row r="483">
      <c r="A483" s="91"/>
      <c r="B483" s="57"/>
      <c r="C483" s="57"/>
      <c r="D483" s="57"/>
    </row>
    <row r="484">
      <c r="A484" s="91"/>
      <c r="B484" s="57"/>
      <c r="C484" s="57"/>
      <c r="D484" s="57"/>
    </row>
    <row r="485">
      <c r="A485" s="91"/>
      <c r="B485" s="57"/>
      <c r="C485" s="57"/>
      <c r="D485" s="57"/>
    </row>
    <row r="486">
      <c r="A486" s="91"/>
      <c r="B486" s="57"/>
      <c r="C486" s="57"/>
      <c r="D486" s="57"/>
    </row>
    <row r="487">
      <c r="A487" s="91"/>
      <c r="B487" s="57"/>
      <c r="C487" s="57"/>
      <c r="D487" s="57"/>
    </row>
    <row r="488">
      <c r="A488" s="91"/>
      <c r="B488" s="57"/>
      <c r="C488" s="57"/>
      <c r="D488" s="57"/>
    </row>
    <row r="489">
      <c r="A489" s="91"/>
      <c r="B489" s="57"/>
      <c r="C489" s="57"/>
      <c r="D489" s="57"/>
    </row>
    <row r="490">
      <c r="A490" s="91"/>
      <c r="B490" s="57"/>
      <c r="C490" s="57"/>
      <c r="D490" s="57"/>
    </row>
    <row r="491">
      <c r="A491" s="91"/>
      <c r="B491" s="57"/>
      <c r="C491" s="57"/>
      <c r="D491" s="57"/>
    </row>
    <row r="492">
      <c r="A492" s="91"/>
      <c r="B492" s="57"/>
      <c r="C492" s="57"/>
      <c r="D492" s="57"/>
    </row>
    <row r="493">
      <c r="A493" s="91"/>
      <c r="B493" s="57"/>
      <c r="C493" s="57"/>
      <c r="D493" s="57"/>
    </row>
    <row r="494">
      <c r="A494" s="91"/>
      <c r="B494" s="57"/>
      <c r="C494" s="57"/>
      <c r="D494" s="57"/>
    </row>
    <row r="495">
      <c r="A495" s="91"/>
      <c r="B495" s="57"/>
      <c r="C495" s="57"/>
      <c r="D495" s="57"/>
    </row>
    <row r="496">
      <c r="A496" s="91"/>
      <c r="B496" s="57"/>
      <c r="C496" s="57"/>
      <c r="D496" s="57"/>
    </row>
    <row r="497">
      <c r="A497" s="91"/>
      <c r="B497" s="57"/>
      <c r="C497" s="57"/>
      <c r="D497" s="57"/>
    </row>
    <row r="498">
      <c r="A498" s="91"/>
      <c r="B498" s="57"/>
      <c r="C498" s="57"/>
      <c r="D498" s="57"/>
    </row>
    <row r="499">
      <c r="A499" s="91"/>
      <c r="B499" s="57"/>
      <c r="C499" s="57"/>
      <c r="D499" s="57"/>
    </row>
    <row r="500">
      <c r="A500" s="91"/>
      <c r="B500" s="57"/>
      <c r="C500" s="57"/>
      <c r="D500" s="57"/>
    </row>
    <row r="501">
      <c r="A501" s="91"/>
      <c r="B501" s="57"/>
      <c r="C501" s="57"/>
      <c r="D501" s="57"/>
    </row>
    <row r="502">
      <c r="A502" s="91"/>
      <c r="B502" s="57"/>
      <c r="C502" s="57"/>
      <c r="D502" s="57"/>
    </row>
    <row r="503">
      <c r="A503" s="91"/>
      <c r="B503" s="57"/>
      <c r="C503" s="57"/>
      <c r="D503" s="57"/>
    </row>
    <row r="504">
      <c r="A504" s="91"/>
      <c r="B504" s="57"/>
      <c r="C504" s="57"/>
      <c r="D504" s="57"/>
    </row>
    <row r="505">
      <c r="A505" s="91"/>
      <c r="B505" s="57"/>
      <c r="C505" s="57"/>
      <c r="D505" s="57"/>
    </row>
    <row r="506">
      <c r="A506" s="91"/>
      <c r="B506" s="57"/>
      <c r="C506" s="57"/>
      <c r="D506" s="57"/>
    </row>
    <row r="507">
      <c r="A507" s="91"/>
      <c r="B507" s="57"/>
      <c r="C507" s="57"/>
      <c r="D507" s="57"/>
    </row>
    <row r="508">
      <c r="A508" s="91"/>
      <c r="B508" s="57"/>
      <c r="C508" s="57"/>
      <c r="D508" s="57"/>
    </row>
    <row r="509">
      <c r="A509" s="91"/>
      <c r="B509" s="57"/>
      <c r="C509" s="57"/>
      <c r="D509" s="57"/>
    </row>
    <row r="510">
      <c r="A510" s="91"/>
      <c r="B510" s="57"/>
      <c r="C510" s="57"/>
      <c r="D510" s="57"/>
    </row>
    <row r="511">
      <c r="A511" s="91"/>
      <c r="B511" s="57"/>
      <c r="C511" s="57"/>
      <c r="D511" s="57"/>
    </row>
    <row r="512">
      <c r="A512" s="91"/>
      <c r="B512" s="57"/>
      <c r="C512" s="57"/>
      <c r="D512" s="57"/>
    </row>
    <row r="513">
      <c r="A513" s="91"/>
      <c r="B513" s="57"/>
      <c r="C513" s="57"/>
      <c r="D513" s="57"/>
    </row>
    <row r="514">
      <c r="A514" s="91"/>
      <c r="B514" s="57"/>
      <c r="C514" s="57"/>
      <c r="D514" s="57"/>
    </row>
    <row r="515">
      <c r="A515" s="91"/>
      <c r="B515" s="57"/>
      <c r="C515" s="57"/>
      <c r="D515" s="57"/>
    </row>
    <row r="516">
      <c r="A516" s="91"/>
      <c r="B516" s="57"/>
      <c r="C516" s="57"/>
      <c r="D516" s="57"/>
    </row>
    <row r="517">
      <c r="A517" s="91"/>
      <c r="B517" s="57"/>
      <c r="C517" s="57"/>
      <c r="D517" s="57"/>
    </row>
    <row r="518">
      <c r="A518" s="91"/>
      <c r="B518" s="57"/>
      <c r="C518" s="57"/>
      <c r="D518" s="57"/>
    </row>
    <row r="519">
      <c r="A519" s="91"/>
      <c r="B519" s="57"/>
      <c r="C519" s="57"/>
      <c r="D519" s="57"/>
    </row>
    <row r="520">
      <c r="A520" s="91"/>
      <c r="B520" s="57"/>
      <c r="C520" s="57"/>
      <c r="D520" s="57"/>
    </row>
    <row r="521">
      <c r="A521" s="91"/>
      <c r="B521" s="57"/>
      <c r="C521" s="57"/>
      <c r="D521" s="57"/>
    </row>
    <row r="522">
      <c r="A522" s="91"/>
      <c r="B522" s="57"/>
      <c r="C522" s="57"/>
      <c r="D522" s="57"/>
    </row>
    <row r="523">
      <c r="A523" s="91"/>
      <c r="B523" s="57"/>
      <c r="C523" s="57"/>
      <c r="D523" s="57"/>
    </row>
    <row r="524">
      <c r="A524" s="91"/>
      <c r="B524" s="57"/>
      <c r="C524" s="57"/>
      <c r="D524" s="57"/>
    </row>
    <row r="525">
      <c r="A525" s="91"/>
      <c r="B525" s="57"/>
      <c r="C525" s="57"/>
      <c r="D525" s="57"/>
    </row>
    <row r="526">
      <c r="A526" s="91"/>
      <c r="B526" s="57"/>
      <c r="C526" s="57"/>
      <c r="D526" s="57"/>
    </row>
    <row r="527">
      <c r="A527" s="91"/>
      <c r="B527" s="57"/>
      <c r="C527" s="57"/>
      <c r="D527" s="57"/>
    </row>
    <row r="528">
      <c r="A528" s="91"/>
      <c r="B528" s="57"/>
      <c r="C528" s="57"/>
      <c r="D528" s="57"/>
    </row>
    <row r="529">
      <c r="A529" s="91"/>
      <c r="B529" s="57"/>
      <c r="C529" s="57"/>
      <c r="D529" s="57"/>
    </row>
    <row r="530">
      <c r="A530" s="91"/>
      <c r="B530" s="57"/>
      <c r="C530" s="57"/>
      <c r="D530" s="57"/>
    </row>
    <row r="531">
      <c r="A531" s="91"/>
      <c r="B531" s="57"/>
      <c r="C531" s="57"/>
      <c r="D531" s="57"/>
    </row>
    <row r="532">
      <c r="A532" s="91"/>
      <c r="B532" s="57"/>
      <c r="C532" s="57"/>
      <c r="D532" s="57"/>
    </row>
    <row r="533">
      <c r="A533" s="91"/>
      <c r="B533" s="57"/>
      <c r="C533" s="57"/>
      <c r="D533" s="57"/>
    </row>
    <row r="534">
      <c r="A534" s="91"/>
      <c r="B534" s="57"/>
      <c r="C534" s="57"/>
      <c r="D534" s="57"/>
    </row>
    <row r="535">
      <c r="A535" s="91"/>
      <c r="B535" s="57"/>
      <c r="C535" s="57"/>
      <c r="D535" s="57"/>
    </row>
    <row r="536">
      <c r="A536" s="91"/>
      <c r="B536" s="57"/>
      <c r="C536" s="57"/>
      <c r="D536" s="57"/>
    </row>
    <row r="537">
      <c r="A537" s="91"/>
      <c r="B537" s="57"/>
      <c r="C537" s="57"/>
      <c r="D537" s="57"/>
    </row>
    <row r="538">
      <c r="A538" s="91"/>
      <c r="B538" s="57"/>
      <c r="C538" s="57"/>
      <c r="D538" s="57"/>
    </row>
    <row r="539">
      <c r="A539" s="91"/>
      <c r="B539" s="57"/>
      <c r="C539" s="57"/>
      <c r="D539" s="57"/>
    </row>
    <row r="540">
      <c r="A540" s="91"/>
      <c r="B540" s="57"/>
      <c r="C540" s="57"/>
      <c r="D540" s="57"/>
    </row>
    <row r="541">
      <c r="A541" s="91"/>
      <c r="B541" s="57"/>
      <c r="C541" s="57"/>
      <c r="D541" s="57"/>
    </row>
    <row r="542">
      <c r="A542" s="91"/>
      <c r="B542" s="57"/>
      <c r="C542" s="57"/>
      <c r="D542" s="57"/>
    </row>
    <row r="543">
      <c r="A543" s="91"/>
      <c r="B543" s="57"/>
      <c r="C543" s="57"/>
      <c r="D543" s="57"/>
    </row>
    <row r="544">
      <c r="A544" s="91"/>
      <c r="B544" s="57"/>
      <c r="C544" s="57"/>
      <c r="D544" s="57"/>
    </row>
    <row r="545">
      <c r="A545" s="91"/>
      <c r="B545" s="57"/>
      <c r="C545" s="57"/>
      <c r="D545" s="57"/>
    </row>
    <row r="546">
      <c r="A546" s="91"/>
      <c r="B546" s="57"/>
      <c r="C546" s="57"/>
      <c r="D546" s="57"/>
    </row>
    <row r="547">
      <c r="A547" s="91"/>
      <c r="B547" s="57"/>
      <c r="C547" s="57"/>
      <c r="D547" s="57"/>
    </row>
    <row r="548">
      <c r="A548" s="91"/>
      <c r="B548" s="57"/>
      <c r="C548" s="57"/>
      <c r="D548" s="57"/>
    </row>
    <row r="549">
      <c r="A549" s="91"/>
      <c r="B549" s="57"/>
      <c r="C549" s="57"/>
      <c r="D549" s="57"/>
    </row>
    <row r="550">
      <c r="A550" s="91"/>
      <c r="B550" s="57"/>
      <c r="C550" s="57"/>
      <c r="D550" s="57"/>
    </row>
    <row r="551">
      <c r="A551" s="91"/>
      <c r="B551" s="57"/>
      <c r="C551" s="57"/>
      <c r="D551" s="57"/>
    </row>
    <row r="552">
      <c r="A552" s="91"/>
      <c r="B552" s="57"/>
      <c r="C552" s="57"/>
      <c r="D552" s="57"/>
    </row>
    <row r="553">
      <c r="A553" s="91"/>
      <c r="B553" s="57"/>
      <c r="C553" s="57"/>
      <c r="D553" s="57"/>
    </row>
    <row r="554">
      <c r="A554" s="91"/>
      <c r="B554" s="57"/>
      <c r="C554" s="57"/>
      <c r="D554" s="57"/>
    </row>
    <row r="555">
      <c r="A555" s="91"/>
      <c r="B555" s="57"/>
      <c r="C555" s="57"/>
      <c r="D555" s="57"/>
    </row>
    <row r="556">
      <c r="A556" s="91"/>
      <c r="B556" s="57"/>
      <c r="C556" s="57"/>
      <c r="D556" s="57"/>
    </row>
    <row r="557">
      <c r="A557" s="91"/>
      <c r="B557" s="57"/>
      <c r="C557" s="57"/>
      <c r="D557" s="57"/>
    </row>
    <row r="558">
      <c r="A558" s="91"/>
      <c r="B558" s="57"/>
      <c r="C558" s="57"/>
      <c r="D558" s="57"/>
    </row>
    <row r="559">
      <c r="A559" s="91"/>
      <c r="B559" s="57"/>
      <c r="C559" s="57"/>
      <c r="D559" s="57"/>
    </row>
    <row r="560">
      <c r="A560" s="91"/>
      <c r="B560" s="57"/>
      <c r="C560" s="57"/>
      <c r="D560" s="57"/>
    </row>
    <row r="561">
      <c r="A561" s="91"/>
      <c r="B561" s="57"/>
      <c r="C561" s="57"/>
      <c r="D561" s="57"/>
    </row>
    <row r="562">
      <c r="A562" s="91"/>
      <c r="B562" s="57"/>
      <c r="C562" s="57"/>
      <c r="D562" s="57"/>
    </row>
    <row r="563">
      <c r="A563" s="91"/>
      <c r="B563" s="57"/>
      <c r="C563" s="57"/>
      <c r="D563" s="57"/>
    </row>
    <row r="564">
      <c r="A564" s="91"/>
      <c r="B564" s="57"/>
      <c r="C564" s="57"/>
      <c r="D564" s="57"/>
    </row>
    <row r="565">
      <c r="A565" s="91"/>
      <c r="B565" s="57"/>
      <c r="C565" s="57"/>
      <c r="D565" s="57"/>
    </row>
    <row r="566">
      <c r="A566" s="91"/>
      <c r="B566" s="57"/>
      <c r="C566" s="57"/>
      <c r="D566" s="57"/>
    </row>
    <row r="567">
      <c r="A567" s="91"/>
      <c r="B567" s="57"/>
      <c r="C567" s="57"/>
      <c r="D567" s="57"/>
    </row>
    <row r="568">
      <c r="A568" s="91"/>
      <c r="B568" s="57"/>
      <c r="C568" s="57"/>
      <c r="D568" s="57"/>
    </row>
    <row r="569">
      <c r="A569" s="91"/>
      <c r="B569" s="57"/>
      <c r="C569" s="57"/>
      <c r="D569" s="57"/>
    </row>
    <row r="570">
      <c r="A570" s="91"/>
      <c r="B570" s="57"/>
      <c r="C570" s="57"/>
      <c r="D570" s="57"/>
    </row>
    <row r="571">
      <c r="A571" s="91"/>
      <c r="B571" s="57"/>
      <c r="C571" s="57"/>
      <c r="D571" s="57"/>
    </row>
    <row r="572">
      <c r="A572" s="91"/>
      <c r="B572" s="57"/>
      <c r="C572" s="57"/>
      <c r="D572" s="57"/>
    </row>
    <row r="573">
      <c r="A573" s="91"/>
      <c r="B573" s="57"/>
      <c r="C573" s="57"/>
      <c r="D573" s="57"/>
    </row>
    <row r="574">
      <c r="A574" s="91"/>
      <c r="B574" s="57"/>
      <c r="C574" s="57"/>
      <c r="D574" s="57"/>
    </row>
    <row r="575">
      <c r="A575" s="91"/>
      <c r="B575" s="57"/>
      <c r="C575" s="57"/>
      <c r="D575" s="57"/>
    </row>
    <row r="576">
      <c r="A576" s="91"/>
      <c r="B576" s="57"/>
      <c r="C576" s="57"/>
      <c r="D576" s="57"/>
    </row>
    <row r="577">
      <c r="A577" s="91"/>
      <c r="B577" s="57"/>
      <c r="C577" s="57"/>
      <c r="D577" s="57"/>
    </row>
    <row r="578">
      <c r="A578" s="91"/>
      <c r="B578" s="57"/>
      <c r="C578" s="57"/>
      <c r="D578" s="57"/>
    </row>
    <row r="579">
      <c r="A579" s="91"/>
      <c r="B579" s="57"/>
      <c r="C579" s="57"/>
      <c r="D579" s="57"/>
    </row>
    <row r="580">
      <c r="A580" s="91"/>
      <c r="B580" s="57"/>
      <c r="C580" s="57"/>
      <c r="D580" s="57"/>
    </row>
    <row r="581">
      <c r="A581" s="91"/>
      <c r="B581" s="57"/>
      <c r="C581" s="57"/>
      <c r="D581" s="57"/>
    </row>
    <row r="582">
      <c r="A582" s="91"/>
      <c r="B582" s="57"/>
      <c r="C582" s="57"/>
      <c r="D582" s="57"/>
    </row>
    <row r="583">
      <c r="A583" s="91"/>
      <c r="B583" s="57"/>
      <c r="C583" s="57"/>
      <c r="D583" s="57"/>
    </row>
    <row r="584">
      <c r="A584" s="91"/>
      <c r="B584" s="57"/>
      <c r="C584" s="57"/>
      <c r="D584" s="57"/>
    </row>
    <row r="585">
      <c r="A585" s="91"/>
      <c r="B585" s="57"/>
      <c r="C585" s="57"/>
      <c r="D585" s="57"/>
    </row>
    <row r="586">
      <c r="A586" s="91"/>
      <c r="B586" s="57"/>
      <c r="C586" s="57"/>
      <c r="D586" s="57"/>
    </row>
    <row r="587">
      <c r="A587" s="91"/>
      <c r="B587" s="57"/>
      <c r="C587" s="57"/>
      <c r="D587" s="57"/>
    </row>
    <row r="588">
      <c r="A588" s="91"/>
      <c r="B588" s="57"/>
      <c r="C588" s="57"/>
      <c r="D588" s="57"/>
    </row>
    <row r="589">
      <c r="A589" s="91"/>
      <c r="B589" s="57"/>
      <c r="C589" s="57"/>
      <c r="D589" s="57"/>
    </row>
    <row r="590">
      <c r="A590" s="91"/>
      <c r="B590" s="57"/>
      <c r="C590" s="57"/>
      <c r="D590" s="57"/>
    </row>
    <row r="591">
      <c r="A591" s="91"/>
      <c r="B591" s="57"/>
      <c r="C591" s="57"/>
      <c r="D591" s="57"/>
    </row>
    <row r="592">
      <c r="A592" s="91"/>
      <c r="B592" s="57"/>
      <c r="C592" s="57"/>
      <c r="D592" s="57"/>
    </row>
    <row r="593">
      <c r="A593" s="91"/>
      <c r="B593" s="57"/>
      <c r="C593" s="57"/>
      <c r="D593" s="57"/>
    </row>
    <row r="594">
      <c r="A594" s="91"/>
      <c r="B594" s="57"/>
      <c r="C594" s="57"/>
      <c r="D594" s="57"/>
    </row>
    <row r="595">
      <c r="A595" s="91"/>
      <c r="B595" s="57"/>
      <c r="C595" s="57"/>
      <c r="D595" s="57"/>
    </row>
    <row r="596">
      <c r="A596" s="91"/>
      <c r="B596" s="57"/>
      <c r="C596" s="57"/>
      <c r="D596" s="57"/>
    </row>
    <row r="597">
      <c r="A597" s="91"/>
      <c r="B597" s="57"/>
      <c r="C597" s="57"/>
      <c r="D597" s="57"/>
    </row>
    <row r="598">
      <c r="A598" s="91"/>
      <c r="B598" s="57"/>
      <c r="C598" s="57"/>
      <c r="D598" s="57"/>
    </row>
    <row r="599">
      <c r="A599" s="91"/>
      <c r="B599" s="57"/>
      <c r="C599" s="57"/>
      <c r="D599" s="57"/>
    </row>
    <row r="600">
      <c r="A600" s="91"/>
      <c r="B600" s="57"/>
      <c r="C600" s="57"/>
      <c r="D600" s="57"/>
    </row>
    <row r="601">
      <c r="A601" s="91"/>
      <c r="B601" s="57"/>
      <c r="C601" s="57"/>
      <c r="D601" s="57"/>
    </row>
    <row r="602">
      <c r="A602" s="91"/>
      <c r="B602" s="57"/>
      <c r="C602" s="57"/>
      <c r="D602" s="57"/>
    </row>
    <row r="603">
      <c r="A603" s="91"/>
      <c r="B603" s="57"/>
      <c r="C603" s="57"/>
      <c r="D603" s="57"/>
    </row>
    <row r="604">
      <c r="A604" s="91"/>
      <c r="B604" s="57"/>
      <c r="C604" s="57"/>
      <c r="D604" s="57"/>
    </row>
    <row r="605">
      <c r="A605" s="91"/>
      <c r="B605" s="57"/>
      <c r="C605" s="57"/>
      <c r="D605" s="57"/>
    </row>
    <row r="606">
      <c r="A606" s="91"/>
      <c r="B606" s="57"/>
      <c r="C606" s="57"/>
      <c r="D606" s="57"/>
    </row>
    <row r="607">
      <c r="A607" s="91"/>
      <c r="B607" s="57"/>
      <c r="C607" s="57"/>
      <c r="D607" s="57"/>
    </row>
    <row r="608">
      <c r="A608" s="91"/>
      <c r="B608" s="57"/>
      <c r="C608" s="57"/>
      <c r="D608" s="57"/>
    </row>
    <row r="609">
      <c r="A609" s="91"/>
      <c r="B609" s="57"/>
      <c r="C609" s="57"/>
      <c r="D609" s="57"/>
    </row>
    <row r="610">
      <c r="A610" s="91"/>
      <c r="B610" s="57"/>
      <c r="C610" s="57"/>
      <c r="D610" s="57"/>
    </row>
    <row r="611">
      <c r="A611" s="91"/>
      <c r="B611" s="57"/>
      <c r="C611" s="57"/>
      <c r="D611" s="57"/>
    </row>
    <row r="612">
      <c r="A612" s="91"/>
      <c r="B612" s="57"/>
      <c r="C612" s="57"/>
      <c r="D612" s="57"/>
    </row>
    <row r="613">
      <c r="A613" s="91"/>
      <c r="B613" s="57"/>
      <c r="C613" s="57"/>
      <c r="D613" s="57"/>
    </row>
    <row r="614">
      <c r="A614" s="91"/>
      <c r="B614" s="57"/>
      <c r="C614" s="57"/>
      <c r="D614" s="57"/>
    </row>
    <row r="615">
      <c r="A615" s="91"/>
      <c r="B615" s="57"/>
      <c r="C615" s="57"/>
      <c r="D615" s="57"/>
    </row>
    <row r="616">
      <c r="A616" s="91"/>
      <c r="B616" s="57"/>
      <c r="C616" s="57"/>
      <c r="D616" s="57"/>
    </row>
    <row r="617">
      <c r="A617" s="91"/>
      <c r="B617" s="57"/>
      <c r="C617" s="57"/>
      <c r="D617" s="57"/>
    </row>
    <row r="618">
      <c r="A618" s="91"/>
      <c r="B618" s="57"/>
      <c r="C618" s="57"/>
      <c r="D618" s="57"/>
    </row>
    <row r="619">
      <c r="A619" s="91"/>
      <c r="B619" s="57"/>
      <c r="C619" s="57"/>
      <c r="D619" s="57"/>
    </row>
    <row r="620">
      <c r="A620" s="91"/>
      <c r="B620" s="57"/>
      <c r="C620" s="57"/>
      <c r="D620" s="57"/>
    </row>
    <row r="621">
      <c r="A621" s="91"/>
      <c r="B621" s="57"/>
      <c r="C621" s="57"/>
      <c r="D621" s="57"/>
    </row>
    <row r="622">
      <c r="A622" s="91"/>
      <c r="B622" s="57"/>
      <c r="C622" s="57"/>
      <c r="D622" s="57"/>
    </row>
    <row r="623">
      <c r="A623" s="91"/>
      <c r="B623" s="57"/>
      <c r="C623" s="57"/>
      <c r="D623" s="57"/>
    </row>
    <row r="624">
      <c r="A624" s="91"/>
      <c r="B624" s="57"/>
      <c r="C624" s="57"/>
      <c r="D624" s="57"/>
    </row>
    <row r="625">
      <c r="A625" s="91"/>
      <c r="B625" s="57"/>
      <c r="C625" s="57"/>
      <c r="D625" s="57"/>
    </row>
    <row r="626">
      <c r="A626" s="91"/>
      <c r="B626" s="57"/>
      <c r="C626" s="57"/>
      <c r="D626" s="57"/>
    </row>
    <row r="627">
      <c r="A627" s="91"/>
      <c r="B627" s="57"/>
      <c r="C627" s="57"/>
      <c r="D627" s="57"/>
    </row>
    <row r="628">
      <c r="A628" s="91"/>
      <c r="B628" s="57"/>
      <c r="C628" s="57"/>
      <c r="D628" s="57"/>
    </row>
    <row r="629">
      <c r="A629" s="91"/>
      <c r="B629" s="57"/>
      <c r="C629" s="57"/>
      <c r="D629" s="57"/>
    </row>
    <row r="630">
      <c r="A630" s="91"/>
      <c r="B630" s="57"/>
      <c r="C630" s="57"/>
      <c r="D630" s="57"/>
    </row>
    <row r="631">
      <c r="A631" s="91"/>
      <c r="B631" s="57"/>
      <c r="C631" s="57"/>
      <c r="D631" s="57"/>
    </row>
    <row r="632">
      <c r="A632" s="91"/>
      <c r="B632" s="57"/>
      <c r="C632" s="57"/>
      <c r="D632" s="57"/>
    </row>
    <row r="633">
      <c r="A633" s="91"/>
      <c r="B633" s="57"/>
      <c r="C633" s="57"/>
      <c r="D633" s="57"/>
    </row>
    <row r="634">
      <c r="A634" s="91"/>
      <c r="B634" s="57"/>
      <c r="C634" s="57"/>
      <c r="D634" s="57"/>
    </row>
    <row r="635">
      <c r="A635" s="91"/>
      <c r="B635" s="57"/>
      <c r="C635" s="57"/>
      <c r="D635" s="57"/>
    </row>
    <row r="636">
      <c r="A636" s="91"/>
      <c r="B636" s="57"/>
      <c r="C636" s="57"/>
      <c r="D636" s="57"/>
    </row>
    <row r="637">
      <c r="A637" s="91"/>
      <c r="B637" s="57"/>
      <c r="C637" s="57"/>
      <c r="D637" s="57"/>
    </row>
    <row r="638">
      <c r="A638" s="91"/>
      <c r="B638" s="57"/>
      <c r="C638" s="57"/>
      <c r="D638" s="57"/>
    </row>
    <row r="639">
      <c r="A639" s="91"/>
      <c r="B639" s="57"/>
      <c r="C639" s="57"/>
      <c r="D639" s="57"/>
    </row>
    <row r="640">
      <c r="A640" s="91"/>
      <c r="B640" s="57"/>
      <c r="C640" s="57"/>
      <c r="D640" s="57"/>
    </row>
    <row r="641">
      <c r="A641" s="91"/>
      <c r="B641" s="57"/>
      <c r="C641" s="57"/>
      <c r="D641" s="57"/>
    </row>
    <row r="642">
      <c r="A642" s="91"/>
      <c r="B642" s="57"/>
      <c r="C642" s="57"/>
      <c r="D642" s="57"/>
    </row>
    <row r="643">
      <c r="A643" s="91"/>
      <c r="B643" s="57"/>
      <c r="C643" s="57"/>
      <c r="D643" s="57"/>
    </row>
    <row r="644">
      <c r="A644" s="91"/>
      <c r="B644" s="57"/>
      <c r="C644" s="57"/>
      <c r="D644" s="57"/>
    </row>
    <row r="645">
      <c r="A645" s="91"/>
      <c r="B645" s="57"/>
      <c r="C645" s="57"/>
      <c r="D645" s="57"/>
    </row>
    <row r="646">
      <c r="A646" s="91"/>
      <c r="B646" s="57"/>
      <c r="C646" s="57"/>
      <c r="D646" s="57"/>
    </row>
    <row r="647">
      <c r="A647" s="91"/>
      <c r="B647" s="57"/>
      <c r="C647" s="57"/>
      <c r="D647" s="57"/>
    </row>
    <row r="648">
      <c r="A648" s="91"/>
      <c r="B648" s="57"/>
      <c r="C648" s="57"/>
      <c r="D648" s="57"/>
    </row>
    <row r="649">
      <c r="A649" s="91"/>
      <c r="B649" s="57"/>
      <c r="C649" s="57"/>
      <c r="D649" s="57"/>
    </row>
    <row r="650">
      <c r="A650" s="91"/>
      <c r="B650" s="57"/>
      <c r="C650" s="57"/>
      <c r="D650" s="57"/>
    </row>
    <row r="651">
      <c r="A651" s="91"/>
      <c r="B651" s="57"/>
      <c r="C651" s="57"/>
      <c r="D651" s="57"/>
    </row>
    <row r="652">
      <c r="A652" s="91"/>
      <c r="B652" s="57"/>
      <c r="C652" s="57"/>
      <c r="D652" s="57"/>
    </row>
    <row r="653">
      <c r="A653" s="91"/>
      <c r="B653" s="57"/>
      <c r="C653" s="57"/>
      <c r="D653" s="57"/>
    </row>
    <row r="654">
      <c r="A654" s="91"/>
      <c r="B654" s="57"/>
      <c r="C654" s="57"/>
      <c r="D654" s="57"/>
    </row>
    <row r="655">
      <c r="A655" s="91"/>
      <c r="B655" s="57"/>
      <c r="C655" s="57"/>
      <c r="D655" s="57"/>
    </row>
    <row r="656">
      <c r="A656" s="91"/>
      <c r="B656" s="57"/>
      <c r="C656" s="57"/>
      <c r="D656" s="57"/>
    </row>
    <row r="657">
      <c r="A657" s="91"/>
      <c r="B657" s="57"/>
      <c r="C657" s="57"/>
      <c r="D657" s="57"/>
    </row>
    <row r="658">
      <c r="A658" s="91"/>
      <c r="B658" s="57"/>
      <c r="C658" s="57"/>
      <c r="D658" s="57"/>
    </row>
    <row r="659">
      <c r="A659" s="91"/>
      <c r="B659" s="57"/>
      <c r="C659" s="57"/>
      <c r="D659" s="57"/>
    </row>
    <row r="660">
      <c r="A660" s="91"/>
      <c r="B660" s="57"/>
      <c r="C660" s="57"/>
      <c r="D660" s="57"/>
    </row>
    <row r="661">
      <c r="A661" s="91"/>
      <c r="B661" s="57"/>
      <c r="C661" s="57"/>
      <c r="D661" s="57"/>
    </row>
    <row r="662">
      <c r="A662" s="91"/>
      <c r="B662" s="57"/>
      <c r="C662" s="57"/>
      <c r="D662" s="57"/>
    </row>
    <row r="663">
      <c r="A663" s="91"/>
      <c r="B663" s="57"/>
      <c r="C663" s="57"/>
      <c r="D663" s="57"/>
    </row>
    <row r="664">
      <c r="A664" s="91"/>
      <c r="B664" s="57"/>
      <c r="C664" s="57"/>
      <c r="D664" s="57"/>
    </row>
    <row r="665">
      <c r="A665" s="91"/>
      <c r="B665" s="57"/>
      <c r="C665" s="57"/>
      <c r="D665" s="57"/>
    </row>
    <row r="666">
      <c r="A666" s="91"/>
      <c r="B666" s="57"/>
      <c r="C666" s="57"/>
      <c r="D666" s="57"/>
    </row>
    <row r="667">
      <c r="A667" s="91"/>
      <c r="B667" s="57"/>
      <c r="C667" s="57"/>
      <c r="D667" s="57"/>
    </row>
    <row r="668">
      <c r="A668" s="91"/>
      <c r="B668" s="57"/>
      <c r="C668" s="57"/>
      <c r="D668" s="57"/>
    </row>
    <row r="669">
      <c r="A669" s="91"/>
      <c r="B669" s="57"/>
      <c r="C669" s="57"/>
      <c r="D669" s="57"/>
    </row>
    <row r="670">
      <c r="A670" s="91"/>
      <c r="B670" s="57"/>
      <c r="C670" s="57"/>
      <c r="D670" s="57"/>
    </row>
    <row r="671">
      <c r="A671" s="91"/>
      <c r="B671" s="57"/>
      <c r="C671" s="57"/>
      <c r="D671" s="57"/>
    </row>
    <row r="672">
      <c r="A672" s="91"/>
      <c r="B672" s="57"/>
      <c r="C672" s="57"/>
      <c r="D672" s="57"/>
    </row>
    <row r="673">
      <c r="A673" s="91"/>
      <c r="B673" s="57"/>
      <c r="C673" s="57"/>
      <c r="D673" s="57"/>
    </row>
    <row r="674">
      <c r="A674" s="91"/>
      <c r="B674" s="57"/>
      <c r="C674" s="57"/>
      <c r="D674" s="57"/>
    </row>
    <row r="675">
      <c r="A675" s="91"/>
      <c r="B675" s="57"/>
      <c r="C675" s="57"/>
      <c r="D675" s="57"/>
    </row>
    <row r="676">
      <c r="A676" s="91"/>
      <c r="B676" s="57"/>
      <c r="C676" s="57"/>
      <c r="D676" s="57"/>
    </row>
    <row r="677">
      <c r="A677" s="91"/>
      <c r="B677" s="57"/>
      <c r="C677" s="57"/>
      <c r="D677" s="57"/>
    </row>
    <row r="678">
      <c r="A678" s="91"/>
      <c r="B678" s="57"/>
      <c r="C678" s="57"/>
      <c r="D678" s="57"/>
    </row>
    <row r="679">
      <c r="A679" s="91"/>
      <c r="B679" s="57"/>
      <c r="C679" s="57"/>
      <c r="D679" s="57"/>
    </row>
    <row r="680">
      <c r="A680" s="91"/>
      <c r="B680" s="57"/>
      <c r="C680" s="57"/>
      <c r="D680" s="57"/>
    </row>
    <row r="681">
      <c r="A681" s="91"/>
      <c r="B681" s="57"/>
      <c r="C681" s="57"/>
      <c r="D681" s="57"/>
    </row>
    <row r="682">
      <c r="A682" s="91"/>
      <c r="B682" s="57"/>
      <c r="C682" s="57"/>
      <c r="D682" s="57"/>
    </row>
    <row r="683">
      <c r="A683" s="91"/>
      <c r="B683" s="57"/>
      <c r="C683" s="57"/>
      <c r="D683" s="57"/>
    </row>
    <row r="684">
      <c r="A684" s="91"/>
      <c r="B684" s="57"/>
      <c r="C684" s="57"/>
      <c r="D684" s="57"/>
    </row>
    <row r="685">
      <c r="A685" s="91"/>
      <c r="B685" s="57"/>
      <c r="C685" s="57"/>
      <c r="D685" s="57"/>
    </row>
    <row r="686">
      <c r="A686" s="91"/>
      <c r="B686" s="57"/>
      <c r="C686" s="57"/>
      <c r="D686" s="57"/>
    </row>
    <row r="687">
      <c r="A687" s="91"/>
      <c r="B687" s="57"/>
      <c r="C687" s="57"/>
      <c r="D687" s="57"/>
    </row>
    <row r="688">
      <c r="A688" s="91"/>
      <c r="B688" s="57"/>
      <c r="C688" s="57"/>
      <c r="D688" s="57"/>
    </row>
    <row r="689">
      <c r="A689" s="91"/>
      <c r="B689" s="57"/>
      <c r="C689" s="57"/>
      <c r="D689" s="57"/>
    </row>
    <row r="690">
      <c r="A690" s="91"/>
      <c r="B690" s="57"/>
      <c r="C690" s="57"/>
      <c r="D690" s="57"/>
    </row>
    <row r="691">
      <c r="A691" s="91"/>
      <c r="B691" s="57"/>
      <c r="C691" s="57"/>
      <c r="D691" s="57"/>
    </row>
    <row r="692">
      <c r="A692" s="91"/>
      <c r="B692" s="57"/>
      <c r="C692" s="57"/>
      <c r="D692" s="57"/>
    </row>
    <row r="693">
      <c r="A693" s="91"/>
      <c r="B693" s="57"/>
      <c r="C693" s="57"/>
      <c r="D693" s="57"/>
    </row>
    <row r="694">
      <c r="A694" s="91"/>
      <c r="B694" s="57"/>
      <c r="C694" s="57"/>
      <c r="D694" s="57"/>
    </row>
    <row r="695">
      <c r="A695" s="91"/>
      <c r="B695" s="57"/>
      <c r="C695" s="57"/>
      <c r="D695" s="57"/>
    </row>
    <row r="696">
      <c r="A696" s="91"/>
      <c r="B696" s="57"/>
      <c r="C696" s="57"/>
      <c r="D696" s="57"/>
    </row>
    <row r="697">
      <c r="A697" s="91"/>
      <c r="B697" s="57"/>
      <c r="C697" s="57"/>
      <c r="D697" s="57"/>
    </row>
    <row r="698">
      <c r="A698" s="91"/>
      <c r="B698" s="57"/>
      <c r="C698" s="57"/>
      <c r="D698" s="57"/>
    </row>
    <row r="699">
      <c r="A699" s="91"/>
      <c r="B699" s="57"/>
      <c r="C699" s="57"/>
      <c r="D699" s="57"/>
    </row>
    <row r="700">
      <c r="A700" s="91"/>
      <c r="B700" s="57"/>
      <c r="C700" s="57"/>
      <c r="D700" s="57"/>
    </row>
    <row r="701">
      <c r="A701" s="91"/>
      <c r="B701" s="57"/>
      <c r="C701" s="57"/>
      <c r="D701" s="57"/>
    </row>
    <row r="702">
      <c r="A702" s="91"/>
      <c r="B702" s="57"/>
      <c r="C702" s="57"/>
      <c r="D702" s="57"/>
    </row>
    <row r="703">
      <c r="A703" s="91"/>
      <c r="B703" s="57"/>
      <c r="C703" s="57"/>
      <c r="D703" s="57"/>
    </row>
    <row r="704">
      <c r="A704" s="91"/>
      <c r="B704" s="57"/>
      <c r="C704" s="57"/>
      <c r="D704" s="57"/>
    </row>
    <row r="705">
      <c r="A705" s="91"/>
      <c r="B705" s="57"/>
      <c r="C705" s="57"/>
      <c r="D705" s="57"/>
    </row>
    <row r="706">
      <c r="A706" s="91"/>
      <c r="B706" s="57"/>
      <c r="C706" s="57"/>
      <c r="D706" s="57"/>
    </row>
    <row r="707">
      <c r="A707" s="91"/>
      <c r="B707" s="57"/>
      <c r="C707" s="57"/>
      <c r="D707" s="57"/>
    </row>
    <row r="708">
      <c r="A708" s="91"/>
      <c r="B708" s="57"/>
      <c r="C708" s="57"/>
      <c r="D708" s="57"/>
    </row>
    <row r="709">
      <c r="A709" s="91"/>
      <c r="B709" s="57"/>
      <c r="C709" s="57"/>
      <c r="D709" s="57"/>
    </row>
    <row r="710">
      <c r="A710" s="91"/>
      <c r="B710" s="57"/>
      <c r="C710" s="57"/>
      <c r="D710" s="57"/>
    </row>
    <row r="711">
      <c r="A711" s="91"/>
      <c r="B711" s="57"/>
      <c r="C711" s="57"/>
      <c r="D711" s="57"/>
    </row>
    <row r="712">
      <c r="A712" s="91"/>
      <c r="B712" s="57"/>
      <c r="C712" s="57"/>
      <c r="D712" s="57"/>
    </row>
    <row r="713">
      <c r="A713" s="91"/>
      <c r="B713" s="57"/>
      <c r="C713" s="57"/>
      <c r="D713" s="57"/>
    </row>
    <row r="714">
      <c r="A714" s="91"/>
      <c r="B714" s="57"/>
      <c r="C714" s="57"/>
      <c r="D714" s="57"/>
    </row>
    <row r="715">
      <c r="A715" s="91"/>
      <c r="B715" s="57"/>
      <c r="C715" s="57"/>
      <c r="D715" s="57"/>
    </row>
    <row r="716">
      <c r="A716" s="91"/>
      <c r="B716" s="57"/>
      <c r="C716" s="57"/>
      <c r="D716" s="57"/>
    </row>
    <row r="717">
      <c r="A717" s="91"/>
      <c r="B717" s="57"/>
      <c r="C717" s="57"/>
      <c r="D717" s="57"/>
    </row>
    <row r="718">
      <c r="A718" s="91"/>
      <c r="B718" s="57"/>
      <c r="C718" s="57"/>
      <c r="D718" s="57"/>
    </row>
    <row r="719">
      <c r="A719" s="91"/>
      <c r="B719" s="57"/>
      <c r="C719" s="57"/>
      <c r="D719" s="57"/>
    </row>
    <row r="720">
      <c r="A720" s="91"/>
      <c r="B720" s="57"/>
      <c r="C720" s="57"/>
      <c r="D720" s="57"/>
    </row>
    <row r="721">
      <c r="A721" s="91"/>
      <c r="B721" s="57"/>
      <c r="C721" s="57"/>
      <c r="D721" s="57"/>
    </row>
    <row r="722">
      <c r="A722" s="91"/>
      <c r="B722" s="57"/>
      <c r="C722" s="57"/>
      <c r="D722" s="57"/>
    </row>
    <row r="723">
      <c r="A723" s="91"/>
      <c r="B723" s="57"/>
      <c r="C723" s="57"/>
      <c r="D723" s="57"/>
    </row>
    <row r="724">
      <c r="A724" s="91"/>
      <c r="B724" s="57"/>
      <c r="C724" s="57"/>
      <c r="D724" s="57"/>
    </row>
    <row r="725">
      <c r="A725" s="91"/>
      <c r="B725" s="57"/>
      <c r="C725" s="57"/>
      <c r="D725" s="57"/>
    </row>
    <row r="726">
      <c r="A726" s="91"/>
      <c r="B726" s="57"/>
      <c r="C726" s="57"/>
      <c r="D726" s="57"/>
    </row>
    <row r="727">
      <c r="A727" s="91"/>
      <c r="B727" s="57"/>
      <c r="C727" s="57"/>
      <c r="D727" s="57"/>
    </row>
    <row r="728">
      <c r="A728" s="91"/>
      <c r="B728" s="57"/>
      <c r="C728" s="57"/>
      <c r="D728" s="57"/>
    </row>
    <row r="729">
      <c r="A729" s="91"/>
      <c r="B729" s="57"/>
      <c r="C729" s="57"/>
      <c r="D729" s="57"/>
    </row>
    <row r="730">
      <c r="A730" s="91"/>
      <c r="B730" s="57"/>
      <c r="C730" s="57"/>
      <c r="D730" s="57"/>
    </row>
    <row r="731">
      <c r="A731" s="91"/>
      <c r="B731" s="57"/>
      <c r="C731" s="57"/>
      <c r="D731" s="57"/>
    </row>
    <row r="732">
      <c r="A732" s="91"/>
      <c r="B732" s="57"/>
      <c r="C732" s="57"/>
      <c r="D732" s="57"/>
    </row>
    <row r="733">
      <c r="A733" s="91"/>
      <c r="B733" s="57"/>
      <c r="C733" s="57"/>
      <c r="D733" s="57"/>
    </row>
    <row r="734">
      <c r="A734" s="91"/>
      <c r="B734" s="57"/>
      <c r="C734" s="57"/>
      <c r="D734" s="57"/>
    </row>
    <row r="735">
      <c r="A735" s="91"/>
      <c r="B735" s="57"/>
      <c r="C735" s="57"/>
      <c r="D735" s="57"/>
    </row>
    <row r="736">
      <c r="A736" s="91"/>
      <c r="B736" s="57"/>
      <c r="C736" s="57"/>
      <c r="D736" s="57"/>
    </row>
    <row r="737">
      <c r="A737" s="91"/>
      <c r="B737" s="57"/>
      <c r="C737" s="57"/>
      <c r="D737" s="57"/>
    </row>
    <row r="738">
      <c r="A738" s="91"/>
      <c r="B738" s="57"/>
      <c r="C738" s="57"/>
      <c r="D738" s="57"/>
    </row>
    <row r="739">
      <c r="A739" s="91"/>
      <c r="B739" s="57"/>
      <c r="C739" s="57"/>
      <c r="D739" s="57"/>
    </row>
    <row r="740">
      <c r="A740" s="91"/>
      <c r="B740" s="57"/>
      <c r="C740" s="57"/>
      <c r="D740" s="57"/>
    </row>
    <row r="741">
      <c r="A741" s="91"/>
      <c r="B741" s="57"/>
      <c r="C741" s="57"/>
      <c r="D741" s="57"/>
    </row>
    <row r="742">
      <c r="A742" s="91"/>
      <c r="B742" s="57"/>
      <c r="C742" s="57"/>
      <c r="D742" s="57"/>
    </row>
    <row r="743">
      <c r="A743" s="91"/>
      <c r="B743" s="57"/>
      <c r="C743" s="57"/>
      <c r="D743" s="57"/>
    </row>
    <row r="744">
      <c r="A744" s="91"/>
      <c r="B744" s="57"/>
      <c r="C744" s="57"/>
      <c r="D744" s="57"/>
    </row>
    <row r="745">
      <c r="A745" s="91"/>
      <c r="B745" s="57"/>
      <c r="C745" s="57"/>
      <c r="D745" s="57"/>
    </row>
    <row r="746">
      <c r="A746" s="91"/>
      <c r="B746" s="57"/>
      <c r="C746" s="57"/>
      <c r="D746" s="57"/>
    </row>
    <row r="747">
      <c r="A747" s="91"/>
      <c r="B747" s="57"/>
      <c r="C747" s="57"/>
      <c r="D747" s="57"/>
    </row>
    <row r="748">
      <c r="A748" s="91"/>
      <c r="B748" s="57"/>
      <c r="C748" s="57"/>
      <c r="D748" s="57"/>
    </row>
    <row r="749">
      <c r="A749" s="91"/>
      <c r="B749" s="57"/>
      <c r="C749" s="57"/>
      <c r="D749" s="57"/>
    </row>
    <row r="750">
      <c r="A750" s="91"/>
      <c r="B750" s="57"/>
      <c r="C750" s="57"/>
      <c r="D750" s="57"/>
    </row>
    <row r="751">
      <c r="A751" s="91"/>
      <c r="B751" s="57"/>
      <c r="C751" s="57"/>
      <c r="D751" s="57"/>
    </row>
    <row r="752">
      <c r="A752" s="91"/>
      <c r="B752" s="57"/>
      <c r="C752" s="57"/>
      <c r="D752" s="57"/>
    </row>
    <row r="753">
      <c r="A753" s="91"/>
      <c r="B753" s="57"/>
      <c r="C753" s="57"/>
      <c r="D753" s="57"/>
    </row>
    <row r="754">
      <c r="A754" s="91"/>
      <c r="B754" s="57"/>
      <c r="C754" s="57"/>
      <c r="D754" s="57"/>
    </row>
    <row r="755">
      <c r="A755" s="91"/>
      <c r="B755" s="57"/>
      <c r="C755" s="57"/>
      <c r="D755" s="57"/>
    </row>
    <row r="756">
      <c r="A756" s="91"/>
      <c r="B756" s="57"/>
      <c r="C756" s="57"/>
      <c r="D756" s="57"/>
    </row>
    <row r="757">
      <c r="A757" s="91"/>
      <c r="B757" s="57"/>
      <c r="C757" s="57"/>
      <c r="D757" s="57"/>
    </row>
    <row r="758">
      <c r="A758" s="91"/>
      <c r="B758" s="57"/>
      <c r="C758" s="57"/>
      <c r="D758" s="57"/>
    </row>
    <row r="759">
      <c r="A759" s="91"/>
      <c r="B759" s="57"/>
      <c r="C759" s="57"/>
      <c r="D759" s="57"/>
    </row>
    <row r="760">
      <c r="A760" s="91"/>
      <c r="B760" s="57"/>
      <c r="C760" s="57"/>
      <c r="D760" s="57"/>
    </row>
    <row r="761">
      <c r="A761" s="91"/>
      <c r="B761" s="57"/>
      <c r="C761" s="57"/>
      <c r="D761" s="57"/>
    </row>
    <row r="762">
      <c r="A762" s="91"/>
      <c r="B762" s="57"/>
      <c r="C762" s="57"/>
      <c r="D762" s="57"/>
    </row>
    <row r="763">
      <c r="A763" s="91"/>
      <c r="B763" s="57"/>
      <c r="C763" s="57"/>
      <c r="D763" s="57"/>
    </row>
    <row r="764">
      <c r="A764" s="91"/>
      <c r="B764" s="57"/>
      <c r="C764" s="57"/>
      <c r="D764" s="57"/>
    </row>
    <row r="765">
      <c r="A765" s="91"/>
      <c r="B765" s="57"/>
      <c r="C765" s="57"/>
      <c r="D765" s="57"/>
    </row>
    <row r="766">
      <c r="A766" s="91"/>
      <c r="B766" s="57"/>
      <c r="C766" s="57"/>
      <c r="D766" s="57"/>
    </row>
    <row r="767">
      <c r="A767" s="91"/>
      <c r="B767" s="57"/>
      <c r="C767" s="57"/>
      <c r="D767" s="57"/>
    </row>
    <row r="768">
      <c r="A768" s="91"/>
      <c r="B768" s="57"/>
      <c r="C768" s="57"/>
      <c r="D768" s="57"/>
    </row>
    <row r="769">
      <c r="A769" s="91"/>
      <c r="B769" s="57"/>
      <c r="C769" s="57"/>
      <c r="D769" s="57"/>
    </row>
    <row r="770">
      <c r="A770" s="91"/>
      <c r="B770" s="57"/>
      <c r="C770" s="57"/>
      <c r="D770" s="57"/>
    </row>
    <row r="771">
      <c r="A771" s="91"/>
      <c r="B771" s="57"/>
      <c r="C771" s="57"/>
      <c r="D771" s="57"/>
    </row>
    <row r="772">
      <c r="A772" s="91"/>
      <c r="B772" s="57"/>
      <c r="C772" s="57"/>
      <c r="D772" s="57"/>
    </row>
    <row r="773">
      <c r="A773" s="91"/>
      <c r="B773" s="57"/>
      <c r="C773" s="57"/>
      <c r="D773" s="57"/>
    </row>
    <row r="774">
      <c r="A774" s="91"/>
      <c r="B774" s="57"/>
      <c r="C774" s="57"/>
      <c r="D774" s="57"/>
    </row>
    <row r="775">
      <c r="A775" s="91"/>
      <c r="B775" s="57"/>
      <c r="C775" s="57"/>
      <c r="D775" s="57"/>
    </row>
    <row r="776">
      <c r="A776" s="91"/>
      <c r="B776" s="57"/>
      <c r="C776" s="57"/>
      <c r="D776" s="57"/>
    </row>
    <row r="777">
      <c r="A777" s="91"/>
      <c r="B777" s="57"/>
      <c r="C777" s="57"/>
      <c r="D777" s="57"/>
    </row>
    <row r="778">
      <c r="A778" s="91"/>
      <c r="B778" s="57"/>
      <c r="C778" s="57"/>
      <c r="D778" s="57"/>
    </row>
    <row r="779">
      <c r="A779" s="91"/>
      <c r="B779" s="57"/>
      <c r="C779" s="57"/>
      <c r="D779" s="57"/>
    </row>
    <row r="780">
      <c r="A780" s="91"/>
      <c r="B780" s="57"/>
      <c r="C780" s="57"/>
      <c r="D780" s="57"/>
    </row>
    <row r="781">
      <c r="A781" s="91"/>
      <c r="B781" s="57"/>
      <c r="C781" s="57"/>
      <c r="D781" s="57"/>
    </row>
    <row r="782">
      <c r="A782" s="91"/>
      <c r="B782" s="57"/>
      <c r="C782" s="57"/>
      <c r="D782" s="57"/>
    </row>
    <row r="783">
      <c r="A783" s="91"/>
      <c r="B783" s="57"/>
      <c r="C783" s="57"/>
      <c r="D783" s="57"/>
    </row>
    <row r="784">
      <c r="A784" s="91"/>
      <c r="B784" s="57"/>
      <c r="C784" s="57"/>
      <c r="D784" s="57"/>
    </row>
    <row r="785">
      <c r="A785" s="91"/>
      <c r="B785" s="57"/>
      <c r="C785" s="57"/>
      <c r="D785" s="57"/>
    </row>
    <row r="786">
      <c r="A786" s="91"/>
      <c r="B786" s="57"/>
      <c r="C786" s="57"/>
      <c r="D786" s="57"/>
    </row>
    <row r="787">
      <c r="A787" s="91"/>
      <c r="B787" s="57"/>
      <c r="C787" s="57"/>
      <c r="D787" s="57"/>
    </row>
    <row r="788">
      <c r="A788" s="91"/>
      <c r="B788" s="57"/>
      <c r="C788" s="57"/>
      <c r="D788" s="57"/>
    </row>
    <row r="789">
      <c r="A789" s="91"/>
      <c r="B789" s="57"/>
      <c r="C789" s="57"/>
      <c r="D789" s="57"/>
    </row>
    <row r="790">
      <c r="A790" s="91"/>
      <c r="B790" s="57"/>
      <c r="C790" s="57"/>
      <c r="D790" s="57"/>
    </row>
    <row r="791">
      <c r="A791" s="91"/>
      <c r="B791" s="57"/>
      <c r="C791" s="57"/>
      <c r="D791" s="57"/>
    </row>
    <row r="792">
      <c r="A792" s="91"/>
      <c r="B792" s="57"/>
      <c r="C792" s="57"/>
      <c r="D792" s="57"/>
    </row>
    <row r="793">
      <c r="A793" s="91"/>
      <c r="B793" s="57"/>
      <c r="C793" s="57"/>
      <c r="D793" s="57"/>
    </row>
    <row r="794">
      <c r="A794" s="91"/>
      <c r="B794" s="57"/>
      <c r="C794" s="57"/>
      <c r="D794" s="57"/>
    </row>
    <row r="795">
      <c r="A795" s="91"/>
      <c r="B795" s="57"/>
      <c r="C795" s="57"/>
      <c r="D795" s="57"/>
    </row>
    <row r="796">
      <c r="A796" s="91"/>
      <c r="B796" s="57"/>
      <c r="C796" s="57"/>
      <c r="D796" s="57"/>
    </row>
    <row r="797">
      <c r="A797" s="91"/>
      <c r="B797" s="57"/>
      <c r="C797" s="57"/>
      <c r="D797" s="57"/>
    </row>
    <row r="798">
      <c r="A798" s="91"/>
      <c r="B798" s="57"/>
      <c r="C798" s="57"/>
      <c r="D798" s="57"/>
    </row>
    <row r="799">
      <c r="A799" s="91"/>
      <c r="B799" s="57"/>
      <c r="C799" s="57"/>
      <c r="D799" s="57"/>
    </row>
    <row r="800">
      <c r="A800" s="91"/>
      <c r="B800" s="57"/>
      <c r="C800" s="57"/>
      <c r="D800" s="57"/>
    </row>
    <row r="801">
      <c r="A801" s="91"/>
      <c r="B801" s="57"/>
      <c r="C801" s="57"/>
      <c r="D801" s="57"/>
    </row>
    <row r="802">
      <c r="A802" s="91"/>
      <c r="B802" s="57"/>
      <c r="C802" s="57"/>
      <c r="D802" s="57"/>
    </row>
    <row r="803">
      <c r="A803" s="91"/>
      <c r="B803" s="57"/>
      <c r="C803" s="57"/>
      <c r="D803" s="57"/>
    </row>
    <row r="804">
      <c r="A804" s="91"/>
      <c r="B804" s="57"/>
      <c r="C804" s="57"/>
      <c r="D804" s="57"/>
    </row>
    <row r="805">
      <c r="A805" s="91"/>
      <c r="B805" s="57"/>
      <c r="C805" s="57"/>
      <c r="D805" s="57"/>
    </row>
    <row r="806">
      <c r="A806" s="91"/>
      <c r="B806" s="57"/>
      <c r="C806" s="57"/>
      <c r="D806" s="57"/>
    </row>
    <row r="807">
      <c r="A807" s="91"/>
      <c r="B807" s="57"/>
      <c r="C807" s="57"/>
      <c r="D807" s="57"/>
    </row>
    <row r="808">
      <c r="A808" s="91"/>
      <c r="B808" s="57"/>
      <c r="C808" s="57"/>
      <c r="D808" s="57"/>
    </row>
    <row r="809">
      <c r="A809" s="91"/>
      <c r="B809" s="57"/>
      <c r="C809" s="57"/>
      <c r="D809" s="57"/>
    </row>
    <row r="810">
      <c r="A810" s="91"/>
      <c r="B810" s="57"/>
      <c r="C810" s="57"/>
      <c r="D810" s="57"/>
    </row>
    <row r="811">
      <c r="A811" s="91"/>
      <c r="B811" s="57"/>
      <c r="C811" s="57"/>
      <c r="D811" s="57"/>
    </row>
    <row r="812">
      <c r="A812" s="91"/>
      <c r="B812" s="57"/>
      <c r="C812" s="57"/>
      <c r="D812" s="57"/>
    </row>
    <row r="813">
      <c r="A813" s="91"/>
      <c r="B813" s="57"/>
      <c r="C813" s="57"/>
      <c r="D813" s="57"/>
    </row>
    <row r="814">
      <c r="A814" s="91"/>
      <c r="B814" s="57"/>
      <c r="C814" s="57"/>
      <c r="D814" s="57"/>
    </row>
    <row r="815">
      <c r="A815" s="91"/>
      <c r="B815" s="57"/>
      <c r="C815" s="57"/>
      <c r="D815" s="57"/>
    </row>
    <row r="816">
      <c r="A816" s="91"/>
      <c r="B816" s="57"/>
      <c r="C816" s="57"/>
      <c r="D816" s="57"/>
    </row>
    <row r="817">
      <c r="A817" s="91"/>
      <c r="B817" s="57"/>
      <c r="C817" s="57"/>
      <c r="D817" s="57"/>
    </row>
    <row r="818">
      <c r="A818" s="91"/>
      <c r="B818" s="57"/>
      <c r="C818" s="57"/>
      <c r="D818" s="57"/>
    </row>
    <row r="819">
      <c r="A819" s="91"/>
      <c r="B819" s="57"/>
      <c r="C819" s="57"/>
      <c r="D819" s="57"/>
    </row>
    <row r="820">
      <c r="A820" s="91"/>
      <c r="B820" s="57"/>
      <c r="C820" s="57"/>
      <c r="D820" s="57"/>
    </row>
    <row r="821">
      <c r="A821" s="91"/>
      <c r="B821" s="57"/>
      <c r="C821" s="57"/>
      <c r="D821" s="57"/>
    </row>
    <row r="822">
      <c r="A822" s="91"/>
      <c r="B822" s="57"/>
      <c r="C822" s="57"/>
      <c r="D822" s="57"/>
    </row>
    <row r="823">
      <c r="A823" s="91"/>
      <c r="B823" s="57"/>
      <c r="C823" s="57"/>
      <c r="D823" s="57"/>
    </row>
    <row r="824">
      <c r="A824" s="91"/>
      <c r="B824" s="57"/>
      <c r="C824" s="57"/>
      <c r="D824" s="57"/>
    </row>
    <row r="825">
      <c r="A825" s="91"/>
      <c r="B825" s="57"/>
      <c r="C825" s="57"/>
      <c r="D825" s="57"/>
    </row>
    <row r="826">
      <c r="A826" s="91"/>
      <c r="B826" s="57"/>
      <c r="C826" s="57"/>
      <c r="D826" s="57"/>
    </row>
    <row r="827">
      <c r="A827" s="91"/>
      <c r="B827" s="57"/>
      <c r="C827" s="57"/>
      <c r="D827" s="57"/>
    </row>
    <row r="828">
      <c r="A828" s="91"/>
      <c r="B828" s="57"/>
      <c r="C828" s="57"/>
      <c r="D828" s="57"/>
    </row>
    <row r="829">
      <c r="A829" s="91"/>
      <c r="B829" s="57"/>
      <c r="C829" s="57"/>
      <c r="D829" s="57"/>
    </row>
    <row r="830">
      <c r="A830" s="91"/>
      <c r="B830" s="57"/>
      <c r="C830" s="57"/>
      <c r="D830" s="57"/>
    </row>
    <row r="831">
      <c r="A831" s="91"/>
      <c r="B831" s="57"/>
      <c r="C831" s="57"/>
      <c r="D831" s="57"/>
    </row>
    <row r="832">
      <c r="A832" s="91"/>
      <c r="B832" s="57"/>
      <c r="C832" s="57"/>
      <c r="D832" s="57"/>
    </row>
    <row r="833">
      <c r="A833" s="91"/>
      <c r="B833" s="57"/>
      <c r="C833" s="57"/>
      <c r="D833" s="57"/>
    </row>
    <row r="834">
      <c r="A834" s="91"/>
      <c r="B834" s="57"/>
      <c r="C834" s="57"/>
      <c r="D834" s="57"/>
    </row>
    <row r="835">
      <c r="A835" s="91"/>
      <c r="B835" s="57"/>
      <c r="C835" s="57"/>
      <c r="D835" s="57"/>
    </row>
    <row r="836">
      <c r="A836" s="91"/>
      <c r="B836" s="57"/>
      <c r="C836" s="57"/>
      <c r="D836" s="57"/>
    </row>
    <row r="837">
      <c r="A837" s="91"/>
      <c r="B837" s="57"/>
      <c r="C837" s="57"/>
      <c r="D837" s="57"/>
    </row>
    <row r="838">
      <c r="A838" s="91"/>
      <c r="B838" s="57"/>
      <c r="C838" s="57"/>
      <c r="D838" s="57"/>
    </row>
    <row r="839">
      <c r="A839" s="91"/>
      <c r="B839" s="57"/>
      <c r="C839" s="57"/>
      <c r="D839" s="57"/>
    </row>
    <row r="840">
      <c r="A840" s="91"/>
      <c r="B840" s="57"/>
      <c r="C840" s="57"/>
      <c r="D840" s="57"/>
    </row>
    <row r="841">
      <c r="A841" s="91"/>
      <c r="B841" s="57"/>
      <c r="C841" s="57"/>
      <c r="D841" s="57"/>
    </row>
    <row r="842">
      <c r="A842" s="91"/>
      <c r="B842" s="57"/>
      <c r="C842" s="57"/>
      <c r="D842" s="57"/>
    </row>
    <row r="843">
      <c r="A843" s="91"/>
      <c r="B843" s="57"/>
      <c r="C843" s="57"/>
      <c r="D843" s="57"/>
    </row>
    <row r="844">
      <c r="A844" s="91"/>
      <c r="B844" s="57"/>
      <c r="C844" s="57"/>
      <c r="D844" s="57"/>
    </row>
    <row r="845">
      <c r="A845" s="91"/>
      <c r="B845" s="57"/>
      <c r="C845" s="57"/>
      <c r="D845" s="57"/>
    </row>
    <row r="846">
      <c r="A846" s="91"/>
      <c r="B846" s="57"/>
      <c r="C846" s="57"/>
      <c r="D846" s="57"/>
    </row>
    <row r="847">
      <c r="A847" s="91"/>
      <c r="B847" s="57"/>
      <c r="C847" s="57"/>
      <c r="D847" s="57"/>
    </row>
    <row r="848">
      <c r="A848" s="91"/>
      <c r="B848" s="57"/>
      <c r="C848" s="57"/>
      <c r="D848" s="57"/>
    </row>
    <row r="849">
      <c r="A849" s="91"/>
      <c r="B849" s="57"/>
      <c r="C849" s="57"/>
      <c r="D849" s="57"/>
    </row>
    <row r="850">
      <c r="A850" s="91"/>
      <c r="B850" s="57"/>
      <c r="C850" s="57"/>
      <c r="D850" s="57"/>
    </row>
    <row r="851">
      <c r="A851" s="91"/>
      <c r="B851" s="57"/>
      <c r="C851" s="57"/>
      <c r="D851" s="57"/>
    </row>
    <row r="852">
      <c r="A852" s="91"/>
      <c r="B852" s="57"/>
      <c r="C852" s="57"/>
      <c r="D852" s="57"/>
    </row>
    <row r="853">
      <c r="A853" s="91"/>
      <c r="B853" s="57"/>
      <c r="C853" s="57"/>
      <c r="D853" s="57"/>
    </row>
    <row r="854">
      <c r="A854" s="91"/>
      <c r="B854" s="57"/>
      <c r="C854" s="57"/>
      <c r="D854" s="57"/>
    </row>
    <row r="855">
      <c r="A855" s="91"/>
      <c r="B855" s="57"/>
      <c r="C855" s="57"/>
      <c r="D855" s="57"/>
    </row>
    <row r="856">
      <c r="A856" s="91"/>
      <c r="B856" s="57"/>
      <c r="C856" s="57"/>
      <c r="D856" s="57"/>
    </row>
    <row r="857">
      <c r="A857" s="91"/>
      <c r="B857" s="57"/>
      <c r="C857" s="57"/>
      <c r="D857" s="57"/>
    </row>
    <row r="858">
      <c r="A858" s="91"/>
      <c r="B858" s="57"/>
      <c r="C858" s="57"/>
      <c r="D858" s="57"/>
    </row>
    <row r="859">
      <c r="A859" s="91"/>
      <c r="B859" s="57"/>
      <c r="C859" s="57"/>
      <c r="D859" s="57"/>
    </row>
    <row r="860">
      <c r="A860" s="91"/>
      <c r="B860" s="57"/>
      <c r="C860" s="57"/>
      <c r="D860" s="57"/>
    </row>
    <row r="861">
      <c r="A861" s="91"/>
      <c r="B861" s="57"/>
      <c r="C861" s="57"/>
      <c r="D861" s="57"/>
    </row>
    <row r="862">
      <c r="A862" s="91"/>
      <c r="B862" s="57"/>
      <c r="C862" s="57"/>
      <c r="D862" s="57"/>
    </row>
    <row r="863">
      <c r="A863" s="91"/>
      <c r="B863" s="57"/>
      <c r="C863" s="57"/>
      <c r="D863" s="57"/>
    </row>
    <row r="864">
      <c r="A864" s="91"/>
      <c r="B864" s="57"/>
      <c r="C864" s="57"/>
      <c r="D864" s="57"/>
    </row>
    <row r="865">
      <c r="A865" s="91"/>
      <c r="B865" s="57"/>
      <c r="C865" s="57"/>
      <c r="D865" s="57"/>
    </row>
    <row r="866">
      <c r="A866" s="91"/>
      <c r="B866" s="57"/>
      <c r="C866" s="57"/>
      <c r="D866" s="57"/>
    </row>
    <row r="867">
      <c r="A867" s="91"/>
      <c r="B867" s="57"/>
      <c r="C867" s="57"/>
      <c r="D867" s="57"/>
    </row>
    <row r="868">
      <c r="A868" s="91"/>
      <c r="B868" s="57"/>
      <c r="C868" s="57"/>
      <c r="D868" s="57"/>
    </row>
    <row r="869">
      <c r="A869" s="91"/>
      <c r="B869" s="57"/>
      <c r="C869" s="57"/>
      <c r="D869" s="57"/>
    </row>
    <row r="870">
      <c r="A870" s="91"/>
      <c r="B870" s="57"/>
      <c r="C870" s="57"/>
      <c r="D870" s="57"/>
    </row>
    <row r="871">
      <c r="A871" s="91"/>
      <c r="B871" s="57"/>
      <c r="C871" s="57"/>
      <c r="D871" s="57"/>
    </row>
    <row r="872">
      <c r="A872" s="91"/>
      <c r="B872" s="57"/>
      <c r="C872" s="57"/>
      <c r="D872" s="57"/>
    </row>
    <row r="873">
      <c r="A873" s="91"/>
      <c r="B873" s="57"/>
      <c r="C873" s="57"/>
      <c r="D873" s="57"/>
    </row>
    <row r="874">
      <c r="A874" s="91"/>
      <c r="B874" s="57"/>
      <c r="C874" s="57"/>
      <c r="D874" s="57"/>
    </row>
    <row r="875">
      <c r="A875" s="91"/>
      <c r="B875" s="57"/>
      <c r="C875" s="57"/>
      <c r="D875" s="57"/>
    </row>
    <row r="876">
      <c r="A876" s="91"/>
      <c r="B876" s="57"/>
      <c r="C876" s="57"/>
      <c r="D876" s="57"/>
    </row>
    <row r="877">
      <c r="A877" s="91"/>
      <c r="B877" s="57"/>
      <c r="C877" s="57"/>
      <c r="D877" s="57"/>
    </row>
    <row r="878">
      <c r="A878" s="91"/>
      <c r="B878" s="57"/>
      <c r="C878" s="57"/>
      <c r="D878" s="57"/>
    </row>
    <row r="879">
      <c r="A879" s="91"/>
      <c r="B879" s="57"/>
      <c r="C879" s="57"/>
      <c r="D879" s="57"/>
    </row>
    <row r="880">
      <c r="A880" s="91"/>
      <c r="B880" s="57"/>
      <c r="C880" s="57"/>
      <c r="D880" s="57"/>
    </row>
    <row r="881">
      <c r="A881" s="91"/>
      <c r="B881" s="57"/>
      <c r="C881" s="57"/>
      <c r="D881" s="57"/>
    </row>
    <row r="882">
      <c r="A882" s="91"/>
      <c r="B882" s="57"/>
      <c r="C882" s="57"/>
      <c r="D882" s="57"/>
    </row>
    <row r="883">
      <c r="A883" s="91"/>
      <c r="B883" s="57"/>
      <c r="C883" s="57"/>
      <c r="D883" s="57"/>
    </row>
    <row r="884">
      <c r="A884" s="91"/>
      <c r="B884" s="57"/>
      <c r="C884" s="57"/>
      <c r="D884" s="57"/>
    </row>
    <row r="885">
      <c r="A885" s="91"/>
      <c r="B885" s="57"/>
      <c r="C885" s="57"/>
      <c r="D885" s="57"/>
    </row>
    <row r="886">
      <c r="A886" s="91"/>
      <c r="B886" s="57"/>
      <c r="C886" s="57"/>
      <c r="D886" s="57"/>
    </row>
    <row r="887">
      <c r="A887" s="91"/>
      <c r="B887" s="57"/>
      <c r="C887" s="57"/>
      <c r="D887" s="57"/>
    </row>
    <row r="888">
      <c r="A888" s="91"/>
      <c r="B888" s="57"/>
      <c r="C888" s="57"/>
      <c r="D888" s="57"/>
    </row>
    <row r="889">
      <c r="A889" s="91"/>
      <c r="B889" s="57"/>
      <c r="C889" s="57"/>
      <c r="D889" s="57"/>
    </row>
    <row r="890">
      <c r="A890" s="91"/>
      <c r="B890" s="57"/>
      <c r="C890" s="57"/>
      <c r="D890" s="57"/>
    </row>
    <row r="891">
      <c r="A891" s="91"/>
      <c r="B891" s="57"/>
      <c r="C891" s="57"/>
      <c r="D891" s="57"/>
    </row>
    <row r="892">
      <c r="A892" s="91"/>
      <c r="B892" s="57"/>
      <c r="C892" s="57"/>
      <c r="D892" s="57"/>
    </row>
    <row r="893">
      <c r="A893" s="91"/>
      <c r="B893" s="57"/>
      <c r="C893" s="57"/>
      <c r="D893" s="57"/>
    </row>
    <row r="894">
      <c r="A894" s="91"/>
      <c r="B894" s="57"/>
      <c r="C894" s="57"/>
      <c r="D894" s="57"/>
    </row>
    <row r="895">
      <c r="A895" s="91"/>
      <c r="B895" s="57"/>
      <c r="C895" s="57"/>
      <c r="D895" s="57"/>
    </row>
    <row r="896">
      <c r="A896" s="91"/>
      <c r="B896" s="57"/>
      <c r="C896" s="57"/>
      <c r="D896" s="57"/>
    </row>
    <row r="897">
      <c r="A897" s="91"/>
      <c r="B897" s="57"/>
      <c r="C897" s="57"/>
      <c r="D897" s="57"/>
    </row>
    <row r="898">
      <c r="A898" s="91"/>
      <c r="B898" s="57"/>
      <c r="C898" s="57"/>
      <c r="D898" s="57"/>
    </row>
    <row r="899">
      <c r="A899" s="91"/>
      <c r="B899" s="57"/>
      <c r="C899" s="57"/>
      <c r="D899" s="57"/>
    </row>
    <row r="900">
      <c r="A900" s="91"/>
      <c r="B900" s="57"/>
      <c r="C900" s="57"/>
      <c r="D900" s="57"/>
    </row>
    <row r="901">
      <c r="A901" s="91"/>
      <c r="B901" s="57"/>
      <c r="C901" s="57"/>
      <c r="D901" s="57"/>
    </row>
    <row r="902">
      <c r="A902" s="91"/>
      <c r="B902" s="57"/>
      <c r="C902" s="57"/>
      <c r="D902" s="57"/>
    </row>
    <row r="903">
      <c r="A903" s="91"/>
      <c r="B903" s="57"/>
      <c r="C903" s="57"/>
      <c r="D903" s="57"/>
    </row>
    <row r="904">
      <c r="A904" s="91"/>
      <c r="B904" s="57"/>
      <c r="C904" s="57"/>
      <c r="D904" s="57"/>
    </row>
    <row r="905">
      <c r="A905" s="91"/>
      <c r="B905" s="57"/>
      <c r="C905" s="57"/>
      <c r="D905" s="57"/>
    </row>
    <row r="906">
      <c r="A906" s="91"/>
      <c r="B906" s="57"/>
      <c r="C906" s="57"/>
      <c r="D906" s="57"/>
    </row>
    <row r="907">
      <c r="A907" s="91"/>
      <c r="B907" s="57"/>
      <c r="C907" s="57"/>
      <c r="D907" s="57"/>
    </row>
    <row r="908">
      <c r="A908" s="91"/>
      <c r="B908" s="57"/>
      <c r="C908" s="57"/>
      <c r="D908" s="57"/>
    </row>
    <row r="909">
      <c r="A909" s="91"/>
      <c r="B909" s="57"/>
      <c r="C909" s="57"/>
      <c r="D909" s="57"/>
    </row>
    <row r="910">
      <c r="A910" s="91"/>
      <c r="B910" s="57"/>
      <c r="C910" s="57"/>
      <c r="D910" s="57"/>
    </row>
    <row r="911">
      <c r="A911" s="91"/>
      <c r="B911" s="57"/>
      <c r="C911" s="57"/>
      <c r="D911" s="57"/>
    </row>
    <row r="912">
      <c r="A912" s="91"/>
      <c r="B912" s="57"/>
      <c r="C912" s="57"/>
      <c r="D912" s="57"/>
    </row>
    <row r="913">
      <c r="A913" s="91"/>
      <c r="B913" s="57"/>
      <c r="C913" s="57"/>
      <c r="D913" s="57"/>
    </row>
    <row r="914">
      <c r="A914" s="91"/>
      <c r="B914" s="57"/>
      <c r="C914" s="57"/>
      <c r="D914" s="57"/>
    </row>
    <row r="915">
      <c r="A915" s="91"/>
      <c r="B915" s="57"/>
      <c r="C915" s="57"/>
      <c r="D915" s="57"/>
    </row>
    <row r="916">
      <c r="A916" s="91"/>
      <c r="B916" s="57"/>
      <c r="C916" s="57"/>
      <c r="D916" s="57"/>
    </row>
    <row r="917">
      <c r="A917" s="91"/>
      <c r="B917" s="57"/>
      <c r="C917" s="57"/>
      <c r="D917" s="57"/>
    </row>
    <row r="918">
      <c r="A918" s="91"/>
      <c r="B918" s="57"/>
      <c r="C918" s="57"/>
      <c r="D918" s="57"/>
    </row>
    <row r="919">
      <c r="A919" s="91"/>
      <c r="B919" s="57"/>
      <c r="C919" s="57"/>
      <c r="D919" s="57"/>
    </row>
    <row r="920">
      <c r="A920" s="91"/>
      <c r="B920" s="57"/>
      <c r="C920" s="57"/>
      <c r="D920" s="57"/>
    </row>
    <row r="921">
      <c r="A921" s="91"/>
      <c r="B921" s="57"/>
      <c r="C921" s="57"/>
      <c r="D921" s="57"/>
    </row>
    <row r="922">
      <c r="A922" s="91"/>
      <c r="B922" s="57"/>
      <c r="C922" s="57"/>
      <c r="D922" s="57"/>
    </row>
    <row r="923">
      <c r="A923" s="91"/>
      <c r="B923" s="57"/>
      <c r="C923" s="57"/>
      <c r="D923" s="57"/>
    </row>
    <row r="924">
      <c r="A924" s="91"/>
      <c r="B924" s="57"/>
      <c r="C924" s="57"/>
      <c r="D924" s="57"/>
    </row>
    <row r="925">
      <c r="A925" s="91"/>
      <c r="B925" s="57"/>
      <c r="C925" s="57"/>
      <c r="D925" s="57"/>
    </row>
    <row r="926">
      <c r="A926" s="91"/>
      <c r="B926" s="57"/>
      <c r="C926" s="57"/>
      <c r="D926" s="57"/>
    </row>
    <row r="927">
      <c r="A927" s="91"/>
      <c r="B927" s="57"/>
      <c r="C927" s="57"/>
      <c r="D927" s="57"/>
    </row>
    <row r="928">
      <c r="A928" s="91"/>
      <c r="B928" s="57"/>
      <c r="C928" s="57"/>
      <c r="D928" s="57"/>
    </row>
    <row r="929">
      <c r="A929" s="91"/>
      <c r="B929" s="57"/>
      <c r="C929" s="57"/>
      <c r="D929" s="57"/>
    </row>
    <row r="930">
      <c r="A930" s="91"/>
      <c r="B930" s="57"/>
      <c r="C930" s="57"/>
      <c r="D930" s="57"/>
    </row>
    <row r="931">
      <c r="A931" s="91"/>
      <c r="B931" s="57"/>
      <c r="C931" s="57"/>
      <c r="D931" s="57"/>
    </row>
    <row r="932">
      <c r="A932" s="91"/>
      <c r="B932" s="57"/>
      <c r="C932" s="57"/>
      <c r="D932" s="57"/>
    </row>
    <row r="933">
      <c r="A933" s="91"/>
      <c r="B933" s="57"/>
      <c r="C933" s="57"/>
      <c r="D933" s="57"/>
    </row>
    <row r="934">
      <c r="A934" s="91"/>
      <c r="B934" s="57"/>
      <c r="C934" s="57"/>
      <c r="D934" s="57"/>
    </row>
    <row r="935">
      <c r="A935" s="91"/>
      <c r="B935" s="57"/>
      <c r="C935" s="57"/>
      <c r="D935" s="57"/>
    </row>
    <row r="936">
      <c r="A936" s="91"/>
      <c r="B936" s="57"/>
      <c r="C936" s="57"/>
      <c r="D936" s="57"/>
    </row>
    <row r="937">
      <c r="A937" s="91"/>
      <c r="B937" s="57"/>
      <c r="C937" s="57"/>
      <c r="D937" s="57"/>
    </row>
    <row r="938">
      <c r="A938" s="91"/>
      <c r="B938" s="57"/>
      <c r="C938" s="57"/>
      <c r="D938" s="57"/>
    </row>
    <row r="939">
      <c r="A939" s="91"/>
      <c r="B939" s="57"/>
      <c r="C939" s="57"/>
      <c r="D939" s="57"/>
    </row>
    <row r="940">
      <c r="A940" s="91"/>
      <c r="B940" s="57"/>
      <c r="C940" s="57"/>
      <c r="D940" s="57"/>
    </row>
    <row r="941">
      <c r="A941" s="91"/>
      <c r="B941" s="57"/>
      <c r="C941" s="57"/>
      <c r="D941" s="57"/>
    </row>
    <row r="942">
      <c r="A942" s="91"/>
      <c r="B942" s="57"/>
      <c r="C942" s="57"/>
      <c r="D942" s="57"/>
    </row>
    <row r="943">
      <c r="A943" s="91"/>
      <c r="B943" s="57"/>
      <c r="C943" s="57"/>
      <c r="D943" s="57"/>
    </row>
    <row r="944">
      <c r="A944" s="91"/>
      <c r="B944" s="57"/>
      <c r="C944" s="57"/>
      <c r="D944" s="57"/>
    </row>
    <row r="945">
      <c r="A945" s="91"/>
      <c r="B945" s="57"/>
      <c r="C945" s="57"/>
      <c r="D945" s="57"/>
    </row>
    <row r="946">
      <c r="A946" s="91"/>
      <c r="B946" s="57"/>
      <c r="C946" s="57"/>
      <c r="D946" s="57"/>
    </row>
    <row r="947">
      <c r="A947" s="91"/>
      <c r="B947" s="57"/>
      <c r="C947" s="57"/>
      <c r="D947" s="57"/>
    </row>
    <row r="948">
      <c r="A948" s="91"/>
      <c r="B948" s="57"/>
      <c r="C948" s="57"/>
      <c r="D948" s="57"/>
    </row>
    <row r="949">
      <c r="A949" s="91"/>
      <c r="B949" s="57"/>
      <c r="C949" s="57"/>
      <c r="D949" s="57"/>
    </row>
    <row r="950">
      <c r="A950" s="91"/>
      <c r="B950" s="57"/>
      <c r="C950" s="57"/>
      <c r="D950" s="57"/>
    </row>
    <row r="951">
      <c r="A951" s="91"/>
      <c r="B951" s="57"/>
      <c r="C951" s="57"/>
      <c r="D951" s="57"/>
    </row>
    <row r="952">
      <c r="A952" s="91"/>
      <c r="B952" s="57"/>
      <c r="C952" s="57"/>
      <c r="D952" s="57"/>
    </row>
    <row r="953">
      <c r="A953" s="91"/>
      <c r="B953" s="57"/>
      <c r="C953" s="57"/>
      <c r="D953" s="57"/>
    </row>
    <row r="954">
      <c r="A954" s="91"/>
      <c r="B954" s="57"/>
      <c r="C954" s="57"/>
      <c r="D954" s="57"/>
    </row>
    <row r="955">
      <c r="A955" s="91"/>
      <c r="B955" s="57"/>
      <c r="C955" s="57"/>
      <c r="D955" s="57"/>
    </row>
    <row r="956">
      <c r="A956" s="91"/>
      <c r="B956" s="57"/>
      <c r="C956" s="57"/>
      <c r="D956" s="57"/>
    </row>
    <row r="957">
      <c r="A957" s="91"/>
      <c r="B957" s="57"/>
      <c r="C957" s="57"/>
      <c r="D957" s="57"/>
    </row>
    <row r="958">
      <c r="A958" s="91"/>
      <c r="B958" s="57"/>
      <c r="C958" s="57"/>
      <c r="D958" s="57"/>
    </row>
    <row r="959">
      <c r="A959" s="91"/>
      <c r="B959" s="57"/>
      <c r="C959" s="57"/>
      <c r="D959" s="57"/>
    </row>
    <row r="960">
      <c r="A960" s="91"/>
      <c r="B960" s="57"/>
      <c r="C960" s="57"/>
      <c r="D960" s="57"/>
    </row>
    <row r="961">
      <c r="A961" s="91"/>
      <c r="B961" s="57"/>
      <c r="C961" s="57"/>
      <c r="D961" s="57"/>
    </row>
    <row r="962">
      <c r="A962" s="91"/>
      <c r="B962" s="57"/>
      <c r="C962" s="57"/>
      <c r="D962" s="57"/>
    </row>
    <row r="963">
      <c r="A963" s="91"/>
      <c r="B963" s="57"/>
      <c r="C963" s="57"/>
      <c r="D963" s="57"/>
    </row>
    <row r="964">
      <c r="A964" s="91"/>
      <c r="B964" s="57"/>
      <c r="C964" s="57"/>
      <c r="D964" s="57"/>
    </row>
    <row r="965">
      <c r="A965" s="91"/>
      <c r="B965" s="57"/>
      <c r="C965" s="57"/>
      <c r="D965" s="57"/>
    </row>
    <row r="966">
      <c r="A966" s="91"/>
      <c r="B966" s="57"/>
      <c r="C966" s="57"/>
      <c r="D966" s="57"/>
    </row>
    <row r="967">
      <c r="A967" s="91"/>
      <c r="B967" s="57"/>
      <c r="C967" s="57"/>
      <c r="D967" s="57"/>
    </row>
    <row r="968">
      <c r="A968" s="91"/>
      <c r="B968" s="57"/>
      <c r="C968" s="57"/>
      <c r="D968" s="57"/>
    </row>
    <row r="969">
      <c r="A969" s="91"/>
      <c r="B969" s="57"/>
      <c r="C969" s="57"/>
      <c r="D969" s="57"/>
    </row>
    <row r="970">
      <c r="A970" s="91"/>
      <c r="B970" s="57"/>
      <c r="C970" s="57"/>
      <c r="D970" s="57"/>
    </row>
    <row r="971">
      <c r="A971" s="91"/>
      <c r="B971" s="57"/>
      <c r="C971" s="57"/>
      <c r="D971" s="57"/>
    </row>
    <row r="972">
      <c r="A972" s="91"/>
      <c r="B972" s="57"/>
      <c r="C972" s="57"/>
      <c r="D972" s="57"/>
    </row>
    <row r="973">
      <c r="A973" s="91"/>
      <c r="B973" s="57"/>
      <c r="C973" s="57"/>
      <c r="D973" s="57"/>
    </row>
    <row r="974">
      <c r="A974" s="91"/>
      <c r="B974" s="57"/>
      <c r="C974" s="57"/>
      <c r="D974" s="57"/>
    </row>
    <row r="975">
      <c r="A975" s="91"/>
      <c r="B975" s="57"/>
      <c r="C975" s="57"/>
      <c r="D975" s="57"/>
    </row>
    <row r="976">
      <c r="A976" s="91"/>
      <c r="B976" s="57"/>
      <c r="C976" s="57"/>
      <c r="D976" s="57"/>
    </row>
    <row r="977">
      <c r="A977" s="91"/>
      <c r="B977" s="57"/>
      <c r="C977" s="57"/>
      <c r="D977" s="57"/>
    </row>
    <row r="978">
      <c r="A978" s="91"/>
      <c r="B978" s="57"/>
      <c r="C978" s="57"/>
      <c r="D978" s="57"/>
    </row>
    <row r="979">
      <c r="A979" s="91"/>
      <c r="B979" s="57"/>
      <c r="C979" s="57"/>
      <c r="D979" s="57"/>
    </row>
    <row r="980">
      <c r="A980" s="91"/>
      <c r="B980" s="57"/>
      <c r="C980" s="57"/>
      <c r="D980" s="57"/>
    </row>
    <row r="981">
      <c r="A981" s="91"/>
      <c r="B981" s="57"/>
      <c r="C981" s="57"/>
      <c r="D981" s="5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8.38"/>
    <col customWidth="1" min="3" max="9" width="13.88"/>
  </cols>
  <sheetData>
    <row r="1">
      <c r="A1" s="37" t="s">
        <v>44</v>
      </c>
      <c r="B1" s="4" t="s">
        <v>179</v>
      </c>
      <c r="C1" s="11" t="s">
        <v>15</v>
      </c>
      <c r="D1" s="11" t="s">
        <v>25</v>
      </c>
      <c r="E1" s="11" t="s">
        <v>39</v>
      </c>
      <c r="F1" s="11" t="s">
        <v>64</v>
      </c>
      <c r="G1" s="11" t="s">
        <v>73</v>
      </c>
      <c r="H1" s="11" t="s">
        <v>78</v>
      </c>
      <c r="I1" s="11" t="s">
        <v>39</v>
      </c>
    </row>
    <row r="2">
      <c r="A2" s="52"/>
      <c r="B2" s="52"/>
      <c r="C2" s="52"/>
      <c r="D2" s="52"/>
      <c r="E2" s="52"/>
      <c r="F2" s="52"/>
      <c r="G2" s="52"/>
      <c r="H2" s="52"/>
      <c r="I2" s="52"/>
    </row>
    <row r="3">
      <c r="A3" s="43"/>
      <c r="B3" s="43"/>
      <c r="C3" s="43"/>
      <c r="D3" s="43"/>
      <c r="E3" s="43"/>
      <c r="F3" s="43"/>
      <c r="G3" s="43"/>
      <c r="H3" s="43"/>
      <c r="I3" s="43"/>
    </row>
    <row r="4">
      <c r="A4" s="43"/>
      <c r="B4" s="43"/>
      <c r="C4" s="43"/>
      <c r="D4" s="43"/>
      <c r="E4" s="43"/>
      <c r="F4" s="43"/>
      <c r="G4" s="43"/>
      <c r="H4" s="43"/>
      <c r="I4" s="43"/>
    </row>
    <row r="5">
      <c r="A5" s="43"/>
      <c r="B5" s="43"/>
      <c r="C5" s="43"/>
      <c r="D5" s="43"/>
      <c r="E5" s="43"/>
      <c r="F5" s="43"/>
      <c r="G5" s="43"/>
      <c r="H5" s="43"/>
      <c r="I5" s="43"/>
    </row>
    <row r="6">
      <c r="A6" s="43"/>
      <c r="B6" s="43"/>
      <c r="C6" s="43"/>
      <c r="D6" s="43"/>
      <c r="E6" s="43"/>
      <c r="F6" s="43"/>
      <c r="G6" s="43"/>
      <c r="H6" s="43"/>
      <c r="I6" s="43"/>
    </row>
    <row r="7">
      <c r="A7" s="43"/>
      <c r="B7" s="43"/>
      <c r="C7" s="43"/>
      <c r="D7" s="43"/>
      <c r="E7" s="43"/>
      <c r="F7" s="43"/>
      <c r="G7" s="43"/>
      <c r="H7" s="43"/>
      <c r="I7" s="43"/>
    </row>
    <row r="8">
      <c r="A8" s="43"/>
      <c r="B8" s="43"/>
      <c r="C8" s="43"/>
      <c r="D8" s="43"/>
      <c r="E8" s="43"/>
      <c r="F8" s="43"/>
      <c r="G8" s="43"/>
      <c r="H8" s="43"/>
      <c r="I8" s="43"/>
    </row>
    <row r="9">
      <c r="A9" s="43"/>
      <c r="B9" s="43"/>
      <c r="C9" s="43"/>
      <c r="D9" s="43"/>
      <c r="E9" s="43"/>
      <c r="F9" s="43"/>
      <c r="G9" s="43"/>
      <c r="H9" s="43"/>
      <c r="I9" s="43"/>
    </row>
    <row r="10">
      <c r="A10" s="52"/>
      <c r="B10" s="52"/>
      <c r="C10" s="52"/>
      <c r="D10" s="52"/>
      <c r="E10" s="52"/>
      <c r="F10" s="52"/>
      <c r="G10" s="52"/>
      <c r="H10" s="52"/>
      <c r="I10" s="52"/>
    </row>
    <row r="11">
      <c r="A11" s="64" t="s">
        <v>94</v>
      </c>
      <c r="B11" s="43" t="s">
        <v>0</v>
      </c>
      <c r="C11" s="43"/>
      <c r="D11" s="43" t="s">
        <v>180</v>
      </c>
      <c r="E11" s="43" t="s">
        <v>181</v>
      </c>
      <c r="F11" s="43" t="s">
        <v>182</v>
      </c>
      <c r="G11" s="43"/>
      <c r="H11" s="43"/>
      <c r="I11" s="43"/>
    </row>
    <row r="12">
      <c r="A12" s="43" t="s">
        <v>99</v>
      </c>
      <c r="B12" s="43" t="s">
        <v>100</v>
      </c>
      <c r="C12" s="43"/>
      <c r="D12" s="43" t="s">
        <v>180</v>
      </c>
      <c r="E12" s="43" t="s">
        <v>183</v>
      </c>
      <c r="F12" s="43" t="s">
        <v>182</v>
      </c>
      <c r="G12" s="43"/>
      <c r="H12" s="43"/>
      <c r="I12" s="43"/>
    </row>
    <row r="13">
      <c r="A13" s="43" t="s">
        <v>102</v>
      </c>
      <c r="B13" s="43" t="s">
        <v>100</v>
      </c>
      <c r="C13" s="43"/>
      <c r="D13" s="43" t="s">
        <v>184</v>
      </c>
      <c r="E13" s="43" t="s">
        <v>181</v>
      </c>
      <c r="F13" s="43" t="s">
        <v>182</v>
      </c>
      <c r="G13" s="43"/>
      <c r="H13" s="43"/>
      <c r="I13" s="43"/>
    </row>
    <row r="14">
      <c r="A14" s="43" t="s">
        <v>105</v>
      </c>
      <c r="B14" s="43" t="s">
        <v>100</v>
      </c>
      <c r="C14" s="43"/>
      <c r="D14" s="43" t="s">
        <v>184</v>
      </c>
      <c r="E14" s="43" t="s">
        <v>185</v>
      </c>
      <c r="F14" s="43" t="s">
        <v>182</v>
      </c>
      <c r="G14" s="43"/>
      <c r="H14" s="43"/>
      <c r="I14" s="43"/>
    </row>
    <row r="15">
      <c r="A15" s="43" t="s">
        <v>108</v>
      </c>
      <c r="B15" s="43" t="s">
        <v>0</v>
      </c>
      <c r="C15" s="43"/>
      <c r="D15" s="43" t="s">
        <v>180</v>
      </c>
      <c r="E15" s="43"/>
      <c r="F15" s="43" t="s">
        <v>182</v>
      </c>
      <c r="G15" s="43"/>
      <c r="H15" s="43"/>
      <c r="I15" s="43"/>
    </row>
    <row r="16">
      <c r="A16" s="43" t="s">
        <v>110</v>
      </c>
      <c r="B16" s="43" t="s">
        <v>0</v>
      </c>
      <c r="C16" s="43"/>
      <c r="D16" s="43" t="s">
        <v>180</v>
      </c>
      <c r="E16" s="43"/>
      <c r="F16" s="43" t="s">
        <v>182</v>
      </c>
      <c r="G16" s="43"/>
      <c r="H16" s="43"/>
      <c r="I16" s="43"/>
    </row>
    <row r="17">
      <c r="A17" s="43" t="s">
        <v>112</v>
      </c>
      <c r="B17" s="43" t="s">
        <v>0</v>
      </c>
      <c r="C17" s="43"/>
      <c r="D17" s="43" t="s">
        <v>184</v>
      </c>
      <c r="E17" s="43"/>
      <c r="F17" s="43"/>
      <c r="G17" s="43"/>
      <c r="H17" s="43"/>
      <c r="I17" s="43"/>
    </row>
    <row r="18">
      <c r="A18" s="70"/>
      <c r="B18" s="70"/>
      <c r="C18" s="70"/>
      <c r="D18" s="70"/>
      <c r="E18" s="70"/>
      <c r="F18" s="70"/>
      <c r="G18" s="70"/>
      <c r="H18" s="70"/>
      <c r="I18" s="70"/>
    </row>
    <row r="19">
      <c r="A19" s="61" t="s">
        <v>114</v>
      </c>
      <c r="B19" s="43" t="s">
        <v>0</v>
      </c>
      <c r="C19" s="43"/>
      <c r="D19" s="43"/>
      <c r="E19" s="43" t="s">
        <v>186</v>
      </c>
      <c r="F19" s="43" t="s">
        <v>182</v>
      </c>
      <c r="G19" s="43"/>
      <c r="H19" s="43"/>
      <c r="I19" s="43"/>
    </row>
    <row r="20">
      <c r="A20" s="61" t="s">
        <v>116</v>
      </c>
      <c r="B20" s="43" t="s">
        <v>0</v>
      </c>
      <c r="C20" s="43"/>
      <c r="D20" s="43"/>
      <c r="E20" s="43" t="s">
        <v>186</v>
      </c>
      <c r="F20" s="43" t="s">
        <v>182</v>
      </c>
      <c r="G20" s="43"/>
      <c r="H20" s="43"/>
      <c r="I20" s="43"/>
    </row>
    <row r="21">
      <c r="A21" s="61" t="s">
        <v>119</v>
      </c>
      <c r="B21" s="43" t="s">
        <v>0</v>
      </c>
      <c r="C21" s="43"/>
      <c r="D21" s="43"/>
      <c r="E21" s="43" t="s">
        <v>185</v>
      </c>
      <c r="F21" s="43" t="s">
        <v>182</v>
      </c>
      <c r="G21" s="43"/>
      <c r="H21" s="43"/>
      <c r="I21" s="43"/>
    </row>
    <row r="22">
      <c r="A22" s="61" t="s">
        <v>121</v>
      </c>
      <c r="B22" s="43" t="s">
        <v>0</v>
      </c>
      <c r="C22" s="43"/>
      <c r="D22" s="43"/>
      <c r="E22" s="43" t="s">
        <v>185</v>
      </c>
      <c r="F22" s="43" t="s">
        <v>182</v>
      </c>
      <c r="G22" s="43"/>
      <c r="H22" s="43"/>
      <c r="I22" s="43"/>
    </row>
    <row r="23">
      <c r="A23" s="43" t="s">
        <v>123</v>
      </c>
      <c r="B23" s="43" t="s">
        <v>0</v>
      </c>
      <c r="C23" s="43"/>
      <c r="D23" s="43"/>
      <c r="E23" s="43" t="s">
        <v>187</v>
      </c>
      <c r="F23" s="43"/>
      <c r="G23" s="43" t="s">
        <v>188</v>
      </c>
      <c r="H23" s="43"/>
      <c r="I23" s="43"/>
    </row>
    <row r="24">
      <c r="A24" s="52"/>
      <c r="B24" s="52"/>
      <c r="C24" s="52"/>
      <c r="D24" s="52"/>
      <c r="E24" s="52"/>
      <c r="F24" s="52"/>
      <c r="G24" s="52"/>
      <c r="H24" s="52"/>
      <c r="I24" s="52"/>
    </row>
    <row r="25">
      <c r="A25" s="43" t="s">
        <v>16</v>
      </c>
      <c r="B25" s="43" t="s">
        <v>0</v>
      </c>
      <c r="C25" s="43"/>
      <c r="D25" s="43"/>
      <c r="E25" s="43" t="s">
        <v>186</v>
      </c>
      <c r="F25" s="43" t="s">
        <v>189</v>
      </c>
      <c r="G25" s="43"/>
      <c r="H25" s="43"/>
      <c r="I25" s="43"/>
    </row>
    <row r="26">
      <c r="A26" s="43" t="s">
        <v>129</v>
      </c>
      <c r="B26" s="43" t="s">
        <v>0</v>
      </c>
      <c r="C26" s="43"/>
      <c r="D26" s="43"/>
      <c r="E26" s="43" t="s">
        <v>186</v>
      </c>
      <c r="F26" s="43" t="s">
        <v>189</v>
      </c>
      <c r="G26" s="43"/>
      <c r="H26" s="43"/>
      <c r="I26" s="43"/>
    </row>
    <row r="27">
      <c r="A27" s="43" t="s">
        <v>131</v>
      </c>
      <c r="B27" s="43" t="s">
        <v>0</v>
      </c>
      <c r="C27" s="43"/>
      <c r="D27" s="43"/>
      <c r="E27" s="43" t="s">
        <v>185</v>
      </c>
      <c r="F27" s="43" t="s">
        <v>190</v>
      </c>
      <c r="G27" s="43"/>
      <c r="H27" s="43"/>
      <c r="I27" s="43"/>
    </row>
    <row r="28">
      <c r="A28" s="43" t="s">
        <v>133</v>
      </c>
      <c r="B28" s="43" t="s">
        <v>0</v>
      </c>
      <c r="C28" s="43"/>
      <c r="D28" s="43"/>
      <c r="E28" s="43"/>
      <c r="F28" s="43"/>
      <c r="G28" s="43"/>
      <c r="H28" s="43"/>
      <c r="I28" s="43"/>
    </row>
    <row r="29">
      <c r="A29" s="43" t="s">
        <v>136</v>
      </c>
      <c r="B29" s="43" t="s">
        <v>0</v>
      </c>
      <c r="C29" s="43"/>
      <c r="D29" s="43"/>
      <c r="E29" s="43"/>
      <c r="F29" s="43"/>
      <c r="G29" s="43"/>
      <c r="H29" s="43"/>
      <c r="I29" s="43"/>
    </row>
    <row r="30">
      <c r="A30" s="83" t="s">
        <v>139</v>
      </c>
      <c r="B30" s="43" t="s">
        <v>100</v>
      </c>
      <c r="C30" s="43"/>
      <c r="D30" s="43"/>
      <c r="E30" s="43" t="s">
        <v>186</v>
      </c>
      <c r="F30" s="43" t="s">
        <v>191</v>
      </c>
      <c r="G30" s="43"/>
      <c r="H30" s="43"/>
      <c r="I30" s="43"/>
    </row>
    <row r="31">
      <c r="A31" s="83" t="s">
        <v>142</v>
      </c>
      <c r="B31" s="43" t="s">
        <v>100</v>
      </c>
      <c r="C31" s="43"/>
      <c r="D31" s="43"/>
      <c r="E31" s="43" t="s">
        <v>181</v>
      </c>
      <c r="F31" s="43" t="s">
        <v>182</v>
      </c>
      <c r="G31" s="43"/>
      <c r="H31" s="43"/>
      <c r="I31" s="43"/>
    </row>
    <row r="32">
      <c r="A32" s="85" t="s">
        <v>144</v>
      </c>
      <c r="B32" s="43" t="s">
        <v>100</v>
      </c>
      <c r="C32" s="43"/>
      <c r="D32" s="43"/>
      <c r="E32" s="43" t="s">
        <v>181</v>
      </c>
      <c r="F32" s="43" t="s">
        <v>182</v>
      </c>
      <c r="G32" s="43"/>
      <c r="H32" s="43"/>
      <c r="I32" s="43"/>
    </row>
    <row r="33">
      <c r="A33" s="83" t="s">
        <v>146</v>
      </c>
      <c r="B33" s="43" t="s">
        <v>100</v>
      </c>
      <c r="C33" s="43"/>
      <c r="D33" s="43"/>
      <c r="E33" s="43" t="s">
        <v>181</v>
      </c>
      <c r="F33" s="43" t="s">
        <v>182</v>
      </c>
      <c r="G33" s="43"/>
      <c r="H33" s="43"/>
      <c r="I33" s="43"/>
    </row>
    <row r="34">
      <c r="A34" s="52"/>
      <c r="B34" s="52"/>
      <c r="C34" s="52"/>
      <c r="D34" s="52"/>
      <c r="E34" s="52"/>
      <c r="F34" s="52"/>
      <c r="G34" s="52"/>
      <c r="H34" s="52"/>
      <c r="I34" s="52"/>
    </row>
    <row r="35">
      <c r="A35" s="43" t="s">
        <v>148</v>
      </c>
      <c r="B35" s="43" t="s">
        <v>0</v>
      </c>
      <c r="C35" s="43"/>
      <c r="D35" s="43"/>
      <c r="E35" s="43" t="s">
        <v>186</v>
      </c>
      <c r="F35" s="43" t="s">
        <v>182</v>
      </c>
      <c r="G35" s="43"/>
      <c r="H35" s="43"/>
      <c r="I35" s="43"/>
    </row>
    <row r="36">
      <c r="A36" s="43" t="s">
        <v>151</v>
      </c>
      <c r="B36" s="43" t="s">
        <v>0</v>
      </c>
      <c r="C36" s="43"/>
      <c r="D36" s="43"/>
      <c r="E36" s="43" t="s">
        <v>186</v>
      </c>
      <c r="F36" s="43" t="s">
        <v>182</v>
      </c>
      <c r="G36" s="43"/>
      <c r="H36" s="43"/>
      <c r="I36" s="43"/>
    </row>
    <row r="37">
      <c r="A37" s="43" t="s">
        <v>155</v>
      </c>
      <c r="B37" s="43" t="s">
        <v>0</v>
      </c>
      <c r="C37" s="43"/>
      <c r="D37" s="43"/>
      <c r="E37" s="43" t="s">
        <v>186</v>
      </c>
      <c r="F37" s="43" t="s">
        <v>182</v>
      </c>
      <c r="G37" s="43"/>
      <c r="H37" s="43"/>
      <c r="I37" s="43"/>
    </row>
    <row r="38">
      <c r="A38" s="43" t="s">
        <v>157</v>
      </c>
      <c r="B38" s="43" t="s">
        <v>0</v>
      </c>
      <c r="C38" s="43"/>
      <c r="D38" s="43"/>
      <c r="E38" s="43" t="s">
        <v>186</v>
      </c>
      <c r="F38" s="43" t="s">
        <v>182</v>
      </c>
      <c r="G38" s="43"/>
      <c r="H38" s="43"/>
      <c r="I38" s="43"/>
    </row>
    <row r="39">
      <c r="A39" s="43" t="s">
        <v>160</v>
      </c>
      <c r="B39" s="43" t="s">
        <v>0</v>
      </c>
      <c r="C39" s="43"/>
      <c r="D39" s="43"/>
      <c r="E39" s="43" t="s">
        <v>185</v>
      </c>
      <c r="F39" s="43" t="s">
        <v>182</v>
      </c>
      <c r="G39" s="43"/>
      <c r="H39" s="43"/>
      <c r="I39" s="43"/>
    </row>
    <row r="40">
      <c r="A40" s="43" t="s">
        <v>163</v>
      </c>
      <c r="B40" s="43" t="s">
        <v>0</v>
      </c>
      <c r="C40" s="43"/>
      <c r="D40" s="43"/>
      <c r="E40" s="43"/>
      <c r="F40" s="43"/>
      <c r="G40" s="43"/>
      <c r="H40" s="43"/>
      <c r="I40" s="43"/>
    </row>
    <row r="41">
      <c r="A41" s="83" t="s">
        <v>165</v>
      </c>
      <c r="B41" s="43" t="s">
        <v>100</v>
      </c>
      <c r="C41" s="43"/>
      <c r="D41" s="43"/>
      <c r="E41" s="43" t="s">
        <v>185</v>
      </c>
      <c r="F41" s="43" t="s">
        <v>192</v>
      </c>
      <c r="G41" s="43"/>
      <c r="H41" s="43"/>
      <c r="I41" s="43"/>
    </row>
    <row r="42">
      <c r="A42" s="57"/>
      <c r="B42" s="57"/>
    </row>
    <row r="43">
      <c r="A43" s="57"/>
      <c r="B43" s="57"/>
    </row>
    <row r="44">
      <c r="A44" s="57"/>
      <c r="B44" s="57"/>
    </row>
    <row r="45">
      <c r="A45" s="57"/>
      <c r="B45" s="57"/>
    </row>
    <row r="46">
      <c r="A46" s="57"/>
      <c r="B46" s="57"/>
    </row>
    <row r="47">
      <c r="A47" s="57"/>
      <c r="B47" s="57"/>
    </row>
    <row r="48">
      <c r="A48" s="57"/>
      <c r="B48" s="57"/>
    </row>
    <row r="49">
      <c r="A49" s="57"/>
      <c r="B49" s="57"/>
    </row>
    <row r="50">
      <c r="A50" s="57"/>
      <c r="B50" s="57"/>
    </row>
    <row r="51">
      <c r="A51" s="57"/>
      <c r="B51" s="57"/>
    </row>
    <row r="52">
      <c r="A52" s="57"/>
      <c r="B52" s="57"/>
    </row>
    <row r="53">
      <c r="A53" s="57"/>
      <c r="B53" s="57"/>
    </row>
    <row r="54">
      <c r="A54" s="57"/>
      <c r="B54" s="57"/>
    </row>
    <row r="55">
      <c r="A55" s="57"/>
      <c r="B55" s="57"/>
    </row>
    <row r="56">
      <c r="A56" s="57"/>
      <c r="B56" s="57"/>
    </row>
    <row r="57">
      <c r="A57" s="57"/>
      <c r="B57" s="57"/>
    </row>
    <row r="58">
      <c r="A58" s="57"/>
      <c r="B58" s="57"/>
    </row>
    <row r="59">
      <c r="A59" s="57"/>
      <c r="B59" s="57"/>
    </row>
    <row r="60">
      <c r="A60" s="57"/>
      <c r="B60" s="57"/>
    </row>
    <row r="61">
      <c r="A61" s="57"/>
      <c r="B61" s="57"/>
    </row>
    <row r="62">
      <c r="A62" s="57"/>
      <c r="B62" s="57"/>
    </row>
    <row r="63">
      <c r="A63" s="57"/>
      <c r="B63" s="57"/>
    </row>
    <row r="64">
      <c r="A64" s="57"/>
      <c r="B64" s="57"/>
    </row>
    <row r="65">
      <c r="A65" s="57"/>
      <c r="B65" s="57"/>
    </row>
    <row r="66">
      <c r="A66" s="57"/>
      <c r="B66" s="57"/>
    </row>
    <row r="67">
      <c r="A67" s="57"/>
      <c r="B67" s="57"/>
    </row>
    <row r="68">
      <c r="A68" s="57"/>
      <c r="B68" s="57"/>
    </row>
    <row r="69">
      <c r="A69" s="57"/>
      <c r="B69" s="57"/>
    </row>
    <row r="70">
      <c r="A70" s="57"/>
      <c r="B70" s="57"/>
    </row>
    <row r="71">
      <c r="A71" s="57"/>
      <c r="B71" s="57"/>
    </row>
    <row r="72">
      <c r="A72" s="57"/>
      <c r="B72" s="57"/>
    </row>
    <row r="73">
      <c r="A73" s="57"/>
      <c r="B73" s="57"/>
    </row>
    <row r="74">
      <c r="A74" s="57"/>
      <c r="B74" s="57"/>
    </row>
    <row r="75">
      <c r="A75" s="57"/>
      <c r="B75" s="57"/>
    </row>
    <row r="76">
      <c r="A76" s="57"/>
      <c r="B76" s="57"/>
    </row>
    <row r="77">
      <c r="A77" s="57"/>
      <c r="B77" s="57"/>
    </row>
    <row r="78">
      <c r="A78" s="57"/>
      <c r="B78" s="57"/>
    </row>
    <row r="79">
      <c r="A79" s="57"/>
      <c r="B79" s="57"/>
    </row>
    <row r="80">
      <c r="A80" s="57"/>
      <c r="B80" s="57"/>
    </row>
    <row r="81">
      <c r="A81" s="57"/>
      <c r="B81" s="57"/>
    </row>
    <row r="82">
      <c r="A82" s="57"/>
      <c r="B82" s="57"/>
    </row>
    <row r="83">
      <c r="A83" s="57"/>
      <c r="B83" s="57"/>
    </row>
    <row r="84">
      <c r="A84" s="57"/>
      <c r="B84" s="57"/>
    </row>
    <row r="85">
      <c r="A85" s="57"/>
      <c r="B85" s="57"/>
    </row>
    <row r="86">
      <c r="A86" s="57"/>
      <c r="B86" s="57"/>
    </row>
    <row r="87">
      <c r="A87" s="57"/>
      <c r="B87" s="57"/>
    </row>
    <row r="88">
      <c r="A88" s="57"/>
      <c r="B88" s="57"/>
    </row>
    <row r="89">
      <c r="A89" s="57"/>
      <c r="B89" s="57"/>
    </row>
    <row r="90">
      <c r="A90" s="57"/>
      <c r="B90" s="57"/>
    </row>
    <row r="91">
      <c r="A91" s="57"/>
      <c r="B91" s="57"/>
    </row>
    <row r="92">
      <c r="A92" s="57"/>
      <c r="B92" s="57"/>
    </row>
    <row r="93">
      <c r="A93" s="57"/>
      <c r="B93" s="57"/>
    </row>
    <row r="94">
      <c r="A94" s="57"/>
      <c r="B94" s="57"/>
    </row>
    <row r="95">
      <c r="A95" s="57"/>
      <c r="B95" s="57"/>
    </row>
    <row r="96">
      <c r="A96" s="57"/>
      <c r="B96" s="57"/>
    </row>
    <row r="97">
      <c r="A97" s="57"/>
      <c r="B97" s="57"/>
    </row>
    <row r="98">
      <c r="A98" s="57"/>
      <c r="B98" s="57"/>
    </row>
    <row r="99">
      <c r="A99" s="57"/>
      <c r="B99" s="57"/>
    </row>
    <row r="100">
      <c r="A100" s="57"/>
      <c r="B100" s="57"/>
    </row>
    <row r="101">
      <c r="A101" s="57"/>
      <c r="B101" s="57"/>
    </row>
    <row r="102">
      <c r="A102" s="57"/>
      <c r="B102" s="57"/>
    </row>
    <row r="103">
      <c r="A103" s="57"/>
      <c r="B103" s="57"/>
    </row>
    <row r="104">
      <c r="A104" s="57"/>
      <c r="B104" s="57"/>
    </row>
    <row r="105">
      <c r="A105" s="57"/>
      <c r="B105" s="57"/>
    </row>
    <row r="106">
      <c r="A106" s="57"/>
      <c r="B106" s="57"/>
    </row>
    <row r="107">
      <c r="A107" s="57"/>
      <c r="B107" s="57"/>
    </row>
    <row r="108">
      <c r="A108" s="57"/>
      <c r="B108" s="57"/>
    </row>
    <row r="109">
      <c r="A109" s="57"/>
      <c r="B109" s="57"/>
    </row>
    <row r="110">
      <c r="A110" s="57"/>
      <c r="B110" s="57"/>
    </row>
    <row r="111">
      <c r="A111" s="57"/>
      <c r="B111" s="57"/>
    </row>
    <row r="112">
      <c r="A112" s="57"/>
      <c r="B112" s="57"/>
    </row>
    <row r="113">
      <c r="A113" s="57"/>
      <c r="B113" s="57"/>
    </row>
    <row r="114">
      <c r="A114" s="57"/>
      <c r="B114" s="57"/>
    </row>
    <row r="115">
      <c r="A115" s="57"/>
      <c r="B115" s="57"/>
    </row>
    <row r="116">
      <c r="A116" s="57"/>
      <c r="B116" s="57"/>
    </row>
    <row r="117">
      <c r="A117" s="57"/>
      <c r="B117" s="57"/>
    </row>
    <row r="118">
      <c r="A118" s="57"/>
      <c r="B118" s="57"/>
    </row>
    <row r="119">
      <c r="A119" s="57"/>
      <c r="B119" s="57"/>
    </row>
    <row r="120">
      <c r="A120" s="57"/>
      <c r="B120" s="57"/>
    </row>
    <row r="121">
      <c r="A121" s="57"/>
      <c r="B121" s="57"/>
    </row>
    <row r="122">
      <c r="A122" s="57"/>
      <c r="B122" s="57"/>
    </row>
    <row r="123">
      <c r="A123" s="57"/>
      <c r="B123" s="57"/>
    </row>
    <row r="124">
      <c r="A124" s="57"/>
      <c r="B124" s="57"/>
    </row>
    <row r="125">
      <c r="A125" s="57"/>
      <c r="B125" s="57"/>
    </row>
    <row r="126">
      <c r="A126" s="57"/>
      <c r="B126" s="57"/>
    </row>
    <row r="127">
      <c r="A127" s="57"/>
      <c r="B127" s="57"/>
    </row>
    <row r="128">
      <c r="A128" s="57"/>
      <c r="B128" s="57"/>
    </row>
    <row r="129">
      <c r="A129" s="57"/>
      <c r="B129" s="57"/>
    </row>
    <row r="130">
      <c r="A130" s="57"/>
      <c r="B130" s="57"/>
    </row>
    <row r="131">
      <c r="A131" s="57"/>
      <c r="B131" s="57"/>
    </row>
    <row r="132">
      <c r="A132" s="57"/>
      <c r="B132" s="57"/>
    </row>
    <row r="133">
      <c r="A133" s="57"/>
      <c r="B133" s="57"/>
    </row>
    <row r="134">
      <c r="A134" s="57"/>
      <c r="B134" s="57"/>
    </row>
    <row r="135">
      <c r="A135" s="57"/>
      <c r="B135" s="57"/>
    </row>
    <row r="136">
      <c r="A136" s="57"/>
      <c r="B136" s="57"/>
    </row>
    <row r="137">
      <c r="A137" s="57"/>
      <c r="B137" s="57"/>
    </row>
    <row r="138">
      <c r="A138" s="57"/>
      <c r="B138" s="57"/>
    </row>
    <row r="139">
      <c r="A139" s="57"/>
      <c r="B139" s="57"/>
    </row>
    <row r="140">
      <c r="A140" s="57"/>
      <c r="B140" s="57"/>
    </row>
    <row r="141">
      <c r="A141" s="57"/>
      <c r="B141" s="57"/>
    </row>
    <row r="142">
      <c r="A142" s="57"/>
      <c r="B142" s="57"/>
    </row>
    <row r="143">
      <c r="A143" s="57"/>
      <c r="B143" s="57"/>
    </row>
    <row r="144">
      <c r="A144" s="57"/>
      <c r="B144" s="57"/>
    </row>
    <row r="145">
      <c r="A145" s="57"/>
      <c r="B145" s="57"/>
    </row>
    <row r="146">
      <c r="A146" s="57"/>
      <c r="B146" s="57"/>
    </row>
    <row r="147">
      <c r="A147" s="57"/>
      <c r="B147" s="57"/>
    </row>
    <row r="148">
      <c r="A148" s="57"/>
      <c r="B148" s="57"/>
    </row>
    <row r="149">
      <c r="A149" s="57"/>
      <c r="B149" s="57"/>
    </row>
    <row r="150">
      <c r="A150" s="57"/>
      <c r="B150" s="57"/>
    </row>
    <row r="151">
      <c r="A151" s="57"/>
      <c r="B151" s="57"/>
    </row>
    <row r="152">
      <c r="A152" s="57"/>
      <c r="B152" s="57"/>
    </row>
    <row r="153">
      <c r="A153" s="57"/>
      <c r="B153" s="57"/>
    </row>
    <row r="154">
      <c r="A154" s="57"/>
      <c r="B154" s="57"/>
    </row>
    <row r="155">
      <c r="A155" s="57"/>
      <c r="B155" s="57"/>
    </row>
    <row r="156">
      <c r="A156" s="57"/>
      <c r="B156" s="57"/>
    </row>
    <row r="157">
      <c r="A157" s="57"/>
      <c r="B157" s="57"/>
    </row>
    <row r="158">
      <c r="A158" s="57"/>
      <c r="B158" s="57"/>
    </row>
    <row r="159">
      <c r="A159" s="57"/>
      <c r="B159" s="57"/>
    </row>
    <row r="160">
      <c r="A160" s="57"/>
      <c r="B160" s="57"/>
    </row>
    <row r="161">
      <c r="A161" s="57"/>
      <c r="B161" s="57"/>
    </row>
    <row r="162">
      <c r="A162" s="57"/>
      <c r="B162" s="57"/>
    </row>
    <row r="163">
      <c r="A163" s="57"/>
      <c r="B163" s="57"/>
    </row>
    <row r="164">
      <c r="A164" s="57"/>
      <c r="B164" s="57"/>
    </row>
    <row r="165">
      <c r="A165" s="57"/>
      <c r="B165" s="57"/>
    </row>
    <row r="166">
      <c r="A166" s="57"/>
      <c r="B166" s="57"/>
    </row>
    <row r="167">
      <c r="A167" s="57"/>
      <c r="B167" s="57"/>
    </row>
    <row r="168">
      <c r="A168" s="57"/>
      <c r="B168" s="57"/>
    </row>
    <row r="169">
      <c r="A169" s="57"/>
      <c r="B169" s="57"/>
    </row>
    <row r="170">
      <c r="A170" s="57"/>
      <c r="B170" s="57"/>
    </row>
    <row r="171">
      <c r="A171" s="57"/>
      <c r="B171" s="57"/>
    </row>
    <row r="172">
      <c r="A172" s="57"/>
      <c r="B172" s="57"/>
    </row>
    <row r="173">
      <c r="A173" s="57"/>
      <c r="B173" s="57"/>
    </row>
    <row r="174">
      <c r="A174" s="57"/>
      <c r="B174" s="57"/>
    </row>
    <row r="175">
      <c r="A175" s="57"/>
      <c r="B175" s="57"/>
    </row>
    <row r="176">
      <c r="A176" s="57"/>
      <c r="B176" s="57"/>
    </row>
    <row r="177">
      <c r="A177" s="57"/>
      <c r="B177" s="57"/>
    </row>
    <row r="178">
      <c r="A178" s="57"/>
      <c r="B178" s="57"/>
    </row>
    <row r="179">
      <c r="A179" s="57"/>
      <c r="B179" s="57"/>
    </row>
    <row r="180">
      <c r="A180" s="57"/>
      <c r="B180" s="57"/>
    </row>
    <row r="181">
      <c r="A181" s="57"/>
      <c r="B181" s="57"/>
    </row>
    <row r="182">
      <c r="A182" s="57"/>
      <c r="B182" s="57"/>
    </row>
    <row r="183">
      <c r="A183" s="57"/>
      <c r="B183" s="57"/>
    </row>
    <row r="184">
      <c r="A184" s="57"/>
      <c r="B184" s="57"/>
    </row>
    <row r="185">
      <c r="A185" s="57"/>
      <c r="B185" s="57"/>
    </row>
    <row r="186">
      <c r="A186" s="57"/>
      <c r="B186" s="57"/>
    </row>
    <row r="187">
      <c r="A187" s="57"/>
      <c r="B187" s="57"/>
    </row>
    <row r="188">
      <c r="A188" s="57"/>
      <c r="B188" s="57"/>
    </row>
    <row r="189">
      <c r="A189" s="57"/>
      <c r="B189" s="57"/>
    </row>
    <row r="190">
      <c r="A190" s="57"/>
      <c r="B190" s="57"/>
    </row>
    <row r="191">
      <c r="A191" s="57"/>
      <c r="B191" s="57"/>
    </row>
    <row r="192">
      <c r="A192" s="57"/>
      <c r="B192" s="57"/>
    </row>
    <row r="193">
      <c r="A193" s="57"/>
      <c r="B193" s="57"/>
    </row>
    <row r="194">
      <c r="A194" s="57"/>
      <c r="B194" s="57"/>
    </row>
    <row r="195">
      <c r="A195" s="57"/>
      <c r="B195" s="57"/>
    </row>
    <row r="196">
      <c r="A196" s="57"/>
      <c r="B196" s="57"/>
    </row>
    <row r="197">
      <c r="A197" s="57"/>
      <c r="B197" s="57"/>
    </row>
    <row r="198">
      <c r="A198" s="57"/>
      <c r="B198" s="57"/>
    </row>
    <row r="199">
      <c r="A199" s="57"/>
      <c r="B199" s="57"/>
    </row>
    <row r="200">
      <c r="A200" s="57"/>
      <c r="B200" s="57"/>
    </row>
    <row r="201">
      <c r="A201" s="57"/>
      <c r="B201" s="57"/>
    </row>
    <row r="202">
      <c r="A202" s="57"/>
      <c r="B202" s="57"/>
    </row>
    <row r="203">
      <c r="A203" s="57"/>
      <c r="B203" s="57"/>
    </row>
    <row r="204">
      <c r="A204" s="57"/>
      <c r="B204" s="57"/>
    </row>
    <row r="205">
      <c r="A205" s="57"/>
      <c r="B205" s="57"/>
    </row>
    <row r="206">
      <c r="A206" s="57"/>
      <c r="B206" s="57"/>
    </row>
    <row r="207">
      <c r="A207" s="57"/>
      <c r="B207" s="57"/>
    </row>
    <row r="208">
      <c r="A208" s="57"/>
      <c r="B208" s="57"/>
    </row>
    <row r="209">
      <c r="A209" s="57"/>
      <c r="B209" s="57"/>
    </row>
    <row r="210">
      <c r="A210" s="57"/>
      <c r="B210" s="57"/>
    </row>
    <row r="211">
      <c r="A211" s="57"/>
      <c r="B211" s="57"/>
    </row>
    <row r="212">
      <c r="A212" s="57"/>
      <c r="B212" s="57"/>
    </row>
    <row r="213">
      <c r="A213" s="57"/>
      <c r="B213" s="57"/>
    </row>
    <row r="214">
      <c r="A214" s="57"/>
      <c r="B214" s="57"/>
    </row>
    <row r="215">
      <c r="A215" s="57"/>
      <c r="B215" s="57"/>
    </row>
    <row r="216">
      <c r="A216" s="57"/>
      <c r="B216" s="57"/>
    </row>
    <row r="217">
      <c r="A217" s="57"/>
      <c r="B217" s="57"/>
    </row>
    <row r="218">
      <c r="A218" s="57"/>
      <c r="B218" s="57"/>
    </row>
    <row r="219">
      <c r="A219" s="57"/>
      <c r="B219" s="57"/>
    </row>
    <row r="220">
      <c r="A220" s="57"/>
      <c r="B220" s="57"/>
    </row>
    <row r="221">
      <c r="A221" s="57"/>
      <c r="B221" s="57"/>
    </row>
    <row r="222">
      <c r="A222" s="57"/>
      <c r="B222" s="57"/>
    </row>
    <row r="223">
      <c r="A223" s="57"/>
      <c r="B223" s="57"/>
    </row>
    <row r="224">
      <c r="A224" s="57"/>
      <c r="B224" s="57"/>
    </row>
    <row r="225">
      <c r="A225" s="57"/>
      <c r="B225" s="57"/>
    </row>
    <row r="226">
      <c r="A226" s="57"/>
      <c r="B226" s="57"/>
    </row>
    <row r="227">
      <c r="A227" s="57"/>
      <c r="B227" s="57"/>
    </row>
    <row r="228">
      <c r="A228" s="57"/>
      <c r="B228" s="57"/>
    </row>
    <row r="229">
      <c r="A229" s="57"/>
      <c r="B229" s="57"/>
    </row>
    <row r="230">
      <c r="A230" s="57"/>
      <c r="B230" s="57"/>
    </row>
    <row r="231">
      <c r="A231" s="57"/>
      <c r="B231" s="57"/>
    </row>
    <row r="232">
      <c r="A232" s="57"/>
      <c r="B232" s="57"/>
    </row>
    <row r="233">
      <c r="A233" s="57"/>
      <c r="B233" s="57"/>
    </row>
    <row r="234">
      <c r="A234" s="57"/>
      <c r="B234" s="57"/>
    </row>
    <row r="235">
      <c r="A235" s="57"/>
      <c r="B235" s="57"/>
    </row>
    <row r="236">
      <c r="A236" s="57"/>
      <c r="B236" s="57"/>
    </row>
    <row r="237">
      <c r="A237" s="57"/>
      <c r="B237" s="57"/>
    </row>
    <row r="238">
      <c r="A238" s="57"/>
      <c r="B238" s="57"/>
    </row>
    <row r="239">
      <c r="A239" s="57"/>
      <c r="B239" s="57"/>
    </row>
    <row r="240">
      <c r="A240" s="57"/>
      <c r="B240" s="57"/>
    </row>
    <row r="241">
      <c r="A241" s="57"/>
      <c r="B241" s="57"/>
    </row>
    <row r="242">
      <c r="A242" s="57"/>
      <c r="B242" s="57"/>
    </row>
    <row r="243">
      <c r="A243" s="57"/>
      <c r="B243" s="57"/>
    </row>
    <row r="244">
      <c r="A244" s="57"/>
      <c r="B244" s="57"/>
    </row>
    <row r="245">
      <c r="A245" s="57"/>
      <c r="B245" s="57"/>
    </row>
    <row r="246">
      <c r="A246" s="57"/>
      <c r="B246" s="57"/>
    </row>
    <row r="247">
      <c r="A247" s="57"/>
      <c r="B247" s="57"/>
    </row>
    <row r="248">
      <c r="A248" s="57"/>
      <c r="B248" s="57"/>
    </row>
    <row r="249">
      <c r="A249" s="57"/>
      <c r="B249" s="57"/>
    </row>
    <row r="250">
      <c r="A250" s="57"/>
      <c r="B250" s="57"/>
    </row>
    <row r="251">
      <c r="A251" s="57"/>
      <c r="B251" s="57"/>
    </row>
    <row r="252">
      <c r="A252" s="57"/>
      <c r="B252" s="57"/>
    </row>
    <row r="253">
      <c r="A253" s="57"/>
      <c r="B253" s="57"/>
    </row>
    <row r="254">
      <c r="A254" s="57"/>
      <c r="B254" s="57"/>
    </row>
    <row r="255">
      <c r="A255" s="57"/>
      <c r="B255" s="57"/>
    </row>
    <row r="256">
      <c r="A256" s="57"/>
      <c r="B256" s="57"/>
    </row>
    <row r="257">
      <c r="A257" s="57"/>
      <c r="B257" s="57"/>
    </row>
    <row r="258">
      <c r="A258" s="57"/>
      <c r="B258" s="57"/>
    </row>
    <row r="259">
      <c r="A259" s="57"/>
      <c r="B259" s="57"/>
    </row>
    <row r="260">
      <c r="A260" s="57"/>
      <c r="B260" s="57"/>
    </row>
    <row r="261">
      <c r="A261" s="57"/>
      <c r="B261" s="57"/>
    </row>
    <row r="262">
      <c r="A262" s="57"/>
      <c r="B262" s="57"/>
    </row>
    <row r="263">
      <c r="A263" s="57"/>
      <c r="B263" s="57"/>
    </row>
    <row r="264">
      <c r="A264" s="57"/>
      <c r="B264" s="57"/>
    </row>
    <row r="265">
      <c r="A265" s="57"/>
      <c r="B265" s="57"/>
    </row>
    <row r="266">
      <c r="A266" s="57"/>
      <c r="B266" s="57"/>
    </row>
    <row r="267">
      <c r="A267" s="57"/>
      <c r="B267" s="57"/>
    </row>
    <row r="268">
      <c r="A268" s="57"/>
      <c r="B268" s="57"/>
    </row>
    <row r="269">
      <c r="A269" s="57"/>
      <c r="B269" s="57"/>
    </row>
    <row r="270">
      <c r="A270" s="57"/>
      <c r="B270" s="57"/>
    </row>
    <row r="271">
      <c r="A271" s="57"/>
      <c r="B271" s="57"/>
    </row>
    <row r="272">
      <c r="A272" s="57"/>
      <c r="B272" s="57"/>
    </row>
    <row r="273">
      <c r="A273" s="57"/>
      <c r="B273" s="57"/>
    </row>
    <row r="274">
      <c r="A274" s="57"/>
      <c r="B274" s="57"/>
    </row>
    <row r="275">
      <c r="A275" s="57"/>
      <c r="B275" s="57"/>
    </row>
    <row r="276">
      <c r="A276" s="57"/>
      <c r="B276" s="57"/>
    </row>
    <row r="277">
      <c r="A277" s="57"/>
      <c r="B277" s="57"/>
    </row>
    <row r="278">
      <c r="A278" s="57"/>
      <c r="B278" s="57"/>
    </row>
    <row r="279">
      <c r="A279" s="57"/>
      <c r="B279" s="57"/>
    </row>
    <row r="280">
      <c r="A280" s="57"/>
      <c r="B280" s="57"/>
    </row>
    <row r="281">
      <c r="A281" s="57"/>
      <c r="B281" s="57"/>
    </row>
    <row r="282">
      <c r="A282" s="57"/>
      <c r="B282" s="57"/>
    </row>
    <row r="283">
      <c r="A283" s="57"/>
      <c r="B283" s="57"/>
    </row>
    <row r="284">
      <c r="A284" s="57"/>
      <c r="B284" s="57"/>
    </row>
    <row r="285">
      <c r="A285" s="57"/>
      <c r="B285" s="57"/>
    </row>
    <row r="286">
      <c r="A286" s="57"/>
      <c r="B286" s="57"/>
    </row>
    <row r="287">
      <c r="A287" s="57"/>
      <c r="B287" s="57"/>
    </row>
    <row r="288">
      <c r="A288" s="57"/>
      <c r="B288" s="57"/>
    </row>
    <row r="289">
      <c r="A289" s="57"/>
      <c r="B289" s="57"/>
    </row>
    <row r="290">
      <c r="A290" s="57"/>
      <c r="B290" s="57"/>
    </row>
    <row r="291">
      <c r="A291" s="57"/>
      <c r="B291" s="57"/>
    </row>
    <row r="292">
      <c r="A292" s="57"/>
      <c r="B292" s="57"/>
    </row>
    <row r="293">
      <c r="A293" s="57"/>
      <c r="B293" s="57"/>
    </row>
    <row r="294">
      <c r="A294" s="57"/>
      <c r="B294" s="57"/>
    </row>
    <row r="295">
      <c r="A295" s="57"/>
      <c r="B295" s="57"/>
    </row>
    <row r="296">
      <c r="A296" s="57"/>
      <c r="B296" s="57"/>
    </row>
    <row r="297">
      <c r="A297" s="57"/>
      <c r="B297" s="57"/>
    </row>
    <row r="298">
      <c r="A298" s="57"/>
      <c r="B298" s="57"/>
    </row>
    <row r="299">
      <c r="A299" s="57"/>
      <c r="B299" s="57"/>
    </row>
    <row r="300">
      <c r="A300" s="57"/>
      <c r="B300" s="57"/>
    </row>
    <row r="301">
      <c r="A301" s="57"/>
      <c r="B301" s="57"/>
    </row>
    <row r="302">
      <c r="A302" s="57"/>
      <c r="B302" s="57"/>
    </row>
    <row r="303">
      <c r="A303" s="57"/>
      <c r="B303" s="57"/>
    </row>
    <row r="304">
      <c r="A304" s="57"/>
      <c r="B304" s="57"/>
    </row>
    <row r="305">
      <c r="A305" s="57"/>
      <c r="B305" s="57"/>
    </row>
    <row r="306">
      <c r="A306" s="57"/>
      <c r="B306" s="57"/>
    </row>
    <row r="307">
      <c r="A307" s="57"/>
      <c r="B307" s="57"/>
    </row>
    <row r="308">
      <c r="A308" s="57"/>
      <c r="B308" s="57"/>
    </row>
    <row r="309">
      <c r="A309" s="57"/>
      <c r="B309" s="57"/>
    </row>
    <row r="310">
      <c r="A310" s="57"/>
      <c r="B310" s="57"/>
    </row>
    <row r="311">
      <c r="A311" s="57"/>
      <c r="B311" s="57"/>
    </row>
    <row r="312">
      <c r="A312" s="57"/>
      <c r="B312" s="57"/>
    </row>
    <row r="313">
      <c r="A313" s="57"/>
      <c r="B313" s="57"/>
    </row>
    <row r="314">
      <c r="A314" s="57"/>
      <c r="B314" s="57"/>
    </row>
    <row r="315">
      <c r="A315" s="57"/>
      <c r="B315" s="57"/>
    </row>
    <row r="316">
      <c r="A316" s="57"/>
      <c r="B316" s="57"/>
    </row>
    <row r="317">
      <c r="A317" s="57"/>
      <c r="B317" s="57"/>
    </row>
    <row r="318">
      <c r="A318" s="57"/>
      <c r="B318" s="57"/>
    </row>
    <row r="319">
      <c r="A319" s="57"/>
      <c r="B319" s="57"/>
    </row>
    <row r="320">
      <c r="A320" s="57"/>
      <c r="B320" s="57"/>
    </row>
    <row r="321">
      <c r="A321" s="57"/>
      <c r="B321" s="57"/>
    </row>
    <row r="322">
      <c r="A322" s="57"/>
      <c r="B322" s="57"/>
    </row>
    <row r="323">
      <c r="A323" s="57"/>
      <c r="B323" s="57"/>
    </row>
    <row r="324">
      <c r="A324" s="57"/>
      <c r="B324" s="57"/>
    </row>
    <row r="325">
      <c r="A325" s="57"/>
      <c r="B325" s="57"/>
    </row>
    <row r="326">
      <c r="A326" s="57"/>
      <c r="B326" s="57"/>
    </row>
    <row r="327">
      <c r="A327" s="57"/>
      <c r="B327" s="57"/>
    </row>
    <row r="328">
      <c r="A328" s="57"/>
      <c r="B328" s="57"/>
    </row>
    <row r="329">
      <c r="A329" s="57"/>
      <c r="B329" s="57"/>
    </row>
    <row r="330">
      <c r="A330" s="57"/>
      <c r="B330" s="57"/>
    </row>
    <row r="331">
      <c r="A331" s="57"/>
      <c r="B331" s="57"/>
    </row>
    <row r="332">
      <c r="A332" s="57"/>
      <c r="B332" s="57"/>
    </row>
    <row r="333">
      <c r="A333" s="57"/>
      <c r="B333" s="57"/>
    </row>
    <row r="334">
      <c r="A334" s="57"/>
      <c r="B334" s="57"/>
    </row>
    <row r="335">
      <c r="A335" s="57"/>
      <c r="B335" s="57"/>
    </row>
    <row r="336">
      <c r="A336" s="57"/>
      <c r="B336" s="57"/>
    </row>
    <row r="337">
      <c r="A337" s="57"/>
      <c r="B337" s="57"/>
    </row>
    <row r="338">
      <c r="A338" s="57"/>
      <c r="B338" s="57"/>
    </row>
    <row r="339">
      <c r="A339" s="57"/>
      <c r="B339" s="57"/>
    </row>
    <row r="340">
      <c r="A340" s="57"/>
      <c r="B340" s="57"/>
    </row>
    <row r="341">
      <c r="A341" s="57"/>
      <c r="B341" s="57"/>
    </row>
    <row r="342">
      <c r="A342" s="57"/>
      <c r="B342" s="57"/>
    </row>
    <row r="343">
      <c r="A343" s="57"/>
      <c r="B343" s="57"/>
    </row>
    <row r="344">
      <c r="A344" s="57"/>
      <c r="B344" s="57"/>
    </row>
    <row r="345">
      <c r="A345" s="57"/>
      <c r="B345" s="57"/>
    </row>
    <row r="346">
      <c r="A346" s="57"/>
      <c r="B346" s="57"/>
    </row>
    <row r="347">
      <c r="A347" s="57"/>
      <c r="B347" s="57"/>
    </row>
    <row r="348">
      <c r="A348" s="57"/>
      <c r="B348" s="57"/>
    </row>
    <row r="349">
      <c r="A349" s="57"/>
      <c r="B349" s="57"/>
    </row>
    <row r="350">
      <c r="A350" s="57"/>
      <c r="B350" s="57"/>
    </row>
    <row r="351">
      <c r="A351" s="57"/>
      <c r="B351" s="57"/>
    </row>
    <row r="352">
      <c r="A352" s="57"/>
      <c r="B352" s="57"/>
    </row>
    <row r="353">
      <c r="A353" s="57"/>
      <c r="B353" s="57"/>
    </row>
    <row r="354">
      <c r="A354" s="57"/>
      <c r="B354" s="57"/>
    </row>
    <row r="355">
      <c r="A355" s="57"/>
      <c r="B355" s="57"/>
    </row>
    <row r="356">
      <c r="A356" s="57"/>
      <c r="B356" s="57"/>
    </row>
    <row r="357">
      <c r="A357" s="57"/>
      <c r="B357" s="57"/>
    </row>
    <row r="358">
      <c r="A358" s="57"/>
      <c r="B358" s="57"/>
    </row>
    <row r="359">
      <c r="A359" s="57"/>
      <c r="B359" s="57"/>
    </row>
    <row r="360">
      <c r="A360" s="57"/>
      <c r="B360" s="57"/>
    </row>
    <row r="361">
      <c r="A361" s="57"/>
      <c r="B361" s="57"/>
    </row>
    <row r="362">
      <c r="A362" s="57"/>
      <c r="B362" s="57"/>
    </row>
    <row r="363">
      <c r="A363" s="57"/>
      <c r="B363" s="57"/>
    </row>
    <row r="364">
      <c r="A364" s="57"/>
      <c r="B364" s="57"/>
    </row>
    <row r="365">
      <c r="A365" s="57"/>
      <c r="B365" s="57"/>
    </row>
    <row r="366">
      <c r="A366" s="57"/>
      <c r="B366" s="57"/>
    </row>
    <row r="367">
      <c r="A367" s="57"/>
      <c r="B367" s="57"/>
    </row>
    <row r="368">
      <c r="A368" s="57"/>
      <c r="B368" s="57"/>
    </row>
    <row r="369">
      <c r="A369" s="57"/>
      <c r="B369" s="57"/>
    </row>
    <row r="370">
      <c r="A370" s="57"/>
      <c r="B370" s="57"/>
    </row>
    <row r="371">
      <c r="A371" s="57"/>
      <c r="B371" s="57"/>
    </row>
    <row r="372">
      <c r="A372" s="57"/>
      <c r="B372" s="57"/>
    </row>
    <row r="373">
      <c r="A373" s="57"/>
      <c r="B373" s="57"/>
    </row>
    <row r="374">
      <c r="A374" s="57"/>
      <c r="B374" s="57"/>
    </row>
    <row r="375">
      <c r="A375" s="57"/>
      <c r="B375" s="57"/>
    </row>
    <row r="376">
      <c r="A376" s="57"/>
      <c r="B376" s="57"/>
    </row>
    <row r="377">
      <c r="A377" s="57"/>
      <c r="B377" s="57"/>
    </row>
    <row r="378">
      <c r="A378" s="57"/>
      <c r="B378" s="57"/>
    </row>
    <row r="379">
      <c r="A379" s="57"/>
      <c r="B379" s="57"/>
    </row>
    <row r="380">
      <c r="A380" s="57"/>
      <c r="B380" s="57"/>
    </row>
    <row r="381">
      <c r="A381" s="57"/>
      <c r="B381" s="57"/>
    </row>
    <row r="382">
      <c r="A382" s="57"/>
      <c r="B382" s="57"/>
    </row>
    <row r="383">
      <c r="A383" s="57"/>
      <c r="B383" s="57"/>
    </row>
    <row r="384">
      <c r="A384" s="57"/>
      <c r="B384" s="57"/>
    </row>
    <row r="385">
      <c r="A385" s="57"/>
      <c r="B385" s="57"/>
    </row>
    <row r="386">
      <c r="A386" s="57"/>
      <c r="B386" s="57"/>
    </row>
    <row r="387">
      <c r="A387" s="57"/>
      <c r="B387" s="57"/>
    </row>
    <row r="388">
      <c r="A388" s="57"/>
      <c r="B388" s="57"/>
    </row>
    <row r="389">
      <c r="A389" s="57"/>
      <c r="B389" s="57"/>
    </row>
    <row r="390">
      <c r="A390" s="57"/>
      <c r="B390" s="57"/>
    </row>
    <row r="391">
      <c r="A391" s="57"/>
      <c r="B391" s="57"/>
    </row>
    <row r="392">
      <c r="A392" s="57"/>
      <c r="B392" s="57"/>
    </row>
    <row r="393">
      <c r="A393" s="57"/>
      <c r="B393" s="57"/>
    </row>
    <row r="394">
      <c r="A394" s="57"/>
      <c r="B394" s="57"/>
    </row>
    <row r="395">
      <c r="A395" s="57"/>
      <c r="B395" s="57"/>
    </row>
    <row r="396">
      <c r="A396" s="57"/>
      <c r="B396" s="57"/>
    </row>
    <row r="397">
      <c r="A397" s="57"/>
      <c r="B397" s="57"/>
    </row>
    <row r="398">
      <c r="A398" s="57"/>
      <c r="B398" s="57"/>
    </row>
    <row r="399">
      <c r="A399" s="57"/>
      <c r="B399" s="57"/>
    </row>
    <row r="400">
      <c r="A400" s="57"/>
      <c r="B400" s="57"/>
    </row>
    <row r="401">
      <c r="A401" s="57"/>
      <c r="B401" s="57"/>
    </row>
    <row r="402">
      <c r="A402" s="57"/>
      <c r="B402" s="57"/>
    </row>
    <row r="403">
      <c r="A403" s="57"/>
      <c r="B403" s="57"/>
    </row>
    <row r="404">
      <c r="A404" s="57"/>
      <c r="B404" s="57"/>
    </row>
    <row r="405">
      <c r="A405" s="57"/>
      <c r="B405" s="57"/>
    </row>
    <row r="406">
      <c r="A406" s="57"/>
      <c r="B406" s="57"/>
    </row>
    <row r="407">
      <c r="A407" s="57"/>
      <c r="B407" s="57"/>
    </row>
    <row r="408">
      <c r="A408" s="57"/>
      <c r="B408" s="57"/>
    </row>
    <row r="409">
      <c r="A409" s="57"/>
      <c r="B409" s="57"/>
    </row>
    <row r="410">
      <c r="A410" s="57"/>
      <c r="B410" s="57"/>
    </row>
    <row r="411">
      <c r="A411" s="57"/>
      <c r="B411" s="57"/>
    </row>
    <row r="412">
      <c r="A412" s="57"/>
      <c r="B412" s="57"/>
    </row>
    <row r="413">
      <c r="A413" s="57"/>
      <c r="B413" s="57"/>
    </row>
    <row r="414">
      <c r="A414" s="57"/>
      <c r="B414" s="57"/>
    </row>
    <row r="415">
      <c r="A415" s="57"/>
      <c r="B415" s="57"/>
    </row>
    <row r="416">
      <c r="A416" s="57"/>
      <c r="B416" s="57"/>
    </row>
    <row r="417">
      <c r="A417" s="57"/>
      <c r="B417" s="57"/>
    </row>
    <row r="418">
      <c r="A418" s="57"/>
      <c r="B418" s="57"/>
    </row>
    <row r="419">
      <c r="A419" s="57"/>
      <c r="B419" s="57"/>
    </row>
    <row r="420">
      <c r="A420" s="57"/>
      <c r="B420" s="57"/>
    </row>
    <row r="421">
      <c r="A421" s="57"/>
      <c r="B421" s="57"/>
    </row>
    <row r="422">
      <c r="A422" s="57"/>
      <c r="B422" s="57"/>
    </row>
    <row r="423">
      <c r="A423" s="57"/>
      <c r="B423" s="57"/>
    </row>
    <row r="424">
      <c r="A424" s="57"/>
      <c r="B424" s="57"/>
    </row>
    <row r="425">
      <c r="A425" s="57"/>
      <c r="B425" s="57"/>
    </row>
    <row r="426">
      <c r="A426" s="57"/>
      <c r="B426" s="57"/>
    </row>
    <row r="427">
      <c r="A427" s="57"/>
      <c r="B427" s="57"/>
    </row>
    <row r="428">
      <c r="A428" s="57"/>
      <c r="B428" s="57"/>
    </row>
    <row r="429">
      <c r="A429" s="57"/>
      <c r="B429" s="57"/>
    </row>
    <row r="430">
      <c r="A430" s="57"/>
      <c r="B430" s="57"/>
    </row>
    <row r="431">
      <c r="A431" s="57"/>
      <c r="B431" s="57"/>
    </row>
    <row r="432">
      <c r="A432" s="57"/>
      <c r="B432" s="57"/>
    </row>
    <row r="433">
      <c r="A433" s="57"/>
      <c r="B433" s="57"/>
    </row>
    <row r="434">
      <c r="A434" s="57"/>
      <c r="B434" s="57"/>
    </row>
    <row r="435">
      <c r="A435" s="57"/>
      <c r="B435" s="57"/>
    </row>
    <row r="436">
      <c r="A436" s="57"/>
      <c r="B436" s="57"/>
    </row>
    <row r="437">
      <c r="A437" s="57"/>
      <c r="B437" s="57"/>
    </row>
    <row r="438">
      <c r="A438" s="57"/>
      <c r="B438" s="57"/>
    </row>
    <row r="439">
      <c r="A439" s="57"/>
      <c r="B439" s="57"/>
    </row>
    <row r="440">
      <c r="A440" s="57"/>
      <c r="B440" s="57"/>
    </row>
    <row r="441">
      <c r="A441" s="57"/>
      <c r="B441" s="57"/>
    </row>
    <row r="442">
      <c r="A442" s="57"/>
      <c r="B442" s="57"/>
    </row>
    <row r="443">
      <c r="A443" s="57"/>
      <c r="B443" s="57"/>
    </row>
    <row r="444">
      <c r="A444" s="57"/>
      <c r="B444" s="57"/>
    </row>
    <row r="445">
      <c r="A445" s="57"/>
      <c r="B445" s="57"/>
    </row>
    <row r="446">
      <c r="A446" s="57"/>
      <c r="B446" s="57"/>
    </row>
    <row r="447">
      <c r="A447" s="57"/>
      <c r="B447" s="57"/>
    </row>
    <row r="448">
      <c r="A448" s="57"/>
      <c r="B448" s="57"/>
    </row>
    <row r="449">
      <c r="A449" s="57"/>
      <c r="B449" s="57"/>
    </row>
    <row r="450">
      <c r="A450" s="57"/>
      <c r="B450" s="57"/>
    </row>
    <row r="451">
      <c r="A451" s="57"/>
      <c r="B451" s="57"/>
    </row>
    <row r="452">
      <c r="A452" s="57"/>
      <c r="B452" s="57"/>
    </row>
    <row r="453">
      <c r="A453" s="57"/>
      <c r="B453" s="57"/>
    </row>
    <row r="454">
      <c r="A454" s="57"/>
      <c r="B454" s="57"/>
    </row>
    <row r="455">
      <c r="A455" s="57"/>
      <c r="B455" s="57"/>
    </row>
    <row r="456">
      <c r="A456" s="57"/>
      <c r="B456" s="57"/>
    </row>
    <row r="457">
      <c r="A457" s="57"/>
      <c r="B457" s="57"/>
    </row>
    <row r="458">
      <c r="A458" s="57"/>
      <c r="B458" s="57"/>
    </row>
    <row r="459">
      <c r="A459" s="57"/>
      <c r="B459" s="57"/>
    </row>
    <row r="460">
      <c r="A460" s="57"/>
      <c r="B460" s="57"/>
    </row>
    <row r="461">
      <c r="A461" s="57"/>
      <c r="B461" s="57"/>
    </row>
    <row r="462">
      <c r="A462" s="57"/>
      <c r="B462" s="57"/>
    </row>
    <row r="463">
      <c r="A463" s="57"/>
      <c r="B463" s="57"/>
    </row>
    <row r="464">
      <c r="A464" s="57"/>
      <c r="B464" s="57"/>
    </row>
    <row r="465">
      <c r="A465" s="57"/>
      <c r="B465" s="57"/>
    </row>
    <row r="466">
      <c r="A466" s="57"/>
      <c r="B466" s="57"/>
    </row>
    <row r="467">
      <c r="A467" s="57"/>
      <c r="B467" s="57"/>
    </row>
    <row r="468">
      <c r="A468" s="57"/>
      <c r="B468" s="57"/>
    </row>
    <row r="469">
      <c r="A469" s="57"/>
      <c r="B469" s="57"/>
    </row>
    <row r="470">
      <c r="A470" s="57"/>
      <c r="B470" s="57"/>
    </row>
    <row r="471">
      <c r="A471" s="57"/>
      <c r="B471" s="57"/>
    </row>
    <row r="472">
      <c r="A472" s="57"/>
      <c r="B472" s="57"/>
    </row>
    <row r="473">
      <c r="A473" s="57"/>
      <c r="B473" s="57"/>
    </row>
    <row r="474">
      <c r="A474" s="57"/>
      <c r="B474" s="57"/>
    </row>
    <row r="475">
      <c r="A475" s="57"/>
      <c r="B475" s="57"/>
    </row>
    <row r="476">
      <c r="A476" s="57"/>
      <c r="B476" s="57"/>
    </row>
    <row r="477">
      <c r="A477" s="57"/>
      <c r="B477" s="57"/>
    </row>
    <row r="478">
      <c r="A478" s="57"/>
      <c r="B478" s="57"/>
    </row>
    <row r="479">
      <c r="A479" s="57"/>
      <c r="B479" s="57"/>
    </row>
    <row r="480">
      <c r="A480" s="57"/>
      <c r="B480" s="57"/>
    </row>
    <row r="481">
      <c r="A481" s="57"/>
      <c r="B481" s="57"/>
    </row>
    <row r="482">
      <c r="A482" s="57"/>
      <c r="B482" s="57"/>
    </row>
    <row r="483">
      <c r="A483" s="57"/>
      <c r="B483" s="57"/>
    </row>
    <row r="484">
      <c r="A484" s="57"/>
      <c r="B484" s="57"/>
    </row>
    <row r="485">
      <c r="A485" s="57"/>
      <c r="B485" s="57"/>
    </row>
    <row r="486">
      <c r="A486" s="57"/>
      <c r="B486" s="57"/>
    </row>
    <row r="487">
      <c r="A487" s="57"/>
      <c r="B487" s="57"/>
    </row>
    <row r="488">
      <c r="A488" s="57"/>
      <c r="B488" s="57"/>
    </row>
    <row r="489">
      <c r="A489" s="57"/>
      <c r="B489" s="57"/>
    </row>
    <row r="490">
      <c r="A490" s="57"/>
      <c r="B490" s="57"/>
    </row>
    <row r="491">
      <c r="A491" s="57"/>
      <c r="B491" s="57"/>
    </row>
    <row r="492">
      <c r="A492" s="57"/>
      <c r="B492" s="57"/>
    </row>
    <row r="493">
      <c r="A493" s="57"/>
      <c r="B493" s="57"/>
    </row>
    <row r="494">
      <c r="A494" s="57"/>
      <c r="B494" s="57"/>
    </row>
    <row r="495">
      <c r="A495" s="57"/>
      <c r="B495" s="57"/>
    </row>
    <row r="496">
      <c r="A496" s="57"/>
      <c r="B496" s="57"/>
    </row>
    <row r="497">
      <c r="A497" s="57"/>
      <c r="B497" s="57"/>
    </row>
    <row r="498">
      <c r="A498" s="57"/>
      <c r="B498" s="57"/>
    </row>
    <row r="499">
      <c r="A499" s="57"/>
      <c r="B499" s="57"/>
    </row>
    <row r="500">
      <c r="A500" s="57"/>
      <c r="B500" s="57"/>
    </row>
    <row r="501">
      <c r="A501" s="57"/>
      <c r="B501" s="57"/>
    </row>
    <row r="502">
      <c r="A502" s="57"/>
      <c r="B502" s="57"/>
    </row>
    <row r="503">
      <c r="A503" s="57"/>
      <c r="B503" s="57"/>
    </row>
    <row r="504">
      <c r="A504" s="57"/>
      <c r="B504" s="57"/>
    </row>
    <row r="505">
      <c r="A505" s="57"/>
      <c r="B505" s="57"/>
    </row>
    <row r="506">
      <c r="A506" s="57"/>
      <c r="B506" s="57"/>
    </row>
    <row r="507">
      <c r="A507" s="57"/>
      <c r="B507" s="57"/>
    </row>
    <row r="508">
      <c r="A508" s="57"/>
      <c r="B508" s="57"/>
    </row>
    <row r="509">
      <c r="A509" s="57"/>
      <c r="B509" s="57"/>
    </row>
    <row r="510">
      <c r="A510" s="57"/>
      <c r="B510" s="57"/>
    </row>
    <row r="511">
      <c r="A511" s="57"/>
      <c r="B511" s="57"/>
    </row>
    <row r="512">
      <c r="A512" s="57"/>
      <c r="B512" s="57"/>
    </row>
    <row r="513">
      <c r="A513" s="57"/>
      <c r="B513" s="57"/>
    </row>
    <row r="514">
      <c r="A514" s="57"/>
      <c r="B514" s="57"/>
    </row>
    <row r="515">
      <c r="A515" s="57"/>
      <c r="B515" s="57"/>
    </row>
    <row r="516">
      <c r="A516" s="57"/>
      <c r="B516" s="57"/>
    </row>
    <row r="517">
      <c r="A517" s="57"/>
      <c r="B517" s="57"/>
    </row>
    <row r="518">
      <c r="A518" s="57"/>
      <c r="B518" s="57"/>
    </row>
    <row r="519">
      <c r="A519" s="57"/>
      <c r="B519" s="57"/>
    </row>
    <row r="520">
      <c r="A520" s="57"/>
      <c r="B520" s="57"/>
    </row>
    <row r="521">
      <c r="A521" s="57"/>
      <c r="B521" s="57"/>
    </row>
    <row r="522">
      <c r="A522" s="57"/>
      <c r="B522" s="57"/>
    </row>
    <row r="523">
      <c r="A523" s="57"/>
      <c r="B523" s="57"/>
    </row>
    <row r="524">
      <c r="A524" s="57"/>
      <c r="B524" s="57"/>
    </row>
    <row r="525">
      <c r="A525" s="57"/>
      <c r="B525" s="57"/>
    </row>
    <row r="526">
      <c r="A526" s="57"/>
      <c r="B526" s="57"/>
    </row>
    <row r="527">
      <c r="A527" s="57"/>
      <c r="B527" s="57"/>
    </row>
    <row r="528">
      <c r="A528" s="57"/>
      <c r="B528" s="57"/>
    </row>
    <row r="529">
      <c r="A529" s="57"/>
      <c r="B529" s="57"/>
    </row>
    <row r="530">
      <c r="A530" s="57"/>
      <c r="B530" s="57"/>
    </row>
    <row r="531">
      <c r="A531" s="57"/>
      <c r="B531" s="57"/>
    </row>
    <row r="532">
      <c r="A532" s="57"/>
      <c r="B532" s="57"/>
    </row>
    <row r="533">
      <c r="A533" s="57"/>
      <c r="B533" s="57"/>
    </row>
    <row r="534">
      <c r="A534" s="57"/>
      <c r="B534" s="57"/>
    </row>
    <row r="535">
      <c r="A535" s="57"/>
      <c r="B535" s="57"/>
    </row>
    <row r="536">
      <c r="A536" s="57"/>
      <c r="B536" s="57"/>
    </row>
    <row r="537">
      <c r="A537" s="57"/>
      <c r="B537" s="57"/>
    </row>
    <row r="538">
      <c r="A538" s="57"/>
      <c r="B538" s="57"/>
    </row>
    <row r="539">
      <c r="A539" s="57"/>
      <c r="B539" s="57"/>
    </row>
    <row r="540">
      <c r="A540" s="57"/>
      <c r="B540" s="57"/>
    </row>
    <row r="541">
      <c r="A541" s="57"/>
      <c r="B541" s="57"/>
    </row>
    <row r="542">
      <c r="A542" s="57"/>
      <c r="B542" s="57"/>
    </row>
    <row r="543">
      <c r="A543" s="57"/>
      <c r="B543" s="57"/>
    </row>
    <row r="544">
      <c r="A544" s="57"/>
      <c r="B544" s="57"/>
    </row>
    <row r="545">
      <c r="A545" s="57"/>
      <c r="B545" s="57"/>
    </row>
    <row r="546">
      <c r="A546" s="57"/>
      <c r="B546" s="57"/>
    </row>
    <row r="547">
      <c r="A547" s="57"/>
      <c r="B547" s="57"/>
    </row>
    <row r="548">
      <c r="A548" s="57"/>
      <c r="B548" s="57"/>
    </row>
    <row r="549">
      <c r="A549" s="57"/>
      <c r="B549" s="57"/>
    </row>
    <row r="550">
      <c r="A550" s="57"/>
      <c r="B550" s="57"/>
    </row>
    <row r="551">
      <c r="A551" s="57"/>
      <c r="B551" s="57"/>
    </row>
    <row r="552">
      <c r="A552" s="57"/>
      <c r="B552" s="57"/>
    </row>
    <row r="553">
      <c r="A553" s="57"/>
      <c r="B553" s="57"/>
    </row>
    <row r="554">
      <c r="A554" s="57"/>
      <c r="B554" s="57"/>
    </row>
    <row r="555">
      <c r="A555" s="57"/>
      <c r="B555" s="57"/>
    </row>
    <row r="556">
      <c r="A556" s="57"/>
      <c r="B556" s="57"/>
    </row>
    <row r="557">
      <c r="A557" s="57"/>
      <c r="B557" s="57"/>
    </row>
    <row r="558">
      <c r="A558" s="57"/>
      <c r="B558" s="57"/>
    </row>
    <row r="559">
      <c r="A559" s="57"/>
      <c r="B559" s="57"/>
    </row>
    <row r="560">
      <c r="A560" s="57"/>
      <c r="B560" s="57"/>
    </row>
    <row r="561">
      <c r="A561" s="57"/>
      <c r="B561" s="57"/>
    </row>
    <row r="562">
      <c r="A562" s="57"/>
      <c r="B562" s="57"/>
    </row>
    <row r="563">
      <c r="A563" s="57"/>
      <c r="B563" s="57"/>
    </row>
    <row r="564">
      <c r="A564" s="57"/>
      <c r="B564" s="57"/>
    </row>
    <row r="565">
      <c r="A565" s="57"/>
      <c r="B565" s="57"/>
    </row>
    <row r="566">
      <c r="A566" s="57"/>
      <c r="B566" s="57"/>
    </row>
    <row r="567">
      <c r="A567" s="57"/>
      <c r="B567" s="57"/>
    </row>
    <row r="568">
      <c r="A568" s="57"/>
      <c r="B568" s="57"/>
    </row>
    <row r="569">
      <c r="A569" s="57"/>
      <c r="B569" s="57"/>
    </row>
    <row r="570">
      <c r="A570" s="57"/>
      <c r="B570" s="57"/>
    </row>
    <row r="571">
      <c r="A571" s="57"/>
      <c r="B571" s="57"/>
    </row>
    <row r="572">
      <c r="A572" s="57"/>
      <c r="B572" s="57"/>
    </row>
    <row r="573">
      <c r="A573" s="57"/>
      <c r="B573" s="57"/>
    </row>
    <row r="574">
      <c r="A574" s="57"/>
      <c r="B574" s="57"/>
    </row>
    <row r="575">
      <c r="A575" s="57"/>
      <c r="B575" s="57"/>
    </row>
    <row r="576">
      <c r="A576" s="57"/>
      <c r="B576" s="57"/>
    </row>
    <row r="577">
      <c r="A577" s="57"/>
      <c r="B577" s="57"/>
    </row>
    <row r="578">
      <c r="A578" s="57"/>
      <c r="B578" s="57"/>
    </row>
    <row r="579">
      <c r="A579" s="57"/>
      <c r="B579" s="57"/>
    </row>
    <row r="580">
      <c r="A580" s="57"/>
      <c r="B580" s="57"/>
    </row>
    <row r="581">
      <c r="A581" s="57"/>
      <c r="B581" s="57"/>
    </row>
    <row r="582">
      <c r="A582" s="57"/>
      <c r="B582" s="57"/>
    </row>
    <row r="583">
      <c r="A583" s="57"/>
      <c r="B583" s="57"/>
    </row>
    <row r="584">
      <c r="A584" s="57"/>
      <c r="B584" s="57"/>
    </row>
    <row r="585">
      <c r="A585" s="57"/>
      <c r="B585" s="57"/>
    </row>
    <row r="586">
      <c r="A586" s="57"/>
      <c r="B586" s="57"/>
    </row>
    <row r="587">
      <c r="A587" s="57"/>
      <c r="B587" s="57"/>
    </row>
    <row r="588">
      <c r="A588" s="57"/>
      <c r="B588" s="57"/>
    </row>
    <row r="589">
      <c r="A589" s="57"/>
      <c r="B589" s="57"/>
    </row>
    <row r="590">
      <c r="A590" s="57"/>
      <c r="B590" s="57"/>
    </row>
    <row r="591">
      <c r="A591" s="57"/>
      <c r="B591" s="57"/>
    </row>
    <row r="592">
      <c r="A592" s="57"/>
      <c r="B592" s="57"/>
    </row>
    <row r="593">
      <c r="A593" s="57"/>
      <c r="B593" s="57"/>
    </row>
    <row r="594">
      <c r="A594" s="57"/>
      <c r="B594" s="57"/>
    </row>
    <row r="595">
      <c r="A595" s="57"/>
      <c r="B595" s="57"/>
    </row>
    <row r="596">
      <c r="A596" s="57"/>
      <c r="B596" s="57"/>
    </row>
    <row r="597">
      <c r="A597" s="57"/>
      <c r="B597" s="57"/>
    </row>
    <row r="598">
      <c r="A598" s="57"/>
      <c r="B598" s="57"/>
    </row>
    <row r="599">
      <c r="A599" s="57"/>
      <c r="B599" s="57"/>
    </row>
    <row r="600">
      <c r="A600" s="57"/>
      <c r="B600" s="57"/>
    </row>
    <row r="601">
      <c r="A601" s="57"/>
      <c r="B601" s="57"/>
    </row>
    <row r="602">
      <c r="A602" s="57"/>
      <c r="B602" s="57"/>
    </row>
    <row r="603">
      <c r="A603" s="57"/>
      <c r="B603" s="57"/>
    </row>
    <row r="604">
      <c r="A604" s="57"/>
      <c r="B604" s="57"/>
    </row>
    <row r="605">
      <c r="A605" s="57"/>
      <c r="B605" s="57"/>
    </row>
    <row r="606">
      <c r="A606" s="57"/>
      <c r="B606" s="57"/>
    </row>
    <row r="607">
      <c r="A607" s="57"/>
      <c r="B607" s="57"/>
    </row>
    <row r="608">
      <c r="A608" s="57"/>
      <c r="B608" s="57"/>
    </row>
    <row r="609">
      <c r="A609" s="57"/>
      <c r="B609" s="57"/>
    </row>
    <row r="610">
      <c r="A610" s="57"/>
      <c r="B610" s="57"/>
    </row>
    <row r="611">
      <c r="A611" s="57"/>
      <c r="B611" s="57"/>
    </row>
    <row r="612">
      <c r="A612" s="57"/>
      <c r="B612" s="57"/>
    </row>
    <row r="613">
      <c r="A613" s="57"/>
      <c r="B613" s="57"/>
    </row>
    <row r="614">
      <c r="A614" s="57"/>
      <c r="B614" s="57"/>
    </row>
    <row r="615">
      <c r="A615" s="57"/>
      <c r="B615" s="57"/>
    </row>
    <row r="616">
      <c r="A616" s="57"/>
      <c r="B616" s="57"/>
    </row>
    <row r="617">
      <c r="A617" s="57"/>
      <c r="B617" s="57"/>
    </row>
    <row r="618">
      <c r="A618" s="57"/>
      <c r="B618" s="57"/>
    </row>
    <row r="619">
      <c r="A619" s="57"/>
      <c r="B619" s="57"/>
    </row>
    <row r="620">
      <c r="A620" s="57"/>
      <c r="B620" s="57"/>
    </row>
    <row r="621">
      <c r="A621" s="57"/>
      <c r="B621" s="57"/>
    </row>
    <row r="622">
      <c r="A622" s="57"/>
      <c r="B622" s="57"/>
    </row>
    <row r="623">
      <c r="A623" s="57"/>
      <c r="B623" s="57"/>
    </row>
    <row r="624">
      <c r="A624" s="57"/>
      <c r="B624" s="57"/>
    </row>
    <row r="625">
      <c r="A625" s="57"/>
      <c r="B625" s="57"/>
    </row>
    <row r="626">
      <c r="A626" s="57"/>
      <c r="B626" s="57"/>
    </row>
    <row r="627">
      <c r="A627" s="57"/>
      <c r="B627" s="57"/>
    </row>
    <row r="628">
      <c r="A628" s="57"/>
      <c r="B628" s="57"/>
    </row>
    <row r="629">
      <c r="A629" s="57"/>
      <c r="B629" s="57"/>
    </row>
    <row r="630">
      <c r="A630" s="57"/>
      <c r="B630" s="57"/>
    </row>
    <row r="631">
      <c r="A631" s="57"/>
      <c r="B631" s="57"/>
    </row>
    <row r="632">
      <c r="A632" s="57"/>
      <c r="B632" s="57"/>
    </row>
    <row r="633">
      <c r="A633" s="57"/>
      <c r="B633" s="57"/>
    </row>
    <row r="634">
      <c r="A634" s="57"/>
      <c r="B634" s="57"/>
    </row>
    <row r="635">
      <c r="A635" s="57"/>
      <c r="B635" s="57"/>
    </row>
    <row r="636">
      <c r="A636" s="57"/>
      <c r="B636" s="57"/>
    </row>
    <row r="637">
      <c r="A637" s="57"/>
      <c r="B637" s="57"/>
    </row>
    <row r="638">
      <c r="A638" s="57"/>
      <c r="B638" s="57"/>
    </row>
    <row r="639">
      <c r="A639" s="57"/>
      <c r="B639" s="57"/>
    </row>
    <row r="640">
      <c r="A640" s="57"/>
      <c r="B640" s="57"/>
    </row>
    <row r="641">
      <c r="A641" s="57"/>
      <c r="B641" s="57"/>
    </row>
    <row r="642">
      <c r="A642" s="57"/>
      <c r="B642" s="57"/>
    </row>
    <row r="643">
      <c r="A643" s="57"/>
      <c r="B643" s="57"/>
    </row>
    <row r="644">
      <c r="A644" s="57"/>
      <c r="B644" s="57"/>
    </row>
    <row r="645">
      <c r="A645" s="57"/>
      <c r="B645" s="57"/>
    </row>
    <row r="646">
      <c r="A646" s="57"/>
      <c r="B646" s="57"/>
    </row>
    <row r="647">
      <c r="A647" s="57"/>
      <c r="B647" s="57"/>
    </row>
    <row r="648">
      <c r="A648" s="57"/>
      <c r="B648" s="57"/>
    </row>
    <row r="649">
      <c r="A649" s="57"/>
      <c r="B649" s="57"/>
    </row>
    <row r="650">
      <c r="A650" s="57"/>
      <c r="B650" s="57"/>
    </row>
    <row r="651">
      <c r="A651" s="57"/>
      <c r="B651" s="57"/>
    </row>
    <row r="652">
      <c r="A652" s="57"/>
      <c r="B652" s="57"/>
    </row>
    <row r="653">
      <c r="A653" s="57"/>
      <c r="B653" s="57"/>
    </row>
    <row r="654">
      <c r="A654" s="57"/>
      <c r="B654" s="57"/>
    </row>
    <row r="655">
      <c r="A655" s="57"/>
      <c r="B655" s="57"/>
    </row>
    <row r="656">
      <c r="A656" s="57"/>
      <c r="B656" s="57"/>
    </row>
    <row r="657">
      <c r="A657" s="57"/>
      <c r="B657" s="57"/>
    </row>
    <row r="658">
      <c r="A658" s="57"/>
      <c r="B658" s="57"/>
    </row>
    <row r="659">
      <c r="A659" s="57"/>
      <c r="B659" s="57"/>
    </row>
    <row r="660">
      <c r="A660" s="57"/>
      <c r="B660" s="57"/>
    </row>
    <row r="661">
      <c r="A661" s="57"/>
      <c r="B661" s="57"/>
    </row>
    <row r="662">
      <c r="A662" s="57"/>
      <c r="B662" s="57"/>
    </row>
    <row r="663">
      <c r="A663" s="57"/>
      <c r="B663" s="57"/>
    </row>
    <row r="664">
      <c r="A664" s="57"/>
      <c r="B664" s="57"/>
    </row>
    <row r="665">
      <c r="A665" s="57"/>
      <c r="B665" s="57"/>
    </row>
    <row r="666">
      <c r="A666" s="57"/>
      <c r="B666" s="57"/>
    </row>
    <row r="667">
      <c r="A667" s="57"/>
      <c r="B667" s="57"/>
    </row>
    <row r="668">
      <c r="A668" s="57"/>
      <c r="B668" s="57"/>
    </row>
    <row r="669">
      <c r="A669" s="57"/>
      <c r="B669" s="57"/>
    </row>
    <row r="670">
      <c r="A670" s="57"/>
      <c r="B670" s="57"/>
    </row>
    <row r="671">
      <c r="A671" s="57"/>
      <c r="B671" s="57"/>
    </row>
    <row r="672">
      <c r="A672" s="57"/>
      <c r="B672" s="57"/>
    </row>
    <row r="673">
      <c r="A673" s="57"/>
      <c r="B673" s="57"/>
    </row>
    <row r="674">
      <c r="A674" s="57"/>
      <c r="B674" s="57"/>
    </row>
    <row r="675">
      <c r="A675" s="57"/>
      <c r="B675" s="57"/>
    </row>
    <row r="676">
      <c r="A676" s="57"/>
      <c r="B676" s="57"/>
    </row>
    <row r="677">
      <c r="A677" s="57"/>
      <c r="B677" s="57"/>
    </row>
    <row r="678">
      <c r="A678" s="57"/>
      <c r="B678" s="57"/>
    </row>
    <row r="679">
      <c r="A679" s="57"/>
      <c r="B679" s="57"/>
    </row>
    <row r="680">
      <c r="A680" s="57"/>
      <c r="B680" s="57"/>
    </row>
    <row r="681">
      <c r="A681" s="57"/>
      <c r="B681" s="57"/>
    </row>
    <row r="682">
      <c r="A682" s="57"/>
      <c r="B682" s="57"/>
    </row>
    <row r="683">
      <c r="A683" s="57"/>
      <c r="B683" s="57"/>
    </row>
    <row r="684">
      <c r="A684" s="57"/>
      <c r="B684" s="57"/>
    </row>
    <row r="685">
      <c r="A685" s="57"/>
      <c r="B685" s="57"/>
    </row>
    <row r="686">
      <c r="A686" s="57"/>
      <c r="B686" s="57"/>
    </row>
    <row r="687">
      <c r="A687" s="57"/>
      <c r="B687" s="57"/>
    </row>
    <row r="688">
      <c r="A688" s="57"/>
      <c r="B688" s="57"/>
    </row>
    <row r="689">
      <c r="A689" s="57"/>
      <c r="B689" s="57"/>
    </row>
    <row r="690">
      <c r="A690" s="57"/>
      <c r="B690" s="57"/>
    </row>
    <row r="691">
      <c r="A691" s="57"/>
      <c r="B691" s="57"/>
    </row>
    <row r="692">
      <c r="A692" s="57"/>
      <c r="B692" s="57"/>
    </row>
    <row r="693">
      <c r="A693" s="57"/>
      <c r="B693" s="57"/>
    </row>
    <row r="694">
      <c r="A694" s="57"/>
      <c r="B694" s="57"/>
    </row>
    <row r="695">
      <c r="A695" s="57"/>
      <c r="B695" s="57"/>
    </row>
    <row r="696">
      <c r="A696" s="57"/>
      <c r="B696" s="57"/>
    </row>
    <row r="697">
      <c r="A697" s="57"/>
      <c r="B697" s="57"/>
    </row>
    <row r="698">
      <c r="A698" s="57"/>
      <c r="B698" s="57"/>
    </row>
    <row r="699">
      <c r="A699" s="57"/>
      <c r="B699" s="57"/>
    </row>
    <row r="700">
      <c r="A700" s="57"/>
      <c r="B700" s="57"/>
    </row>
    <row r="701">
      <c r="A701" s="57"/>
      <c r="B701" s="57"/>
    </row>
    <row r="702">
      <c r="A702" s="57"/>
      <c r="B702" s="57"/>
    </row>
    <row r="703">
      <c r="A703" s="57"/>
      <c r="B703" s="57"/>
    </row>
    <row r="704">
      <c r="A704" s="57"/>
      <c r="B704" s="57"/>
    </row>
    <row r="705">
      <c r="A705" s="57"/>
      <c r="B705" s="57"/>
    </row>
    <row r="706">
      <c r="A706" s="57"/>
      <c r="B706" s="57"/>
    </row>
    <row r="707">
      <c r="A707" s="57"/>
      <c r="B707" s="57"/>
    </row>
    <row r="708">
      <c r="A708" s="57"/>
      <c r="B708" s="57"/>
    </row>
    <row r="709">
      <c r="A709" s="57"/>
      <c r="B709" s="57"/>
    </row>
    <row r="710">
      <c r="A710" s="57"/>
      <c r="B710" s="57"/>
    </row>
    <row r="711">
      <c r="A711" s="57"/>
      <c r="B711" s="57"/>
    </row>
    <row r="712">
      <c r="A712" s="57"/>
      <c r="B712" s="57"/>
    </row>
    <row r="713">
      <c r="A713" s="57"/>
      <c r="B713" s="57"/>
    </row>
    <row r="714">
      <c r="A714" s="57"/>
      <c r="B714" s="57"/>
    </row>
    <row r="715">
      <c r="A715" s="57"/>
      <c r="B715" s="57"/>
    </row>
    <row r="716">
      <c r="A716" s="57"/>
      <c r="B716" s="57"/>
    </row>
    <row r="717">
      <c r="A717" s="57"/>
      <c r="B717" s="57"/>
    </row>
    <row r="718">
      <c r="A718" s="57"/>
      <c r="B718" s="57"/>
    </row>
    <row r="719">
      <c r="A719" s="57"/>
      <c r="B719" s="57"/>
    </row>
    <row r="720">
      <c r="A720" s="57"/>
      <c r="B720" s="57"/>
    </row>
    <row r="721">
      <c r="A721" s="57"/>
      <c r="B721" s="57"/>
    </row>
    <row r="722">
      <c r="A722" s="57"/>
      <c r="B722" s="57"/>
    </row>
    <row r="723">
      <c r="A723" s="57"/>
      <c r="B723" s="57"/>
    </row>
    <row r="724">
      <c r="A724" s="57"/>
      <c r="B724" s="57"/>
    </row>
    <row r="725">
      <c r="A725" s="57"/>
      <c r="B725" s="57"/>
    </row>
    <row r="726">
      <c r="A726" s="57"/>
      <c r="B726" s="57"/>
    </row>
    <row r="727">
      <c r="A727" s="57"/>
      <c r="B727" s="57"/>
    </row>
    <row r="728">
      <c r="A728" s="57"/>
      <c r="B728" s="57"/>
    </row>
    <row r="729">
      <c r="A729" s="57"/>
      <c r="B729" s="57"/>
    </row>
    <row r="730">
      <c r="A730" s="57"/>
      <c r="B730" s="57"/>
    </row>
    <row r="731">
      <c r="A731" s="57"/>
      <c r="B731" s="57"/>
    </row>
    <row r="732">
      <c r="A732" s="57"/>
      <c r="B732" s="57"/>
    </row>
    <row r="733">
      <c r="A733" s="57"/>
      <c r="B733" s="57"/>
    </row>
    <row r="734">
      <c r="A734" s="57"/>
      <c r="B734" s="57"/>
    </row>
    <row r="735">
      <c r="A735" s="57"/>
      <c r="B735" s="57"/>
    </row>
    <row r="736">
      <c r="A736" s="57"/>
      <c r="B736" s="57"/>
    </row>
    <row r="737">
      <c r="A737" s="57"/>
      <c r="B737" s="57"/>
    </row>
    <row r="738">
      <c r="A738" s="57"/>
      <c r="B738" s="57"/>
    </row>
    <row r="739">
      <c r="A739" s="57"/>
      <c r="B739" s="57"/>
    </row>
    <row r="740">
      <c r="A740" s="57"/>
      <c r="B740" s="57"/>
    </row>
    <row r="741">
      <c r="A741" s="57"/>
      <c r="B741" s="57"/>
    </row>
    <row r="742">
      <c r="A742" s="57"/>
      <c r="B742" s="57"/>
    </row>
    <row r="743">
      <c r="A743" s="57"/>
      <c r="B743" s="57"/>
    </row>
    <row r="744">
      <c r="A744" s="57"/>
      <c r="B744" s="57"/>
    </row>
    <row r="745">
      <c r="A745" s="57"/>
      <c r="B745" s="57"/>
    </row>
    <row r="746">
      <c r="A746" s="57"/>
      <c r="B746" s="57"/>
    </row>
    <row r="747">
      <c r="A747" s="57"/>
      <c r="B747" s="57"/>
    </row>
    <row r="748">
      <c r="A748" s="57"/>
      <c r="B748" s="57"/>
    </row>
    <row r="749">
      <c r="A749" s="57"/>
      <c r="B749" s="57"/>
    </row>
    <row r="750">
      <c r="A750" s="57"/>
      <c r="B750" s="57"/>
    </row>
    <row r="751">
      <c r="A751" s="57"/>
      <c r="B751" s="57"/>
    </row>
    <row r="752">
      <c r="A752" s="57"/>
      <c r="B752" s="57"/>
    </row>
    <row r="753">
      <c r="A753" s="57"/>
      <c r="B753" s="57"/>
    </row>
    <row r="754">
      <c r="A754" s="57"/>
      <c r="B754" s="57"/>
    </row>
    <row r="755">
      <c r="A755" s="57"/>
      <c r="B755" s="57"/>
    </row>
    <row r="756">
      <c r="A756" s="57"/>
      <c r="B756" s="57"/>
    </row>
    <row r="757">
      <c r="A757" s="57"/>
      <c r="B757" s="57"/>
    </row>
    <row r="758">
      <c r="A758" s="57"/>
      <c r="B758" s="57"/>
    </row>
    <row r="759">
      <c r="A759" s="57"/>
      <c r="B759" s="57"/>
    </row>
    <row r="760">
      <c r="A760" s="57"/>
      <c r="B760" s="57"/>
    </row>
    <row r="761">
      <c r="A761" s="57"/>
      <c r="B761" s="57"/>
    </row>
    <row r="762">
      <c r="A762" s="57"/>
      <c r="B762" s="57"/>
    </row>
    <row r="763">
      <c r="A763" s="57"/>
      <c r="B763" s="57"/>
    </row>
    <row r="764">
      <c r="A764" s="57"/>
      <c r="B764" s="57"/>
    </row>
    <row r="765">
      <c r="A765" s="57"/>
      <c r="B765" s="57"/>
    </row>
    <row r="766">
      <c r="A766" s="57"/>
      <c r="B766" s="57"/>
    </row>
    <row r="767">
      <c r="A767" s="57"/>
      <c r="B767" s="57"/>
    </row>
    <row r="768">
      <c r="A768" s="57"/>
      <c r="B768" s="57"/>
    </row>
    <row r="769">
      <c r="A769" s="57"/>
      <c r="B769" s="57"/>
    </row>
    <row r="770">
      <c r="A770" s="57"/>
      <c r="B770" s="57"/>
    </row>
    <row r="771">
      <c r="A771" s="57"/>
      <c r="B771" s="57"/>
    </row>
    <row r="772">
      <c r="A772" s="57"/>
      <c r="B772" s="57"/>
    </row>
    <row r="773">
      <c r="A773" s="57"/>
      <c r="B773" s="57"/>
    </row>
    <row r="774">
      <c r="A774" s="57"/>
      <c r="B774" s="57"/>
    </row>
    <row r="775">
      <c r="A775" s="57"/>
      <c r="B775" s="57"/>
    </row>
    <row r="776">
      <c r="A776" s="57"/>
      <c r="B776" s="57"/>
    </row>
    <row r="777">
      <c r="A777" s="57"/>
      <c r="B777" s="57"/>
    </row>
    <row r="778">
      <c r="A778" s="57"/>
      <c r="B778" s="57"/>
    </row>
    <row r="779">
      <c r="A779" s="57"/>
      <c r="B779" s="57"/>
    </row>
    <row r="780">
      <c r="A780" s="57"/>
      <c r="B780" s="57"/>
    </row>
    <row r="781">
      <c r="A781" s="57"/>
      <c r="B781" s="57"/>
    </row>
    <row r="782">
      <c r="A782" s="57"/>
      <c r="B782" s="57"/>
    </row>
    <row r="783">
      <c r="A783" s="57"/>
      <c r="B783" s="57"/>
    </row>
    <row r="784">
      <c r="A784" s="57"/>
      <c r="B784" s="57"/>
    </row>
    <row r="785">
      <c r="A785" s="57"/>
      <c r="B785" s="57"/>
    </row>
    <row r="786">
      <c r="A786" s="57"/>
      <c r="B786" s="57"/>
    </row>
    <row r="787">
      <c r="A787" s="57"/>
      <c r="B787" s="57"/>
    </row>
    <row r="788">
      <c r="A788" s="57"/>
      <c r="B788" s="57"/>
    </row>
    <row r="789">
      <c r="A789" s="57"/>
      <c r="B789" s="57"/>
    </row>
    <row r="790">
      <c r="A790" s="57"/>
      <c r="B790" s="57"/>
    </row>
    <row r="791">
      <c r="A791" s="57"/>
      <c r="B791" s="57"/>
    </row>
    <row r="792">
      <c r="A792" s="57"/>
      <c r="B792" s="57"/>
    </row>
    <row r="793">
      <c r="A793" s="57"/>
      <c r="B793" s="57"/>
    </row>
    <row r="794">
      <c r="A794" s="57"/>
      <c r="B794" s="57"/>
    </row>
    <row r="795">
      <c r="A795" s="57"/>
      <c r="B795" s="57"/>
    </row>
    <row r="796">
      <c r="A796" s="57"/>
      <c r="B796" s="57"/>
    </row>
    <row r="797">
      <c r="A797" s="57"/>
      <c r="B797" s="57"/>
    </row>
    <row r="798">
      <c r="A798" s="57"/>
      <c r="B798" s="57"/>
    </row>
    <row r="799">
      <c r="A799" s="57"/>
      <c r="B799" s="57"/>
    </row>
    <row r="800">
      <c r="A800" s="57"/>
      <c r="B800" s="57"/>
    </row>
    <row r="801">
      <c r="A801" s="57"/>
      <c r="B801" s="57"/>
    </row>
    <row r="802">
      <c r="A802" s="57"/>
      <c r="B802" s="57"/>
    </row>
    <row r="803">
      <c r="A803" s="57"/>
      <c r="B803" s="57"/>
    </row>
    <row r="804">
      <c r="A804" s="57"/>
      <c r="B804" s="57"/>
    </row>
    <row r="805">
      <c r="A805" s="57"/>
      <c r="B805" s="57"/>
    </row>
    <row r="806">
      <c r="A806" s="57"/>
      <c r="B806" s="57"/>
    </row>
    <row r="807">
      <c r="A807" s="57"/>
      <c r="B807" s="57"/>
    </row>
    <row r="808">
      <c r="A808" s="57"/>
      <c r="B808" s="57"/>
    </row>
    <row r="809">
      <c r="A809" s="57"/>
      <c r="B809" s="57"/>
    </row>
    <row r="810">
      <c r="A810" s="57"/>
      <c r="B810" s="57"/>
    </row>
    <row r="811">
      <c r="A811" s="57"/>
      <c r="B811" s="57"/>
    </row>
    <row r="812">
      <c r="A812" s="57"/>
      <c r="B812" s="57"/>
    </row>
    <row r="813">
      <c r="A813" s="57"/>
      <c r="B813" s="57"/>
    </row>
    <row r="814">
      <c r="A814" s="57"/>
      <c r="B814" s="57"/>
    </row>
    <row r="815">
      <c r="A815" s="57"/>
      <c r="B815" s="57"/>
    </row>
    <row r="816">
      <c r="A816" s="57"/>
      <c r="B816" s="57"/>
    </row>
    <row r="817">
      <c r="A817" s="57"/>
      <c r="B817" s="57"/>
    </row>
    <row r="818">
      <c r="A818" s="57"/>
      <c r="B818" s="57"/>
    </row>
    <row r="819">
      <c r="A819" s="57"/>
      <c r="B819" s="57"/>
    </row>
    <row r="820">
      <c r="A820" s="57"/>
      <c r="B820" s="57"/>
    </row>
    <row r="821">
      <c r="A821" s="57"/>
      <c r="B821" s="57"/>
    </row>
    <row r="822">
      <c r="A822" s="57"/>
      <c r="B822" s="57"/>
    </row>
    <row r="823">
      <c r="A823" s="57"/>
      <c r="B823" s="57"/>
    </row>
    <row r="824">
      <c r="A824" s="57"/>
      <c r="B824" s="57"/>
    </row>
    <row r="825">
      <c r="A825" s="57"/>
      <c r="B825" s="57"/>
    </row>
    <row r="826">
      <c r="A826" s="57"/>
      <c r="B826" s="57"/>
    </row>
    <row r="827">
      <c r="A827" s="57"/>
      <c r="B827" s="57"/>
    </row>
    <row r="828">
      <c r="A828" s="57"/>
      <c r="B828" s="57"/>
    </row>
    <row r="829">
      <c r="A829" s="57"/>
      <c r="B829" s="57"/>
    </row>
    <row r="830">
      <c r="A830" s="57"/>
      <c r="B830" s="57"/>
    </row>
    <row r="831">
      <c r="A831" s="57"/>
      <c r="B831" s="57"/>
    </row>
    <row r="832">
      <c r="A832" s="57"/>
      <c r="B832" s="57"/>
    </row>
    <row r="833">
      <c r="A833" s="57"/>
      <c r="B833" s="57"/>
    </row>
    <row r="834">
      <c r="A834" s="57"/>
      <c r="B834" s="57"/>
    </row>
    <row r="835">
      <c r="A835" s="57"/>
      <c r="B835" s="57"/>
    </row>
    <row r="836">
      <c r="A836" s="57"/>
      <c r="B836" s="57"/>
    </row>
    <row r="837">
      <c r="A837" s="57"/>
      <c r="B837" s="57"/>
    </row>
    <row r="838">
      <c r="A838" s="57"/>
      <c r="B838" s="57"/>
    </row>
    <row r="839">
      <c r="A839" s="57"/>
      <c r="B839" s="57"/>
    </row>
    <row r="840">
      <c r="A840" s="57"/>
      <c r="B840" s="57"/>
    </row>
    <row r="841">
      <c r="A841" s="57"/>
      <c r="B841" s="57"/>
    </row>
    <row r="842">
      <c r="A842" s="57"/>
      <c r="B842" s="57"/>
    </row>
    <row r="843">
      <c r="A843" s="57"/>
      <c r="B843" s="57"/>
    </row>
    <row r="844">
      <c r="A844" s="57"/>
      <c r="B844" s="57"/>
    </row>
    <row r="845">
      <c r="A845" s="57"/>
      <c r="B845" s="57"/>
    </row>
    <row r="846">
      <c r="A846" s="57"/>
      <c r="B846" s="57"/>
    </row>
    <row r="847">
      <c r="A847" s="57"/>
      <c r="B847" s="57"/>
    </row>
    <row r="848">
      <c r="A848" s="57"/>
      <c r="B848" s="57"/>
    </row>
    <row r="849">
      <c r="A849" s="57"/>
      <c r="B849" s="57"/>
    </row>
    <row r="850">
      <c r="A850" s="57"/>
      <c r="B850" s="57"/>
    </row>
    <row r="851">
      <c r="A851" s="57"/>
      <c r="B851" s="57"/>
    </row>
    <row r="852">
      <c r="A852" s="57"/>
      <c r="B852" s="57"/>
    </row>
    <row r="853">
      <c r="A853" s="57"/>
      <c r="B853" s="57"/>
    </row>
    <row r="854">
      <c r="A854" s="57"/>
      <c r="B854" s="57"/>
    </row>
    <row r="855">
      <c r="A855" s="57"/>
      <c r="B855" s="57"/>
    </row>
    <row r="856">
      <c r="A856" s="57"/>
      <c r="B856" s="57"/>
    </row>
    <row r="857">
      <c r="A857" s="57"/>
      <c r="B857" s="57"/>
    </row>
    <row r="858">
      <c r="A858" s="57"/>
      <c r="B858" s="57"/>
    </row>
    <row r="859">
      <c r="A859" s="57"/>
      <c r="B859" s="57"/>
    </row>
    <row r="860">
      <c r="A860" s="57"/>
      <c r="B860" s="57"/>
    </row>
    <row r="861">
      <c r="A861" s="57"/>
      <c r="B861" s="57"/>
    </row>
    <row r="862">
      <c r="A862" s="57"/>
      <c r="B862" s="57"/>
    </row>
    <row r="863">
      <c r="A863" s="57"/>
      <c r="B863" s="57"/>
    </row>
    <row r="864">
      <c r="A864" s="57"/>
      <c r="B864" s="57"/>
    </row>
    <row r="865">
      <c r="A865" s="57"/>
      <c r="B865" s="57"/>
    </row>
    <row r="866">
      <c r="A866" s="57"/>
      <c r="B866" s="57"/>
    </row>
    <row r="867">
      <c r="A867" s="57"/>
      <c r="B867" s="57"/>
    </row>
    <row r="868">
      <c r="A868" s="57"/>
      <c r="B868" s="57"/>
    </row>
    <row r="869">
      <c r="A869" s="57"/>
      <c r="B869" s="57"/>
    </row>
    <row r="870">
      <c r="A870" s="57"/>
      <c r="B870" s="57"/>
    </row>
    <row r="871">
      <c r="A871" s="57"/>
      <c r="B871" s="57"/>
    </row>
    <row r="872">
      <c r="A872" s="57"/>
      <c r="B872" s="57"/>
    </row>
    <row r="873">
      <c r="A873" s="57"/>
      <c r="B873" s="57"/>
    </row>
    <row r="874">
      <c r="A874" s="57"/>
      <c r="B874" s="57"/>
    </row>
    <row r="875">
      <c r="A875" s="57"/>
      <c r="B875" s="57"/>
    </row>
    <row r="876">
      <c r="A876" s="57"/>
      <c r="B876" s="57"/>
    </row>
    <row r="877">
      <c r="A877" s="57"/>
      <c r="B877" s="57"/>
    </row>
    <row r="878">
      <c r="A878" s="57"/>
      <c r="B878" s="57"/>
    </row>
    <row r="879">
      <c r="A879" s="57"/>
      <c r="B879" s="57"/>
    </row>
    <row r="880">
      <c r="A880" s="57"/>
      <c r="B880" s="57"/>
    </row>
    <row r="881">
      <c r="A881" s="57"/>
      <c r="B881" s="57"/>
    </row>
    <row r="882">
      <c r="A882" s="57"/>
      <c r="B882" s="57"/>
    </row>
    <row r="883">
      <c r="A883" s="57"/>
      <c r="B883" s="57"/>
    </row>
    <row r="884">
      <c r="A884" s="57"/>
      <c r="B884" s="57"/>
    </row>
    <row r="885">
      <c r="A885" s="57"/>
      <c r="B885" s="57"/>
    </row>
    <row r="886">
      <c r="A886" s="57"/>
      <c r="B886" s="57"/>
    </row>
    <row r="887">
      <c r="A887" s="57"/>
      <c r="B887" s="57"/>
    </row>
    <row r="888">
      <c r="A888" s="57"/>
      <c r="B888" s="57"/>
    </row>
    <row r="889">
      <c r="A889" s="57"/>
      <c r="B889" s="57"/>
    </row>
    <row r="890">
      <c r="A890" s="57"/>
      <c r="B890" s="57"/>
    </row>
    <row r="891">
      <c r="A891" s="57"/>
      <c r="B891" s="57"/>
    </row>
    <row r="892">
      <c r="A892" s="57"/>
      <c r="B892" s="57"/>
    </row>
    <row r="893">
      <c r="A893" s="57"/>
      <c r="B893" s="57"/>
    </row>
    <row r="894">
      <c r="A894" s="57"/>
      <c r="B894" s="57"/>
    </row>
    <row r="895">
      <c r="A895" s="57"/>
      <c r="B895" s="57"/>
    </row>
    <row r="896">
      <c r="A896" s="57"/>
      <c r="B896" s="57"/>
    </row>
    <row r="897">
      <c r="A897" s="57"/>
      <c r="B897" s="57"/>
    </row>
    <row r="898">
      <c r="A898" s="57"/>
      <c r="B898" s="57"/>
    </row>
    <row r="899">
      <c r="A899" s="57"/>
      <c r="B899" s="57"/>
    </row>
    <row r="900">
      <c r="A900" s="57"/>
      <c r="B900" s="57"/>
    </row>
    <row r="901">
      <c r="A901" s="57"/>
      <c r="B901" s="57"/>
    </row>
    <row r="902">
      <c r="A902" s="57"/>
      <c r="B902" s="57"/>
    </row>
    <row r="903">
      <c r="A903" s="57"/>
      <c r="B903" s="57"/>
    </row>
    <row r="904">
      <c r="A904" s="57"/>
      <c r="B904" s="57"/>
    </row>
    <row r="905">
      <c r="A905" s="57"/>
      <c r="B905" s="57"/>
    </row>
    <row r="906">
      <c r="A906" s="57"/>
      <c r="B906" s="57"/>
    </row>
    <row r="907">
      <c r="A907" s="57"/>
      <c r="B907" s="57"/>
    </row>
    <row r="908">
      <c r="A908" s="57"/>
      <c r="B908" s="57"/>
    </row>
    <row r="909">
      <c r="A909" s="57"/>
      <c r="B909" s="57"/>
    </row>
    <row r="910">
      <c r="A910" s="57"/>
      <c r="B910" s="57"/>
    </row>
    <row r="911">
      <c r="A911" s="57"/>
      <c r="B911" s="57"/>
    </row>
    <row r="912">
      <c r="A912" s="57"/>
      <c r="B912" s="57"/>
    </row>
    <row r="913">
      <c r="A913" s="57"/>
      <c r="B913" s="57"/>
    </row>
    <row r="914">
      <c r="A914" s="57"/>
      <c r="B914" s="57"/>
    </row>
    <row r="915">
      <c r="A915" s="57"/>
      <c r="B915" s="57"/>
    </row>
    <row r="916">
      <c r="A916" s="57"/>
      <c r="B916" s="57"/>
    </row>
    <row r="917">
      <c r="A917" s="57"/>
      <c r="B917" s="57"/>
    </row>
    <row r="918">
      <c r="A918" s="57"/>
      <c r="B918" s="57"/>
    </row>
    <row r="919">
      <c r="A919" s="57"/>
      <c r="B919" s="57"/>
    </row>
    <row r="920">
      <c r="A920" s="57"/>
      <c r="B920" s="57"/>
    </row>
    <row r="921">
      <c r="A921" s="57"/>
      <c r="B921" s="57"/>
    </row>
    <row r="922">
      <c r="A922" s="57"/>
      <c r="B922" s="57"/>
    </row>
    <row r="923">
      <c r="A923" s="57"/>
      <c r="B923" s="57"/>
    </row>
    <row r="924">
      <c r="A924" s="57"/>
      <c r="B924" s="57"/>
    </row>
    <row r="925">
      <c r="A925" s="57"/>
      <c r="B925" s="57"/>
    </row>
    <row r="926">
      <c r="A926" s="57"/>
      <c r="B926" s="57"/>
    </row>
    <row r="927">
      <c r="A927" s="57"/>
      <c r="B927" s="57"/>
    </row>
    <row r="928">
      <c r="A928" s="57"/>
      <c r="B928" s="57"/>
    </row>
    <row r="929">
      <c r="A929" s="57"/>
      <c r="B929" s="57"/>
    </row>
    <row r="930">
      <c r="A930" s="57"/>
      <c r="B930" s="57"/>
    </row>
    <row r="931">
      <c r="A931" s="57"/>
      <c r="B931" s="57"/>
    </row>
    <row r="932">
      <c r="A932" s="57"/>
      <c r="B932" s="57"/>
    </row>
    <row r="933">
      <c r="A933" s="57"/>
      <c r="B933" s="57"/>
    </row>
    <row r="934">
      <c r="A934" s="57"/>
      <c r="B934" s="57"/>
    </row>
    <row r="935">
      <c r="A935" s="57"/>
      <c r="B935" s="57"/>
    </row>
    <row r="936">
      <c r="A936" s="57"/>
      <c r="B936" s="57"/>
    </row>
    <row r="937">
      <c r="A937" s="57"/>
      <c r="B937" s="57"/>
    </row>
    <row r="938">
      <c r="A938" s="57"/>
      <c r="B938" s="57"/>
    </row>
    <row r="939">
      <c r="A939" s="57"/>
      <c r="B939" s="57"/>
    </row>
    <row r="940">
      <c r="A940" s="57"/>
      <c r="B940" s="57"/>
    </row>
    <row r="941">
      <c r="A941" s="57"/>
      <c r="B941" s="57"/>
    </row>
    <row r="942">
      <c r="A942" s="57"/>
      <c r="B942" s="57"/>
    </row>
    <row r="943">
      <c r="A943" s="57"/>
      <c r="B943" s="57"/>
    </row>
    <row r="944">
      <c r="A944" s="57"/>
      <c r="B944" s="57"/>
    </row>
    <row r="945">
      <c r="A945" s="57"/>
      <c r="B945" s="57"/>
    </row>
    <row r="946">
      <c r="A946" s="57"/>
      <c r="B946" s="57"/>
    </row>
    <row r="947">
      <c r="A947" s="57"/>
      <c r="B947" s="57"/>
    </row>
    <row r="948">
      <c r="A948" s="57"/>
      <c r="B948" s="57"/>
    </row>
    <row r="949">
      <c r="A949" s="57"/>
      <c r="B949" s="57"/>
    </row>
    <row r="950">
      <c r="A950" s="57"/>
      <c r="B950" s="57"/>
    </row>
    <row r="951">
      <c r="A951" s="57"/>
      <c r="B951" s="57"/>
    </row>
    <row r="952">
      <c r="A952" s="57"/>
      <c r="B952" s="57"/>
    </row>
    <row r="953">
      <c r="A953" s="57"/>
      <c r="B953" s="57"/>
    </row>
    <row r="954">
      <c r="A954" s="57"/>
      <c r="B954" s="57"/>
    </row>
    <row r="955">
      <c r="A955" s="57"/>
      <c r="B955" s="57"/>
    </row>
    <row r="956">
      <c r="A956" s="57"/>
      <c r="B956" s="57"/>
    </row>
    <row r="957">
      <c r="A957" s="57"/>
      <c r="B957" s="57"/>
    </row>
    <row r="958">
      <c r="A958" s="57"/>
      <c r="B958" s="57"/>
    </row>
    <row r="959">
      <c r="A959" s="57"/>
      <c r="B959" s="57"/>
    </row>
    <row r="960">
      <c r="A960" s="57"/>
      <c r="B960" s="57"/>
    </row>
    <row r="961">
      <c r="A961" s="57"/>
      <c r="B961" s="57"/>
    </row>
    <row r="962">
      <c r="A962" s="57"/>
      <c r="B962" s="57"/>
    </row>
    <row r="963">
      <c r="A963" s="57"/>
      <c r="B963" s="57"/>
    </row>
    <row r="964">
      <c r="A964" s="57"/>
      <c r="B964" s="57"/>
    </row>
    <row r="965">
      <c r="A965" s="57"/>
      <c r="B965" s="57"/>
    </row>
    <row r="966">
      <c r="A966" s="57"/>
      <c r="B966" s="57"/>
    </row>
    <row r="967">
      <c r="A967" s="57"/>
      <c r="B967" s="57"/>
    </row>
    <row r="968">
      <c r="A968" s="57"/>
      <c r="B968" s="57"/>
    </row>
    <row r="969">
      <c r="A969" s="57"/>
      <c r="B969" s="57"/>
    </row>
    <row r="970">
      <c r="A970" s="57"/>
      <c r="B970" s="57"/>
    </row>
    <row r="971">
      <c r="A971" s="57"/>
      <c r="B971" s="57"/>
    </row>
    <row r="972">
      <c r="A972" s="57"/>
      <c r="B972" s="57"/>
    </row>
    <row r="973">
      <c r="A973" s="57"/>
      <c r="B973" s="57"/>
    </row>
    <row r="974">
      <c r="A974" s="57"/>
      <c r="B974" s="57"/>
    </row>
    <row r="975">
      <c r="A975" s="57"/>
      <c r="B975" s="57"/>
    </row>
    <row r="976">
      <c r="A976" s="57"/>
      <c r="B976" s="57"/>
    </row>
    <row r="977">
      <c r="A977" s="57"/>
      <c r="B977" s="57"/>
    </row>
    <row r="978">
      <c r="A978" s="57"/>
      <c r="B978" s="57"/>
    </row>
    <row r="979">
      <c r="A979" s="57"/>
      <c r="B979" s="57"/>
    </row>
    <row r="980">
      <c r="A980" s="57"/>
      <c r="B980" s="57"/>
    </row>
    <row r="981">
      <c r="A981" s="57"/>
      <c r="B981" s="57"/>
    </row>
    <row r="982">
      <c r="A982" s="57"/>
      <c r="B982" s="57"/>
    </row>
    <row r="983">
      <c r="A983" s="57"/>
      <c r="B983" s="57"/>
    </row>
    <row r="984">
      <c r="A984" s="57"/>
      <c r="B984" s="57"/>
    </row>
    <row r="985">
      <c r="A985" s="57"/>
      <c r="B985" s="57"/>
    </row>
    <row r="986">
      <c r="A986" s="57"/>
      <c r="B986" s="57"/>
    </row>
    <row r="987">
      <c r="A987" s="57"/>
      <c r="B987" s="57"/>
    </row>
    <row r="988">
      <c r="A988" s="57"/>
      <c r="B988" s="57"/>
    </row>
    <row r="989">
      <c r="A989" s="57"/>
      <c r="B989" s="57"/>
    </row>
    <row r="990">
      <c r="A990" s="57"/>
      <c r="B990" s="57"/>
    </row>
    <row r="991">
      <c r="A991" s="57"/>
      <c r="B991" s="57"/>
    </row>
    <row r="992">
      <c r="A992" s="57"/>
      <c r="B992" s="57"/>
    </row>
    <row r="993">
      <c r="A993" s="57"/>
      <c r="B993" s="57"/>
    </row>
    <row r="994">
      <c r="A994" s="57"/>
      <c r="B994" s="57"/>
    </row>
    <row r="995">
      <c r="A995" s="57"/>
      <c r="B995" s="57"/>
    </row>
    <row r="996">
      <c r="A996" s="57"/>
      <c r="B996" s="57"/>
    </row>
    <row r="997">
      <c r="A997" s="57"/>
      <c r="B997" s="57"/>
    </row>
    <row r="998">
      <c r="A998" s="57"/>
      <c r="B998" s="57"/>
    </row>
    <row r="999">
      <c r="A999" s="57"/>
      <c r="B999" s="57"/>
    </row>
    <row r="1000">
      <c r="A1000" s="57"/>
      <c r="B1000" s="57"/>
    </row>
    <row r="1001">
      <c r="A1001" s="57"/>
      <c r="B1001" s="57"/>
    </row>
    <row r="1002">
      <c r="A1002" s="57"/>
      <c r="B1002" s="57"/>
    </row>
    <row r="1003">
      <c r="A1003" s="57"/>
      <c r="B1003" s="57"/>
    </row>
    <row r="1004">
      <c r="A1004" s="57"/>
      <c r="B1004" s="57"/>
    </row>
    <row r="1005">
      <c r="A1005" s="57"/>
      <c r="B1005" s="57"/>
    </row>
    <row r="1006">
      <c r="A1006" s="57"/>
      <c r="B1006" s="57"/>
    </row>
    <row r="1007">
      <c r="A1007" s="57"/>
      <c r="B1007" s="57"/>
    </row>
    <row r="1008">
      <c r="A1008" s="57"/>
      <c r="B1008" s="57"/>
    </row>
    <row r="1009">
      <c r="A1009" s="57"/>
      <c r="B1009" s="57"/>
    </row>
    <row r="1010">
      <c r="A1010" s="57"/>
      <c r="B1010" s="57"/>
    </row>
  </sheetData>
  <dataValidations>
    <dataValidation type="list" allowBlank="1" showErrorMessage="1" sqref="C1:I1">
      <formula1>"-------,UX/UI,Backend,Mobile,Frontend,Testing,PM"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63"/>
    <col customWidth="1" min="3" max="3" width="17.5"/>
    <col customWidth="1" min="4" max="4" width="2.13"/>
    <col customWidth="1" min="5" max="5" width="17.5"/>
    <col customWidth="1" min="6" max="6" width="21.38"/>
    <col customWidth="1" min="7" max="7" width="2.13"/>
    <col customWidth="1" min="8" max="8" width="14.75"/>
    <col customWidth="1" min="9" max="9" width="20.75"/>
    <col customWidth="1" min="10" max="10" width="2.25"/>
    <col customWidth="1" min="11" max="11" width="9.75"/>
    <col customWidth="1" min="12" max="12" width="2.63"/>
    <col customWidth="1" min="13" max="13" width="10.5"/>
    <col customWidth="1" min="14" max="14" width="2.38"/>
    <col customWidth="1" min="15" max="15" width="9.75"/>
    <col customWidth="1" min="16" max="16" width="2.38"/>
    <col customWidth="1" min="17" max="17" width="9.75"/>
    <col customWidth="1" min="18" max="18" width="2.38"/>
    <col customWidth="1" min="19" max="19" width="38.0"/>
  </cols>
  <sheetData>
    <row r="1">
      <c r="A1" s="108" t="s">
        <v>193</v>
      </c>
      <c r="B1" s="109" t="s">
        <v>44</v>
      </c>
      <c r="C1" s="109" t="s">
        <v>53</v>
      </c>
      <c r="D1" s="110"/>
      <c r="E1" s="111" t="s">
        <v>194</v>
      </c>
      <c r="F1" s="111" t="s">
        <v>195</v>
      </c>
      <c r="G1" s="110"/>
      <c r="H1" s="111" t="s">
        <v>196</v>
      </c>
      <c r="I1" s="111" t="s">
        <v>197</v>
      </c>
      <c r="J1" s="110"/>
      <c r="K1" s="112" t="s">
        <v>198</v>
      </c>
      <c r="L1" s="110"/>
      <c r="M1" s="113" t="s">
        <v>199</v>
      </c>
      <c r="N1" s="110"/>
      <c r="O1" s="112" t="s">
        <v>200</v>
      </c>
      <c r="P1" s="110"/>
      <c r="Q1" s="114" t="s">
        <v>201</v>
      </c>
      <c r="R1" s="110"/>
      <c r="S1" s="112" t="s">
        <v>72</v>
      </c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</row>
    <row r="2">
      <c r="A2" s="115"/>
      <c r="B2" s="116"/>
      <c r="C2" s="116"/>
      <c r="D2" s="117"/>
      <c r="E2" s="118">
        <f>COUNTIFS('Ведомость 13'!H:H,E1)</f>
        <v>63</v>
      </c>
      <c r="F2" s="118">
        <f>COUNTIFS('Ведомость 13'!H:H,F1)</f>
        <v>4</v>
      </c>
      <c r="G2" s="117"/>
      <c r="H2" s="118">
        <f>COUNTIFS('Ведомость 13'!H:H,H1)</f>
        <v>10</v>
      </c>
      <c r="I2" s="118">
        <f>COUNTIFS('Ведомость 13'!H:H,I1)</f>
        <v>0</v>
      </c>
      <c r="J2" s="117"/>
      <c r="K2" s="119">
        <f>SUM(E2:I2)</f>
        <v>77</v>
      </c>
      <c r="L2" s="117"/>
      <c r="M2" s="119"/>
      <c r="N2" s="117"/>
      <c r="O2" s="116"/>
      <c r="P2" s="117"/>
      <c r="Q2" s="119"/>
      <c r="R2" s="117"/>
      <c r="S2" s="116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</row>
    <row r="3">
      <c r="A3" s="115"/>
      <c r="B3" s="116"/>
      <c r="C3" s="116"/>
      <c r="D3" s="117"/>
      <c r="E3" s="118"/>
      <c r="F3" s="118"/>
      <c r="G3" s="117"/>
      <c r="H3" s="118"/>
      <c r="I3" s="118"/>
      <c r="J3" s="117"/>
      <c r="K3" s="116"/>
      <c r="L3" s="117"/>
      <c r="M3" s="116"/>
      <c r="N3" s="117"/>
      <c r="O3" s="116"/>
      <c r="P3" s="117"/>
      <c r="Q3" s="116"/>
      <c r="R3" s="117"/>
      <c r="S3" s="116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</row>
    <row r="4">
      <c r="A4" s="105" t="s">
        <v>76</v>
      </c>
      <c r="B4" s="120"/>
      <c r="C4" s="120"/>
      <c r="D4" s="117"/>
      <c r="E4" s="121"/>
      <c r="F4" s="121"/>
      <c r="G4" s="117"/>
      <c r="H4" s="121"/>
      <c r="I4" s="121"/>
      <c r="J4" s="117"/>
      <c r="K4" s="120"/>
      <c r="L4" s="117"/>
      <c r="M4" s="120"/>
      <c r="N4" s="117"/>
      <c r="O4" s="120"/>
      <c r="P4" s="117"/>
      <c r="Q4" s="120"/>
      <c r="R4" s="117"/>
      <c r="S4" s="1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</row>
    <row r="5">
      <c r="A5" s="105" t="s">
        <v>82</v>
      </c>
      <c r="B5" s="120"/>
      <c r="C5" s="120"/>
      <c r="D5" s="117"/>
      <c r="E5" s="121"/>
      <c r="F5" s="121"/>
      <c r="G5" s="117"/>
      <c r="H5" s="121"/>
      <c r="I5" s="121"/>
      <c r="J5" s="117"/>
      <c r="K5" s="120"/>
      <c r="L5" s="117"/>
      <c r="M5" s="120"/>
      <c r="N5" s="117"/>
      <c r="O5" s="120"/>
      <c r="P5" s="117"/>
      <c r="Q5" s="120"/>
      <c r="R5" s="117"/>
      <c r="S5" s="120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</row>
    <row r="6">
      <c r="A6" s="105" t="s">
        <v>84</v>
      </c>
      <c r="B6" s="120"/>
      <c r="C6" s="120"/>
      <c r="D6" s="117"/>
      <c r="E6" s="121"/>
      <c r="F6" s="121"/>
      <c r="G6" s="117"/>
      <c r="H6" s="121"/>
      <c r="I6" s="121"/>
      <c r="J6" s="117"/>
      <c r="K6" s="120"/>
      <c r="L6" s="117"/>
      <c r="M6" s="120"/>
      <c r="N6" s="117"/>
      <c r="O6" s="120"/>
      <c r="P6" s="117"/>
      <c r="Q6" s="120"/>
      <c r="R6" s="117"/>
      <c r="S6" s="120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</row>
    <row r="7">
      <c r="A7" s="105" t="s">
        <v>85</v>
      </c>
      <c r="B7" s="120"/>
      <c r="C7" s="120"/>
      <c r="D7" s="117"/>
      <c r="E7" s="121"/>
      <c r="F7" s="121"/>
      <c r="G7" s="117"/>
      <c r="H7" s="121"/>
      <c r="I7" s="121"/>
      <c r="J7" s="117"/>
      <c r="K7" s="120"/>
      <c r="L7" s="117"/>
      <c r="M7" s="120"/>
      <c r="N7" s="117"/>
      <c r="O7" s="120"/>
      <c r="P7" s="117"/>
      <c r="Q7" s="120"/>
      <c r="R7" s="117"/>
      <c r="S7" s="120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</row>
    <row r="8">
      <c r="A8" s="105" t="s">
        <v>87</v>
      </c>
      <c r="B8" s="120"/>
      <c r="C8" s="120"/>
      <c r="D8" s="117"/>
      <c r="E8" s="121"/>
      <c r="F8" s="121"/>
      <c r="G8" s="117"/>
      <c r="H8" s="121"/>
      <c r="I8" s="121"/>
      <c r="J8" s="117"/>
      <c r="K8" s="120"/>
      <c r="L8" s="117"/>
      <c r="M8" s="120"/>
      <c r="N8" s="117"/>
      <c r="O8" s="120"/>
      <c r="P8" s="117"/>
      <c r="Q8" s="120"/>
      <c r="R8" s="117"/>
      <c r="S8" s="120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</row>
    <row r="9">
      <c r="A9" s="105" t="s">
        <v>88</v>
      </c>
      <c r="B9" s="120"/>
      <c r="C9" s="120"/>
      <c r="D9" s="117"/>
      <c r="E9" s="121"/>
      <c r="F9" s="121"/>
      <c r="G9" s="117"/>
      <c r="H9" s="121"/>
      <c r="I9" s="121"/>
      <c r="J9" s="117"/>
      <c r="K9" s="120"/>
      <c r="L9" s="117"/>
      <c r="M9" s="120"/>
      <c r="N9" s="117"/>
      <c r="O9" s="120"/>
      <c r="P9" s="117"/>
      <c r="Q9" s="120"/>
      <c r="R9" s="117"/>
      <c r="S9" s="120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</row>
    <row r="10">
      <c r="A10" s="105" t="s">
        <v>91</v>
      </c>
      <c r="B10" s="120"/>
      <c r="C10" s="120"/>
      <c r="D10" s="117"/>
      <c r="E10" s="121"/>
      <c r="F10" s="121"/>
      <c r="G10" s="117"/>
      <c r="H10" s="121"/>
      <c r="I10" s="121"/>
      <c r="J10" s="117"/>
      <c r="K10" s="120"/>
      <c r="L10" s="117"/>
      <c r="M10" s="120"/>
      <c r="N10" s="117"/>
      <c r="O10" s="120"/>
      <c r="P10" s="117"/>
      <c r="Q10" s="120"/>
      <c r="R10" s="117"/>
      <c r="S10" s="120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</row>
    <row r="11">
      <c r="A11" s="115"/>
      <c r="B11" s="116"/>
      <c r="C11" s="116"/>
      <c r="D11" s="117"/>
      <c r="E11" s="118"/>
      <c r="F11" s="118"/>
      <c r="G11" s="117"/>
      <c r="H11" s="118"/>
      <c r="I11" s="118"/>
      <c r="J11" s="117"/>
      <c r="K11" s="116"/>
      <c r="L11" s="117"/>
      <c r="M11" s="116"/>
      <c r="N11" s="117"/>
      <c r="O11" s="116"/>
      <c r="P11" s="117"/>
      <c r="Q11" s="116"/>
      <c r="R11" s="117"/>
      <c r="S11" s="116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</row>
    <row r="12">
      <c r="A12" s="105" t="s">
        <v>93</v>
      </c>
      <c r="B12" s="120" t="s">
        <v>94</v>
      </c>
      <c r="C12" s="120" t="s">
        <v>95</v>
      </c>
      <c r="D12" s="117"/>
      <c r="E12" s="111">
        <v>16.0</v>
      </c>
      <c r="F12" s="111">
        <v>2.0</v>
      </c>
      <c r="G12" s="117"/>
      <c r="H12" s="121"/>
      <c r="I12" s="121"/>
      <c r="J12" s="117"/>
      <c r="K12" s="122">
        <v>17.0</v>
      </c>
      <c r="L12" s="117"/>
      <c r="M12" s="122">
        <v>15.0</v>
      </c>
      <c r="N12" s="117"/>
      <c r="O12" s="120"/>
      <c r="P12" s="117"/>
      <c r="Q12" s="120"/>
      <c r="R12" s="117"/>
      <c r="S12" s="120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</row>
    <row r="13">
      <c r="A13" s="105" t="s">
        <v>98</v>
      </c>
      <c r="B13" s="120" t="s">
        <v>99</v>
      </c>
      <c r="C13" s="120" t="s">
        <v>95</v>
      </c>
      <c r="D13" s="117"/>
      <c r="E13" s="111">
        <v>14.0</v>
      </c>
      <c r="F13" s="121"/>
      <c r="G13" s="117"/>
      <c r="H13" s="111">
        <v>5.0</v>
      </c>
      <c r="I13" s="121"/>
      <c r="J13" s="117"/>
      <c r="K13" s="122">
        <v>19.0</v>
      </c>
      <c r="L13" s="117"/>
      <c r="M13" s="122">
        <v>14.0</v>
      </c>
      <c r="N13" s="117"/>
      <c r="O13" s="120"/>
      <c r="P13" s="117"/>
      <c r="Q13" s="120"/>
      <c r="R13" s="117"/>
      <c r="S13" s="120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</row>
    <row r="14">
      <c r="A14" s="105" t="s">
        <v>101</v>
      </c>
      <c r="B14" s="120" t="s">
        <v>102</v>
      </c>
      <c r="C14" s="120" t="s">
        <v>95</v>
      </c>
      <c r="D14" s="117"/>
      <c r="E14" s="111">
        <v>11.0</v>
      </c>
      <c r="F14" s="111">
        <v>1.0</v>
      </c>
      <c r="G14" s="117"/>
      <c r="H14" s="111">
        <v>4.0</v>
      </c>
      <c r="I14" s="121"/>
      <c r="J14" s="117"/>
      <c r="K14" s="122">
        <v>15.0</v>
      </c>
      <c r="L14" s="117"/>
      <c r="M14" s="122">
        <v>14.0</v>
      </c>
      <c r="N14" s="117"/>
      <c r="O14" s="120"/>
      <c r="P14" s="117"/>
      <c r="Q14" s="120"/>
      <c r="R14" s="117"/>
      <c r="S14" s="120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</row>
    <row r="15">
      <c r="A15" s="105" t="s">
        <v>104</v>
      </c>
      <c r="B15" s="120" t="s">
        <v>105</v>
      </c>
      <c r="C15" s="120" t="s">
        <v>95</v>
      </c>
      <c r="D15" s="117"/>
      <c r="E15" s="111">
        <v>4.0</v>
      </c>
      <c r="F15" s="111">
        <v>1.0</v>
      </c>
      <c r="G15" s="117"/>
      <c r="H15" s="111">
        <v>12.0</v>
      </c>
      <c r="I15" s="121"/>
      <c r="J15" s="117"/>
      <c r="K15" s="122">
        <v>17.0</v>
      </c>
      <c r="L15" s="117"/>
      <c r="M15" s="122">
        <v>16.0</v>
      </c>
      <c r="N15" s="117"/>
      <c r="O15" s="120"/>
      <c r="P15" s="117"/>
      <c r="Q15" s="120"/>
      <c r="R15" s="117"/>
      <c r="S15" s="120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</row>
    <row r="16">
      <c r="A16" s="105" t="s">
        <v>107</v>
      </c>
      <c r="B16" s="120" t="s">
        <v>108</v>
      </c>
      <c r="C16" s="120" t="s">
        <v>95</v>
      </c>
      <c r="D16" s="117"/>
      <c r="E16" s="111">
        <v>9.0</v>
      </c>
      <c r="F16" s="121"/>
      <c r="G16" s="117"/>
      <c r="H16" s="121"/>
      <c r="I16" s="121"/>
      <c r="J16" s="117"/>
      <c r="K16" s="122">
        <v>9.0</v>
      </c>
      <c r="L16" s="117"/>
      <c r="M16" s="122">
        <v>9.0</v>
      </c>
      <c r="N16" s="117"/>
      <c r="O16" s="120"/>
      <c r="P16" s="117"/>
      <c r="Q16" s="120"/>
      <c r="R16" s="117"/>
      <c r="S16" s="120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</row>
    <row r="17">
      <c r="A17" s="105" t="s">
        <v>109</v>
      </c>
      <c r="B17" s="120" t="s">
        <v>110</v>
      </c>
      <c r="C17" s="120" t="s">
        <v>95</v>
      </c>
      <c r="D17" s="117"/>
      <c r="E17" s="111">
        <v>9.0</v>
      </c>
      <c r="F17" s="121"/>
      <c r="G17" s="117"/>
      <c r="H17" s="111">
        <v>1.0</v>
      </c>
      <c r="I17" s="121"/>
      <c r="J17" s="117"/>
      <c r="K17" s="122">
        <v>10.0</v>
      </c>
      <c r="L17" s="117"/>
      <c r="M17" s="122">
        <v>7.0</v>
      </c>
      <c r="N17" s="117"/>
      <c r="O17" s="120"/>
      <c r="P17" s="117"/>
      <c r="Q17" s="120"/>
      <c r="R17" s="117"/>
      <c r="S17" s="120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</row>
    <row r="18">
      <c r="A18" s="105" t="s">
        <v>111</v>
      </c>
      <c r="B18" s="120" t="s">
        <v>112</v>
      </c>
      <c r="C18" s="120" t="s">
        <v>95</v>
      </c>
      <c r="D18" s="117"/>
      <c r="E18" s="121"/>
      <c r="F18" s="121"/>
      <c r="G18" s="117"/>
      <c r="H18" s="121"/>
      <c r="I18" s="121"/>
      <c r="J18" s="117"/>
      <c r="K18" s="120"/>
      <c r="L18" s="117"/>
      <c r="M18" s="120"/>
      <c r="N18" s="117"/>
      <c r="O18" s="120"/>
      <c r="P18" s="117"/>
      <c r="Q18" s="120"/>
      <c r="R18" s="117"/>
      <c r="S18" s="120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</row>
    <row r="19">
      <c r="A19" s="115"/>
      <c r="B19" s="116"/>
      <c r="C19" s="116"/>
      <c r="D19" s="117"/>
      <c r="E19" s="118"/>
      <c r="F19" s="118"/>
      <c r="G19" s="117"/>
      <c r="H19" s="118"/>
      <c r="I19" s="118"/>
      <c r="J19" s="117"/>
      <c r="K19" s="116"/>
      <c r="L19" s="117"/>
      <c r="M19" s="116"/>
      <c r="N19" s="117"/>
      <c r="O19" s="116"/>
      <c r="P19" s="117"/>
      <c r="Q19" s="116"/>
      <c r="R19" s="117"/>
      <c r="S19" s="116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</row>
    <row r="20">
      <c r="A20" s="105" t="s">
        <v>113</v>
      </c>
      <c r="B20" s="120" t="s">
        <v>114</v>
      </c>
      <c r="C20" s="120" t="s">
        <v>95</v>
      </c>
      <c r="D20" s="117"/>
      <c r="E20" s="111">
        <v>12.0</v>
      </c>
      <c r="F20" s="111" t="s">
        <v>202</v>
      </c>
      <c r="G20" s="117"/>
      <c r="H20" s="111">
        <v>1.0</v>
      </c>
      <c r="I20" s="121"/>
      <c r="J20" s="117"/>
      <c r="K20" s="122">
        <v>13.0</v>
      </c>
      <c r="L20" s="117"/>
      <c r="M20" s="122">
        <v>13.0</v>
      </c>
      <c r="N20" s="117"/>
      <c r="O20" s="122">
        <v>13.0</v>
      </c>
      <c r="P20" s="117"/>
      <c r="Q20" s="120"/>
      <c r="R20" s="117"/>
      <c r="S20" s="120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</row>
    <row r="21">
      <c r="A21" s="105" t="s">
        <v>115</v>
      </c>
      <c r="B21" s="120" t="s">
        <v>116</v>
      </c>
      <c r="C21" s="120" t="s">
        <v>95</v>
      </c>
      <c r="D21" s="117"/>
      <c r="E21" s="111">
        <v>12.0</v>
      </c>
      <c r="F21" s="121"/>
      <c r="G21" s="117"/>
      <c r="H21" s="121"/>
      <c r="I21" s="121"/>
      <c r="J21" s="117"/>
      <c r="K21" s="122">
        <v>12.0</v>
      </c>
      <c r="L21" s="117"/>
      <c r="M21" s="122">
        <v>10.0</v>
      </c>
      <c r="N21" s="117"/>
      <c r="O21" s="120"/>
      <c r="P21" s="117"/>
      <c r="Q21" s="120"/>
      <c r="R21" s="117"/>
      <c r="S21" s="120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</row>
    <row r="22">
      <c r="A22" s="105" t="s">
        <v>118</v>
      </c>
      <c r="B22" s="120" t="s">
        <v>119</v>
      </c>
      <c r="C22" s="120" t="s">
        <v>95</v>
      </c>
      <c r="D22" s="117"/>
      <c r="E22" s="111">
        <v>11.0</v>
      </c>
      <c r="F22" s="121"/>
      <c r="G22" s="117"/>
      <c r="H22" s="111">
        <v>1.0</v>
      </c>
      <c r="I22" s="121"/>
      <c r="J22" s="117"/>
      <c r="K22" s="122">
        <v>12.0</v>
      </c>
      <c r="L22" s="117"/>
      <c r="M22" s="122">
        <v>12.0</v>
      </c>
      <c r="N22" s="117"/>
      <c r="O22" s="120"/>
      <c r="P22" s="117"/>
      <c r="Q22" s="120"/>
      <c r="R22" s="117"/>
      <c r="S22" s="120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</row>
    <row r="23">
      <c r="A23" s="105" t="s">
        <v>120</v>
      </c>
      <c r="B23" s="120" t="s">
        <v>121</v>
      </c>
      <c r="C23" s="120" t="s">
        <v>95</v>
      </c>
      <c r="D23" s="117"/>
      <c r="E23" s="111">
        <v>19.0</v>
      </c>
      <c r="F23" s="111">
        <v>1.0</v>
      </c>
      <c r="G23" s="117"/>
      <c r="H23" s="111">
        <v>3.0</v>
      </c>
      <c r="I23" s="121"/>
      <c r="J23" s="117"/>
      <c r="K23" s="122">
        <v>22.0</v>
      </c>
      <c r="L23" s="117"/>
      <c r="M23" s="122">
        <v>20.0</v>
      </c>
      <c r="N23" s="117"/>
      <c r="O23" s="120"/>
      <c r="P23" s="117"/>
      <c r="Q23" s="120"/>
      <c r="R23" s="117"/>
      <c r="S23" s="120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</row>
    <row r="24">
      <c r="A24" s="105" t="s">
        <v>122</v>
      </c>
      <c r="B24" s="120" t="s">
        <v>123</v>
      </c>
      <c r="C24" s="120" t="s">
        <v>124</v>
      </c>
      <c r="D24" s="117"/>
      <c r="E24" s="111">
        <v>6.0</v>
      </c>
      <c r="F24" s="121"/>
      <c r="G24" s="117"/>
      <c r="H24" s="121"/>
      <c r="I24" s="121"/>
      <c r="J24" s="117"/>
      <c r="K24" s="122">
        <v>6.0</v>
      </c>
      <c r="L24" s="117"/>
      <c r="M24" s="122">
        <v>6.0</v>
      </c>
      <c r="N24" s="117"/>
      <c r="O24" s="120"/>
      <c r="P24" s="117"/>
      <c r="Q24" s="120"/>
      <c r="R24" s="117"/>
      <c r="S24" s="120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</row>
    <row r="25">
      <c r="A25" s="115"/>
      <c r="B25" s="116"/>
      <c r="C25" s="116"/>
      <c r="D25" s="117"/>
      <c r="E25" s="118"/>
      <c r="F25" s="118"/>
      <c r="G25" s="117"/>
      <c r="H25" s="118"/>
      <c r="I25" s="118"/>
      <c r="J25" s="117"/>
      <c r="K25" s="116"/>
      <c r="L25" s="117"/>
      <c r="M25" s="116"/>
      <c r="N25" s="117"/>
      <c r="O25" s="116"/>
      <c r="P25" s="117"/>
      <c r="Q25" s="116"/>
      <c r="R25" s="117"/>
      <c r="S25" s="116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</row>
    <row r="26">
      <c r="A26" s="105" t="s">
        <v>125</v>
      </c>
      <c r="B26" s="120" t="s">
        <v>16</v>
      </c>
      <c r="C26" s="120" t="s">
        <v>95</v>
      </c>
      <c r="D26" s="117"/>
      <c r="E26" s="111">
        <v>7.0</v>
      </c>
      <c r="F26" s="111" t="s">
        <v>202</v>
      </c>
      <c r="G26" s="117"/>
      <c r="H26" s="111" t="s">
        <v>202</v>
      </c>
      <c r="I26" s="111" t="s">
        <v>202</v>
      </c>
      <c r="J26" s="117"/>
      <c r="K26" s="122">
        <v>7.0</v>
      </c>
      <c r="L26" s="117"/>
      <c r="M26" s="120"/>
      <c r="N26" s="117"/>
      <c r="O26" s="120"/>
      <c r="P26" s="117"/>
      <c r="Q26" s="120"/>
      <c r="R26" s="117"/>
      <c r="S26" s="120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</row>
    <row r="27">
      <c r="A27" s="105" t="s">
        <v>128</v>
      </c>
      <c r="B27" s="120" t="s">
        <v>129</v>
      </c>
      <c r="C27" s="120" t="s">
        <v>95</v>
      </c>
      <c r="D27" s="117"/>
      <c r="E27" s="111">
        <v>12.0</v>
      </c>
      <c r="F27" s="111">
        <v>1.0</v>
      </c>
      <c r="G27" s="117"/>
      <c r="H27" s="111" t="s">
        <v>202</v>
      </c>
      <c r="I27" s="111" t="s">
        <v>202</v>
      </c>
      <c r="J27" s="117"/>
      <c r="K27" s="122">
        <v>12.0</v>
      </c>
      <c r="L27" s="117"/>
      <c r="M27" s="122">
        <v>10.0</v>
      </c>
      <c r="N27" s="117"/>
      <c r="O27" s="120"/>
      <c r="P27" s="117"/>
      <c r="Q27" s="120"/>
      <c r="R27" s="117"/>
      <c r="S27" s="120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</row>
    <row r="28">
      <c r="A28" s="105" t="s">
        <v>130</v>
      </c>
      <c r="B28" s="120" t="s">
        <v>131</v>
      </c>
      <c r="C28" s="120" t="s">
        <v>95</v>
      </c>
      <c r="D28" s="117"/>
      <c r="E28" s="111">
        <v>13.0</v>
      </c>
      <c r="F28" s="111">
        <v>2.0</v>
      </c>
      <c r="G28" s="117"/>
      <c r="H28" s="111" t="s">
        <v>202</v>
      </c>
      <c r="I28" s="111" t="s">
        <v>202</v>
      </c>
      <c r="J28" s="117"/>
      <c r="K28" s="122">
        <v>13.0</v>
      </c>
      <c r="L28" s="117"/>
      <c r="M28" s="122">
        <v>12.0</v>
      </c>
      <c r="N28" s="117"/>
      <c r="O28" s="120"/>
      <c r="P28" s="117"/>
      <c r="Q28" s="120"/>
      <c r="R28" s="117"/>
      <c r="S28" s="120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</row>
    <row r="29">
      <c r="A29" s="105" t="s">
        <v>132</v>
      </c>
      <c r="B29" s="120" t="s">
        <v>133</v>
      </c>
      <c r="C29" s="120" t="s">
        <v>95</v>
      </c>
      <c r="D29" s="117"/>
      <c r="E29" s="111">
        <v>20.0</v>
      </c>
      <c r="F29" s="111">
        <v>2.0</v>
      </c>
      <c r="G29" s="123"/>
      <c r="H29" s="111" t="s">
        <v>202</v>
      </c>
      <c r="I29" s="111" t="s">
        <v>202</v>
      </c>
      <c r="J29" s="117"/>
      <c r="K29" s="122">
        <v>20.0</v>
      </c>
      <c r="L29" s="117"/>
      <c r="M29" s="120"/>
      <c r="N29" s="117"/>
      <c r="O29" s="120"/>
      <c r="P29" s="117"/>
      <c r="Q29" s="120"/>
      <c r="R29" s="117"/>
      <c r="S29" s="120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</row>
    <row r="30">
      <c r="A30" s="105" t="s">
        <v>135</v>
      </c>
      <c r="B30" s="120" t="s">
        <v>136</v>
      </c>
      <c r="C30" s="120" t="s">
        <v>124</v>
      </c>
      <c r="D30" s="117"/>
      <c r="E30" s="124">
        <v>6.0</v>
      </c>
      <c r="F30" s="125"/>
      <c r="G30" s="117"/>
      <c r="H30" s="125"/>
      <c r="I30" s="125"/>
      <c r="J30" s="117"/>
      <c r="K30" s="122">
        <v>6.0</v>
      </c>
      <c r="L30" s="117"/>
      <c r="M30" s="120"/>
      <c r="N30" s="117"/>
      <c r="O30" s="120"/>
      <c r="P30" s="117"/>
      <c r="Q30" s="120"/>
      <c r="R30" s="117"/>
      <c r="S30" s="120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</row>
    <row r="31">
      <c r="A31" s="115"/>
      <c r="B31" s="116"/>
      <c r="C31" s="116"/>
      <c r="D31" s="117"/>
      <c r="E31" s="118"/>
      <c r="F31" s="118"/>
      <c r="G31" s="117"/>
      <c r="H31" s="118"/>
      <c r="I31" s="118"/>
      <c r="J31" s="117"/>
      <c r="K31" s="116"/>
      <c r="L31" s="117"/>
      <c r="M31" s="116"/>
      <c r="N31" s="117"/>
      <c r="O31" s="116"/>
      <c r="P31" s="117"/>
      <c r="Q31" s="116"/>
      <c r="R31" s="117"/>
      <c r="S31" s="116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</row>
    <row r="32">
      <c r="A32" s="105" t="s">
        <v>147</v>
      </c>
      <c r="B32" s="120" t="s">
        <v>148</v>
      </c>
      <c r="C32" s="120" t="s">
        <v>95</v>
      </c>
      <c r="D32" s="117"/>
      <c r="E32" s="111">
        <v>11.0</v>
      </c>
      <c r="F32" s="111">
        <v>2.0</v>
      </c>
      <c r="G32" s="117"/>
      <c r="H32" s="111" t="s">
        <v>202</v>
      </c>
      <c r="I32" s="111" t="s">
        <v>202</v>
      </c>
      <c r="J32" s="117"/>
      <c r="K32" s="122">
        <v>11.0</v>
      </c>
      <c r="L32" s="117"/>
      <c r="M32" s="120"/>
      <c r="N32" s="117"/>
      <c r="O32" s="120"/>
      <c r="P32" s="117"/>
      <c r="Q32" s="120"/>
      <c r="R32" s="117"/>
      <c r="S32" s="120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</row>
    <row r="33">
      <c r="A33" s="105" t="s">
        <v>149</v>
      </c>
      <c r="B33" s="120" t="s">
        <v>151</v>
      </c>
      <c r="C33" s="120" t="s">
        <v>95</v>
      </c>
      <c r="D33" s="117"/>
      <c r="E33" s="111">
        <v>13.0</v>
      </c>
      <c r="F33" s="111" t="s">
        <v>202</v>
      </c>
      <c r="G33" s="117"/>
      <c r="H33" s="111" t="s">
        <v>202</v>
      </c>
      <c r="I33" s="111" t="s">
        <v>202</v>
      </c>
      <c r="J33" s="117"/>
      <c r="K33" s="122">
        <v>13.0</v>
      </c>
      <c r="L33" s="117"/>
      <c r="M33" s="120"/>
      <c r="N33" s="117"/>
      <c r="O33" s="120"/>
      <c r="P33" s="117"/>
      <c r="Q33" s="120"/>
      <c r="R33" s="117"/>
      <c r="S33" s="120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</row>
    <row r="34">
      <c r="A34" s="105" t="s">
        <v>154</v>
      </c>
      <c r="B34" s="120" t="s">
        <v>155</v>
      </c>
      <c r="C34" s="120" t="s">
        <v>95</v>
      </c>
      <c r="D34" s="117"/>
      <c r="E34" s="111">
        <v>9.0</v>
      </c>
      <c r="F34" s="111">
        <v>1.0</v>
      </c>
      <c r="G34" s="117"/>
      <c r="H34" s="111" t="s">
        <v>202</v>
      </c>
      <c r="I34" s="111" t="s">
        <v>202</v>
      </c>
      <c r="J34" s="117"/>
      <c r="K34" s="122">
        <v>9.0</v>
      </c>
      <c r="L34" s="117"/>
      <c r="M34" s="120"/>
      <c r="N34" s="117"/>
      <c r="O34" s="120"/>
      <c r="P34" s="117"/>
      <c r="Q34" s="120"/>
      <c r="R34" s="117"/>
      <c r="S34" s="120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</row>
    <row r="35">
      <c r="A35" s="105" t="s">
        <v>156</v>
      </c>
      <c r="B35" s="120" t="s">
        <v>157</v>
      </c>
      <c r="C35" s="120" t="s">
        <v>95</v>
      </c>
      <c r="D35" s="117"/>
      <c r="E35" s="111">
        <v>11.0</v>
      </c>
      <c r="F35" s="111">
        <v>2.0</v>
      </c>
      <c r="G35" s="117"/>
      <c r="H35" s="111" t="s">
        <v>202</v>
      </c>
      <c r="I35" s="111" t="s">
        <v>202</v>
      </c>
      <c r="J35" s="117"/>
      <c r="K35" s="122">
        <v>11.0</v>
      </c>
      <c r="L35" s="117"/>
      <c r="M35" s="120"/>
      <c r="N35" s="117"/>
      <c r="O35" s="120"/>
      <c r="P35" s="117"/>
      <c r="Q35" s="120"/>
      <c r="R35" s="117"/>
      <c r="S35" s="120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</row>
    <row r="36">
      <c r="A36" s="105" t="s">
        <v>159</v>
      </c>
      <c r="B36" s="120" t="s">
        <v>160</v>
      </c>
      <c r="C36" s="120" t="s">
        <v>95</v>
      </c>
      <c r="D36" s="117"/>
      <c r="E36" s="124">
        <v>12.0</v>
      </c>
      <c r="F36" s="125"/>
      <c r="G36" s="117"/>
      <c r="H36" s="125"/>
      <c r="I36" s="125"/>
      <c r="J36" s="117"/>
      <c r="K36" s="122">
        <v>12.0</v>
      </c>
      <c r="L36" s="117"/>
      <c r="M36" s="120"/>
      <c r="N36" s="117"/>
      <c r="O36" s="120"/>
      <c r="P36" s="117"/>
      <c r="Q36" s="120"/>
      <c r="R36" s="117"/>
      <c r="S36" s="120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</row>
    <row r="37">
      <c r="A37" s="105" t="s">
        <v>162</v>
      </c>
      <c r="B37" s="120" t="s">
        <v>163</v>
      </c>
      <c r="C37" s="120" t="s">
        <v>95</v>
      </c>
      <c r="D37" s="117"/>
      <c r="E37" s="111">
        <v>11.0</v>
      </c>
      <c r="F37" s="111">
        <v>2.0</v>
      </c>
      <c r="G37" s="117"/>
      <c r="H37" s="111" t="s">
        <v>202</v>
      </c>
      <c r="I37" s="111" t="s">
        <v>202</v>
      </c>
      <c r="J37" s="117"/>
      <c r="K37" s="122">
        <v>11.0</v>
      </c>
      <c r="L37" s="117"/>
      <c r="M37" s="120"/>
      <c r="N37" s="117"/>
      <c r="O37" s="120"/>
      <c r="P37" s="117"/>
      <c r="Q37" s="120"/>
      <c r="R37" s="117"/>
      <c r="S37" s="120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</row>
    <row r="38">
      <c r="A38" s="115"/>
      <c r="B38" s="116"/>
      <c r="C38" s="116"/>
      <c r="D38" s="117"/>
      <c r="E38" s="118"/>
      <c r="F38" s="118"/>
      <c r="G38" s="117"/>
      <c r="H38" s="118"/>
      <c r="I38" s="118"/>
      <c r="J38" s="117"/>
      <c r="K38" s="116"/>
      <c r="L38" s="117"/>
      <c r="M38" s="116"/>
      <c r="N38" s="117"/>
      <c r="O38" s="116"/>
      <c r="P38" s="117"/>
      <c r="Q38" s="116"/>
      <c r="R38" s="117"/>
      <c r="S38" s="116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</row>
    <row r="39">
      <c r="A39" s="126" t="s">
        <v>203</v>
      </c>
      <c r="B39" s="120"/>
      <c r="C39" s="120"/>
      <c r="D39" s="117"/>
      <c r="E39" s="121"/>
      <c r="F39" s="121"/>
      <c r="G39" s="117"/>
      <c r="H39" s="121"/>
      <c r="I39" s="121"/>
      <c r="J39" s="117"/>
      <c r="K39" s="120"/>
      <c r="L39" s="117"/>
      <c r="M39" s="120"/>
      <c r="N39" s="117"/>
      <c r="O39" s="120"/>
      <c r="P39" s="117"/>
      <c r="Q39" s="120"/>
      <c r="R39" s="117"/>
      <c r="S39" s="120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</row>
    <row r="40">
      <c r="A40" s="126" t="s">
        <v>204</v>
      </c>
      <c r="B40" s="120"/>
      <c r="C40" s="120"/>
      <c r="D40" s="117"/>
      <c r="E40" s="121"/>
      <c r="F40" s="121"/>
      <c r="G40" s="117"/>
      <c r="H40" s="121"/>
      <c r="I40" s="121"/>
      <c r="J40" s="117"/>
      <c r="K40" s="120"/>
      <c r="L40" s="117"/>
      <c r="M40" s="120"/>
      <c r="N40" s="117"/>
      <c r="O40" s="120"/>
      <c r="P40" s="117"/>
      <c r="Q40" s="120"/>
      <c r="R40" s="117"/>
      <c r="S40" s="120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</row>
    <row r="41">
      <c r="A41" s="126" t="s">
        <v>205</v>
      </c>
      <c r="B41" s="120"/>
      <c r="C41" s="120"/>
      <c r="D41" s="117"/>
      <c r="E41" s="121"/>
      <c r="F41" s="121"/>
      <c r="G41" s="117"/>
      <c r="H41" s="121"/>
      <c r="I41" s="121"/>
      <c r="J41" s="117"/>
      <c r="K41" s="120"/>
      <c r="L41" s="117"/>
      <c r="M41" s="120"/>
      <c r="N41" s="117"/>
      <c r="O41" s="120"/>
      <c r="P41" s="117"/>
      <c r="Q41" s="120"/>
      <c r="R41" s="117"/>
      <c r="S41" s="120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</row>
    <row r="42">
      <c r="A42" s="126" t="s">
        <v>206</v>
      </c>
      <c r="B42" s="120"/>
      <c r="C42" s="120"/>
      <c r="D42" s="117"/>
      <c r="E42" s="121"/>
      <c r="F42" s="121"/>
      <c r="G42" s="117"/>
      <c r="H42" s="121"/>
      <c r="I42" s="121"/>
      <c r="J42" s="117"/>
      <c r="K42" s="120"/>
      <c r="L42" s="117"/>
      <c r="M42" s="120"/>
      <c r="N42" s="117"/>
      <c r="O42" s="120"/>
      <c r="P42" s="117"/>
      <c r="Q42" s="120"/>
      <c r="R42" s="117"/>
      <c r="S42" s="120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</row>
    <row r="43">
      <c r="A43" s="126" t="s">
        <v>207</v>
      </c>
      <c r="B43" s="120"/>
      <c r="C43" s="120"/>
      <c r="D43" s="117"/>
      <c r="E43" s="121"/>
      <c r="F43" s="121"/>
      <c r="G43" s="117"/>
      <c r="H43" s="121"/>
      <c r="I43" s="121"/>
      <c r="J43" s="117"/>
      <c r="K43" s="120"/>
      <c r="L43" s="117"/>
      <c r="M43" s="120"/>
      <c r="N43" s="117"/>
      <c r="O43" s="120"/>
      <c r="P43" s="117"/>
      <c r="Q43" s="120"/>
      <c r="R43" s="117"/>
      <c r="S43" s="120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</row>
    <row r="44">
      <c r="A44" s="126" t="s">
        <v>208</v>
      </c>
      <c r="B44" s="120"/>
      <c r="C44" s="120"/>
      <c r="D44" s="117"/>
      <c r="E44" s="121"/>
      <c r="F44" s="121"/>
      <c r="G44" s="117"/>
      <c r="H44" s="121"/>
      <c r="I44" s="121"/>
      <c r="J44" s="117"/>
      <c r="K44" s="120"/>
      <c r="L44" s="117"/>
      <c r="M44" s="120"/>
      <c r="N44" s="117"/>
      <c r="O44" s="120"/>
      <c r="P44" s="117"/>
      <c r="Q44" s="120"/>
      <c r="R44" s="117"/>
      <c r="S44" s="120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</row>
    <row r="45">
      <c r="A45" s="126" t="s">
        <v>209</v>
      </c>
      <c r="B45" s="120"/>
      <c r="C45" s="120"/>
      <c r="D45" s="117"/>
      <c r="E45" s="121"/>
      <c r="F45" s="121"/>
      <c r="G45" s="117"/>
      <c r="H45" s="121"/>
      <c r="I45" s="121"/>
      <c r="J45" s="117"/>
      <c r="K45" s="120"/>
      <c r="L45" s="117"/>
      <c r="M45" s="120"/>
      <c r="N45" s="117"/>
      <c r="O45" s="120"/>
      <c r="P45" s="117"/>
      <c r="Q45" s="120"/>
      <c r="R45" s="117"/>
      <c r="S45" s="120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</row>
    <row r="46">
      <c r="A46" s="115"/>
      <c r="B46" s="116"/>
      <c r="C46" s="116"/>
      <c r="D46" s="117"/>
      <c r="E46" s="118"/>
      <c r="F46" s="118"/>
      <c r="G46" s="117"/>
      <c r="H46" s="118"/>
      <c r="I46" s="118"/>
      <c r="J46" s="117"/>
      <c r="K46" s="116"/>
      <c r="L46" s="117"/>
      <c r="M46" s="116"/>
      <c r="N46" s="117"/>
      <c r="O46" s="116"/>
      <c r="P46" s="117"/>
      <c r="Q46" s="116"/>
      <c r="R46" s="117"/>
      <c r="S46" s="116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</row>
    <row r="47">
      <c r="A47" s="126" t="s">
        <v>210</v>
      </c>
      <c r="B47" s="120"/>
      <c r="C47" s="120"/>
      <c r="D47" s="117"/>
      <c r="E47" s="121"/>
      <c r="F47" s="121"/>
      <c r="G47" s="117"/>
      <c r="H47" s="121"/>
      <c r="I47" s="121"/>
      <c r="J47" s="117"/>
      <c r="K47" s="120"/>
      <c r="L47" s="117"/>
      <c r="M47" s="120"/>
      <c r="N47" s="117"/>
      <c r="O47" s="120"/>
      <c r="P47" s="117"/>
      <c r="Q47" s="120"/>
      <c r="R47" s="117"/>
      <c r="S47" s="120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</row>
    <row r="48">
      <c r="A48" s="126" t="s">
        <v>211</v>
      </c>
      <c r="B48" s="120"/>
      <c r="C48" s="120"/>
      <c r="D48" s="117"/>
      <c r="E48" s="121"/>
      <c r="F48" s="121"/>
      <c r="G48" s="117"/>
      <c r="H48" s="121"/>
      <c r="I48" s="121"/>
      <c r="J48" s="117"/>
      <c r="K48" s="120"/>
      <c r="L48" s="117"/>
      <c r="M48" s="120"/>
      <c r="N48" s="117"/>
      <c r="O48" s="120"/>
      <c r="P48" s="117"/>
      <c r="Q48" s="120"/>
      <c r="R48" s="117"/>
      <c r="S48" s="120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</row>
    <row r="49">
      <c r="A49" s="126" t="s">
        <v>212</v>
      </c>
      <c r="B49" s="120"/>
      <c r="C49" s="120"/>
      <c r="D49" s="117"/>
      <c r="E49" s="121"/>
      <c r="F49" s="121"/>
      <c r="G49" s="117"/>
      <c r="H49" s="121"/>
      <c r="I49" s="121"/>
      <c r="J49" s="117"/>
      <c r="K49" s="120"/>
      <c r="L49" s="117"/>
      <c r="M49" s="120"/>
      <c r="N49" s="117"/>
      <c r="O49" s="120"/>
      <c r="P49" s="117"/>
      <c r="Q49" s="120"/>
      <c r="R49" s="117"/>
      <c r="S49" s="120"/>
      <c r="T49" s="117"/>
      <c r="U49" s="117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</row>
    <row r="50">
      <c r="A50" s="126" t="s">
        <v>213</v>
      </c>
      <c r="B50" s="120"/>
      <c r="C50" s="120"/>
      <c r="D50" s="117"/>
      <c r="E50" s="121"/>
      <c r="F50" s="121"/>
      <c r="G50" s="117"/>
      <c r="H50" s="121"/>
      <c r="I50" s="121"/>
      <c r="J50" s="117"/>
      <c r="K50" s="120"/>
      <c r="L50" s="117"/>
      <c r="M50" s="120"/>
      <c r="N50" s="117"/>
      <c r="O50" s="120"/>
      <c r="P50" s="117"/>
      <c r="Q50" s="120"/>
      <c r="R50" s="117"/>
      <c r="S50" s="120"/>
      <c r="T50" s="117"/>
      <c r="U50" s="117"/>
      <c r="V50" s="117"/>
      <c r="W50" s="117"/>
      <c r="X50" s="117"/>
      <c r="Y50" s="117"/>
      <c r="Z50" s="117"/>
      <c r="AA50" s="117"/>
      <c r="AB50" s="117"/>
      <c r="AC50" s="117"/>
      <c r="AD50" s="117"/>
      <c r="AE50" s="117"/>
    </row>
    <row r="51">
      <c r="A51" s="126" t="s">
        <v>214</v>
      </c>
      <c r="B51" s="120"/>
      <c r="C51" s="120"/>
      <c r="D51" s="117"/>
      <c r="E51" s="121"/>
      <c r="F51" s="121"/>
      <c r="G51" s="117"/>
      <c r="H51" s="121"/>
      <c r="I51" s="121"/>
      <c r="J51" s="117"/>
      <c r="K51" s="120"/>
      <c r="L51" s="117"/>
      <c r="M51" s="120"/>
      <c r="N51" s="117"/>
      <c r="O51" s="120"/>
      <c r="P51" s="117"/>
      <c r="Q51" s="120"/>
      <c r="R51" s="117"/>
      <c r="S51" s="120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</row>
    <row r="52">
      <c r="A52" s="126" t="s">
        <v>215</v>
      </c>
      <c r="B52" s="120"/>
      <c r="C52" s="120"/>
      <c r="D52" s="117"/>
      <c r="E52" s="121"/>
      <c r="F52" s="121"/>
      <c r="G52" s="117"/>
      <c r="H52" s="121"/>
      <c r="I52" s="121"/>
      <c r="J52" s="117"/>
      <c r="K52" s="120"/>
      <c r="L52" s="117"/>
      <c r="M52" s="120"/>
      <c r="N52" s="117"/>
      <c r="O52" s="120"/>
      <c r="P52" s="117"/>
      <c r="Q52" s="120"/>
      <c r="R52" s="117"/>
      <c r="S52" s="120"/>
      <c r="T52" s="117"/>
      <c r="U52" s="117"/>
      <c r="V52" s="117"/>
      <c r="W52" s="117"/>
      <c r="X52" s="117"/>
      <c r="Y52" s="117"/>
      <c r="Z52" s="117"/>
      <c r="AA52" s="117"/>
      <c r="AB52" s="117"/>
      <c r="AC52" s="117"/>
      <c r="AD52" s="117"/>
      <c r="AE52" s="117"/>
    </row>
    <row r="53">
      <c r="A53" s="126" t="s">
        <v>216</v>
      </c>
      <c r="B53" s="120"/>
      <c r="C53" s="120"/>
      <c r="D53" s="117"/>
      <c r="E53" s="121"/>
      <c r="F53" s="121"/>
      <c r="G53" s="117"/>
      <c r="H53" s="121"/>
      <c r="I53" s="121"/>
      <c r="J53" s="117"/>
      <c r="K53" s="120"/>
      <c r="L53" s="117"/>
      <c r="M53" s="120"/>
      <c r="N53" s="117"/>
      <c r="O53" s="120"/>
      <c r="P53" s="117"/>
      <c r="Q53" s="120"/>
      <c r="R53" s="117"/>
      <c r="S53" s="120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</row>
    <row r="54">
      <c r="A54" s="115"/>
      <c r="B54" s="116"/>
      <c r="C54" s="116"/>
      <c r="D54" s="117"/>
      <c r="E54" s="118"/>
      <c r="F54" s="118"/>
      <c r="G54" s="117"/>
      <c r="H54" s="118"/>
      <c r="I54" s="118"/>
      <c r="J54" s="117"/>
      <c r="K54" s="116"/>
      <c r="L54" s="117"/>
      <c r="M54" s="116"/>
      <c r="N54" s="117"/>
      <c r="O54" s="116"/>
      <c r="P54" s="117"/>
      <c r="Q54" s="116"/>
      <c r="R54" s="117"/>
      <c r="S54" s="116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</row>
    <row r="55">
      <c r="A55" s="105"/>
      <c r="B55" s="120"/>
      <c r="C55" s="120"/>
      <c r="D55" s="117"/>
      <c r="E55" s="121"/>
      <c r="F55" s="121"/>
      <c r="G55" s="117"/>
      <c r="H55" s="121"/>
      <c r="I55" s="121"/>
      <c r="J55" s="117"/>
      <c r="K55" s="120"/>
      <c r="L55" s="117"/>
      <c r="M55" s="120"/>
      <c r="N55" s="117"/>
      <c r="O55" s="120"/>
      <c r="P55" s="117"/>
      <c r="Q55" s="120"/>
      <c r="R55" s="117"/>
      <c r="S55" s="120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</row>
    <row r="56">
      <c r="A56" s="105"/>
      <c r="B56" s="120"/>
      <c r="C56" s="120"/>
      <c r="D56" s="117"/>
      <c r="E56" s="121"/>
      <c r="F56" s="121"/>
      <c r="G56" s="117"/>
      <c r="H56" s="121"/>
      <c r="I56" s="121"/>
      <c r="J56" s="117"/>
      <c r="K56" s="120"/>
      <c r="L56" s="117"/>
      <c r="M56" s="120"/>
      <c r="N56" s="117"/>
      <c r="O56" s="120"/>
      <c r="P56" s="117"/>
      <c r="Q56" s="120"/>
      <c r="R56" s="117"/>
      <c r="S56" s="120"/>
      <c r="T56" s="117"/>
      <c r="U56" s="117"/>
      <c r="V56" s="117"/>
      <c r="W56" s="117"/>
      <c r="X56" s="117"/>
      <c r="Y56" s="117"/>
      <c r="Z56" s="117"/>
      <c r="AA56" s="117"/>
      <c r="AB56" s="117"/>
      <c r="AC56" s="117"/>
      <c r="AD56" s="117"/>
      <c r="AE56" s="117"/>
    </row>
    <row r="57">
      <c r="A57" s="105"/>
      <c r="B57" s="120"/>
      <c r="C57" s="120"/>
      <c r="D57" s="117"/>
      <c r="E57" s="121"/>
      <c r="F57" s="121"/>
      <c r="G57" s="117"/>
      <c r="H57" s="121"/>
      <c r="I57" s="121"/>
      <c r="J57" s="117"/>
      <c r="K57" s="120"/>
      <c r="L57" s="117"/>
      <c r="M57" s="120"/>
      <c r="N57" s="117"/>
      <c r="O57" s="120"/>
      <c r="P57" s="117"/>
      <c r="Q57" s="120"/>
      <c r="R57" s="117"/>
      <c r="S57" s="120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</row>
    <row r="58">
      <c r="A58" s="105"/>
      <c r="B58" s="120"/>
      <c r="C58" s="120"/>
      <c r="D58" s="117"/>
      <c r="E58" s="121"/>
      <c r="F58" s="121"/>
      <c r="G58" s="117"/>
      <c r="H58" s="121"/>
      <c r="I58" s="121"/>
      <c r="J58" s="117"/>
      <c r="K58" s="120"/>
      <c r="L58" s="117"/>
      <c r="M58" s="120"/>
      <c r="N58" s="117"/>
      <c r="O58" s="120"/>
      <c r="P58" s="117"/>
      <c r="Q58" s="120"/>
      <c r="R58" s="117"/>
      <c r="S58" s="120"/>
      <c r="T58" s="117"/>
      <c r="U58" s="117"/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</row>
    <row r="59">
      <c r="A59" s="105"/>
      <c r="B59" s="120"/>
      <c r="C59" s="120"/>
      <c r="D59" s="117"/>
      <c r="E59" s="121"/>
      <c r="F59" s="121"/>
      <c r="G59" s="117"/>
      <c r="H59" s="121"/>
      <c r="I59" s="121"/>
      <c r="J59" s="117"/>
      <c r="K59" s="120"/>
      <c r="L59" s="117"/>
      <c r="M59" s="120"/>
      <c r="N59" s="117"/>
      <c r="O59" s="120"/>
      <c r="P59" s="117"/>
      <c r="Q59" s="120"/>
      <c r="R59" s="117"/>
      <c r="S59" s="120"/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</row>
    <row r="60">
      <c r="A60" s="105"/>
      <c r="B60" s="120"/>
      <c r="C60" s="120"/>
      <c r="D60" s="117"/>
      <c r="E60" s="121"/>
      <c r="F60" s="121"/>
      <c r="G60" s="117"/>
      <c r="H60" s="121"/>
      <c r="I60" s="121"/>
      <c r="J60" s="117"/>
      <c r="K60" s="120"/>
      <c r="L60" s="117"/>
      <c r="M60" s="120"/>
      <c r="N60" s="117"/>
      <c r="O60" s="120"/>
      <c r="P60" s="117"/>
      <c r="Q60" s="120"/>
      <c r="R60" s="117"/>
      <c r="S60" s="120"/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</row>
    <row r="61">
      <c r="A61" s="105"/>
      <c r="B61" s="120"/>
      <c r="C61" s="120"/>
      <c r="D61" s="117"/>
      <c r="E61" s="121"/>
      <c r="F61" s="121"/>
      <c r="G61" s="117"/>
      <c r="H61" s="121"/>
      <c r="I61" s="121"/>
      <c r="J61" s="117"/>
      <c r="K61" s="120"/>
      <c r="L61" s="117"/>
      <c r="M61" s="120"/>
      <c r="N61" s="117"/>
      <c r="O61" s="120"/>
      <c r="P61" s="117"/>
      <c r="Q61" s="120"/>
      <c r="R61" s="117"/>
      <c r="S61" s="120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</row>
    <row r="62">
      <c r="A62" s="105"/>
      <c r="B62" s="120"/>
      <c r="C62" s="120"/>
      <c r="D62" s="117"/>
      <c r="E62" s="121"/>
      <c r="F62" s="121"/>
      <c r="G62" s="117"/>
      <c r="H62" s="121"/>
      <c r="I62" s="121"/>
      <c r="J62" s="117"/>
      <c r="K62" s="120"/>
      <c r="L62" s="117"/>
      <c r="M62" s="120"/>
      <c r="N62" s="117"/>
      <c r="O62" s="120"/>
      <c r="P62" s="117"/>
      <c r="Q62" s="120"/>
      <c r="R62" s="117"/>
      <c r="S62" s="12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</row>
    <row r="63">
      <c r="A63" s="105"/>
      <c r="B63" s="120"/>
      <c r="C63" s="120"/>
      <c r="D63" s="117"/>
      <c r="E63" s="121"/>
      <c r="F63" s="121"/>
      <c r="G63" s="117"/>
      <c r="H63" s="121"/>
      <c r="I63" s="121"/>
      <c r="J63" s="117"/>
      <c r="K63" s="120"/>
      <c r="L63" s="117"/>
      <c r="M63" s="120"/>
      <c r="N63" s="117"/>
      <c r="O63" s="120"/>
      <c r="P63" s="117"/>
      <c r="Q63" s="120"/>
      <c r="R63" s="117"/>
      <c r="S63" s="12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</row>
    <row r="64">
      <c r="A64" s="105"/>
      <c r="B64" s="120"/>
      <c r="C64" s="120"/>
      <c r="D64" s="117"/>
      <c r="E64" s="121"/>
      <c r="F64" s="121"/>
      <c r="G64" s="117"/>
      <c r="H64" s="121"/>
      <c r="I64" s="121"/>
      <c r="J64" s="117"/>
      <c r="K64" s="120"/>
      <c r="L64" s="117"/>
      <c r="M64" s="120"/>
      <c r="N64" s="117"/>
      <c r="O64" s="120"/>
      <c r="P64" s="117"/>
      <c r="Q64" s="120"/>
      <c r="R64" s="117"/>
      <c r="S64" s="120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</row>
    <row r="65">
      <c r="A65" s="105"/>
      <c r="B65" s="120"/>
      <c r="C65" s="120"/>
      <c r="D65" s="117"/>
      <c r="E65" s="121"/>
      <c r="F65" s="121"/>
      <c r="G65" s="117"/>
      <c r="H65" s="121"/>
      <c r="I65" s="121"/>
      <c r="J65" s="117"/>
      <c r="K65" s="120"/>
      <c r="L65" s="117"/>
      <c r="M65" s="120"/>
      <c r="N65" s="117"/>
      <c r="O65" s="120"/>
      <c r="P65" s="117"/>
      <c r="Q65" s="120"/>
      <c r="R65" s="117"/>
      <c r="S65" s="120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</row>
    <row r="66">
      <c r="A66" s="105"/>
      <c r="B66" s="120"/>
      <c r="C66" s="120"/>
      <c r="D66" s="117"/>
      <c r="E66" s="121"/>
      <c r="F66" s="121"/>
      <c r="G66" s="117"/>
      <c r="H66" s="121"/>
      <c r="I66" s="121"/>
      <c r="J66" s="117"/>
      <c r="K66" s="120"/>
      <c r="L66" s="117"/>
      <c r="M66" s="120"/>
      <c r="N66" s="117"/>
      <c r="O66" s="120"/>
      <c r="P66" s="117"/>
      <c r="Q66" s="120"/>
      <c r="R66" s="117"/>
      <c r="S66" s="120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</row>
    <row r="67">
      <c r="A67" s="105"/>
      <c r="B67" s="120"/>
      <c r="C67" s="120"/>
      <c r="D67" s="117"/>
      <c r="E67" s="121"/>
      <c r="F67" s="121"/>
      <c r="G67" s="117"/>
      <c r="H67" s="121"/>
      <c r="I67" s="121"/>
      <c r="J67" s="117"/>
      <c r="K67" s="120"/>
      <c r="L67" s="117"/>
      <c r="M67" s="120"/>
      <c r="N67" s="117"/>
      <c r="O67" s="120"/>
      <c r="P67" s="117"/>
      <c r="Q67" s="120"/>
      <c r="R67" s="117"/>
      <c r="S67" s="120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</row>
    <row r="68">
      <c r="A68" s="105"/>
      <c r="B68" s="120"/>
      <c r="C68" s="120"/>
      <c r="D68" s="117"/>
      <c r="E68" s="121"/>
      <c r="F68" s="121"/>
      <c r="G68" s="117"/>
      <c r="H68" s="121"/>
      <c r="I68" s="121"/>
      <c r="J68" s="117"/>
      <c r="K68" s="120"/>
      <c r="L68" s="117"/>
      <c r="M68" s="120"/>
      <c r="N68" s="117"/>
      <c r="O68" s="120"/>
      <c r="P68" s="117"/>
      <c r="Q68" s="120"/>
      <c r="R68" s="117"/>
      <c r="S68" s="120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</row>
    <row r="69">
      <c r="A69" s="105"/>
      <c r="B69" s="120"/>
      <c r="C69" s="120"/>
      <c r="D69" s="117"/>
      <c r="E69" s="121"/>
      <c r="F69" s="121"/>
      <c r="G69" s="117"/>
      <c r="H69" s="121"/>
      <c r="I69" s="121"/>
      <c r="J69" s="117"/>
      <c r="K69" s="120"/>
      <c r="L69" s="117"/>
      <c r="M69" s="120"/>
      <c r="N69" s="117"/>
      <c r="O69" s="120"/>
      <c r="P69" s="117"/>
      <c r="Q69" s="120"/>
      <c r="R69" s="117"/>
      <c r="S69" s="120"/>
      <c r="T69" s="117"/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</row>
    <row r="70">
      <c r="A70" s="105"/>
      <c r="B70" s="120"/>
      <c r="C70" s="120"/>
      <c r="D70" s="117"/>
      <c r="E70" s="121"/>
      <c r="F70" s="121"/>
      <c r="G70" s="117"/>
      <c r="H70" s="121"/>
      <c r="I70" s="121"/>
      <c r="J70" s="117"/>
      <c r="K70" s="120"/>
      <c r="L70" s="117"/>
      <c r="M70" s="120"/>
      <c r="N70" s="117"/>
      <c r="O70" s="120"/>
      <c r="P70" s="117"/>
      <c r="Q70" s="120"/>
      <c r="R70" s="117"/>
      <c r="S70" s="120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</row>
    <row r="71">
      <c r="A71" s="105"/>
      <c r="B71" s="120"/>
      <c r="C71" s="120"/>
      <c r="D71" s="117"/>
      <c r="E71" s="121"/>
      <c r="F71" s="121"/>
      <c r="G71" s="117"/>
      <c r="H71" s="121"/>
      <c r="I71" s="121"/>
      <c r="J71" s="117"/>
      <c r="K71" s="120"/>
      <c r="L71" s="117"/>
      <c r="M71" s="120"/>
      <c r="N71" s="117"/>
      <c r="O71" s="120"/>
      <c r="P71" s="117"/>
      <c r="Q71" s="120"/>
      <c r="R71" s="117"/>
      <c r="S71" s="120"/>
      <c r="T71" s="117"/>
      <c r="U71" s="117"/>
      <c r="V71" s="117"/>
      <c r="W71" s="117"/>
      <c r="X71" s="117"/>
      <c r="Y71" s="117"/>
      <c r="Z71" s="117"/>
      <c r="AA71" s="117"/>
      <c r="AB71" s="117"/>
      <c r="AC71" s="117"/>
      <c r="AD71" s="117"/>
      <c r="AE71" s="117"/>
    </row>
    <row r="72">
      <c r="A72" s="105"/>
      <c r="B72" s="120"/>
      <c r="C72" s="120"/>
      <c r="D72" s="117"/>
      <c r="E72" s="121"/>
      <c r="F72" s="121"/>
      <c r="G72" s="117"/>
      <c r="H72" s="121"/>
      <c r="I72" s="121"/>
      <c r="J72" s="117"/>
      <c r="K72" s="120"/>
      <c r="L72" s="117"/>
      <c r="M72" s="120"/>
      <c r="N72" s="117"/>
      <c r="O72" s="120"/>
      <c r="P72" s="117"/>
      <c r="Q72" s="120"/>
      <c r="R72" s="117"/>
      <c r="S72" s="120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</row>
    <row r="73">
      <c r="A73" s="105"/>
      <c r="B73" s="120"/>
      <c r="C73" s="120"/>
      <c r="D73" s="117"/>
      <c r="E73" s="121"/>
      <c r="F73" s="121"/>
      <c r="G73" s="117"/>
      <c r="H73" s="121"/>
      <c r="I73" s="121"/>
      <c r="J73" s="117"/>
      <c r="K73" s="120"/>
      <c r="L73" s="117"/>
      <c r="M73" s="120"/>
      <c r="N73" s="117"/>
      <c r="O73" s="120"/>
      <c r="P73" s="117"/>
      <c r="Q73" s="120"/>
      <c r="R73" s="117"/>
      <c r="S73" s="120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</row>
    <row r="74">
      <c r="A74" s="105"/>
      <c r="B74" s="120"/>
      <c r="C74" s="120"/>
      <c r="D74" s="117"/>
      <c r="E74" s="121"/>
      <c r="F74" s="121"/>
      <c r="G74" s="117"/>
      <c r="H74" s="121"/>
      <c r="I74" s="121"/>
      <c r="J74" s="117"/>
      <c r="K74" s="120"/>
      <c r="L74" s="117"/>
      <c r="M74" s="120"/>
      <c r="N74" s="117"/>
      <c r="O74" s="120"/>
      <c r="P74" s="117"/>
      <c r="Q74" s="120"/>
      <c r="R74" s="117"/>
      <c r="S74" s="120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</row>
    <row r="75">
      <c r="A75" s="105"/>
      <c r="B75" s="120"/>
      <c r="C75" s="120"/>
      <c r="D75" s="117"/>
      <c r="E75" s="121"/>
      <c r="F75" s="121"/>
      <c r="G75" s="117"/>
      <c r="H75" s="121"/>
      <c r="I75" s="121"/>
      <c r="J75" s="117"/>
      <c r="K75" s="120"/>
      <c r="L75" s="117"/>
      <c r="M75" s="120"/>
      <c r="N75" s="117"/>
      <c r="O75" s="120"/>
      <c r="P75" s="117"/>
      <c r="Q75" s="120"/>
      <c r="R75" s="117"/>
      <c r="S75" s="120"/>
      <c r="T75" s="117"/>
      <c r="U75" s="117"/>
      <c r="V75" s="117"/>
      <c r="W75" s="117"/>
      <c r="X75" s="117"/>
      <c r="Y75" s="117"/>
      <c r="Z75" s="117"/>
      <c r="AA75" s="117"/>
      <c r="AB75" s="117"/>
      <c r="AC75" s="117"/>
      <c r="AD75" s="117"/>
      <c r="AE75" s="117"/>
    </row>
    <row r="76">
      <c r="A76" s="105"/>
      <c r="B76" s="120"/>
      <c r="C76" s="120"/>
      <c r="D76" s="117"/>
      <c r="E76" s="121"/>
      <c r="F76" s="121"/>
      <c r="G76" s="117"/>
      <c r="H76" s="121"/>
      <c r="I76" s="121"/>
      <c r="J76" s="117"/>
      <c r="K76" s="120"/>
      <c r="L76" s="117"/>
      <c r="M76" s="120"/>
      <c r="N76" s="117"/>
      <c r="O76" s="120"/>
      <c r="P76" s="117"/>
      <c r="Q76" s="120"/>
      <c r="R76" s="117"/>
      <c r="S76" s="120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</row>
    <row r="77">
      <c r="A77" s="105"/>
      <c r="B77" s="120"/>
      <c r="C77" s="120"/>
      <c r="D77" s="117"/>
      <c r="E77" s="121"/>
      <c r="F77" s="121"/>
      <c r="G77" s="117"/>
      <c r="H77" s="121"/>
      <c r="I77" s="121"/>
      <c r="J77" s="117"/>
      <c r="K77" s="120"/>
      <c r="L77" s="117"/>
      <c r="M77" s="120"/>
      <c r="N77" s="117"/>
      <c r="O77" s="120"/>
      <c r="P77" s="117"/>
      <c r="Q77" s="120"/>
      <c r="R77" s="117"/>
      <c r="S77" s="120"/>
      <c r="T77" s="117"/>
      <c r="U77" s="117"/>
      <c r="V77" s="117"/>
      <c r="W77" s="117"/>
      <c r="X77" s="117"/>
      <c r="Y77" s="117"/>
      <c r="Z77" s="117"/>
      <c r="AA77" s="117"/>
      <c r="AB77" s="117"/>
      <c r="AC77" s="117"/>
      <c r="AD77" s="117"/>
      <c r="AE77" s="117"/>
    </row>
    <row r="78">
      <c r="A78" s="105"/>
      <c r="B78" s="120"/>
      <c r="C78" s="120"/>
      <c r="D78" s="117"/>
      <c r="E78" s="121"/>
      <c r="F78" s="121"/>
      <c r="G78" s="117"/>
      <c r="H78" s="121"/>
      <c r="I78" s="121"/>
      <c r="J78" s="117"/>
      <c r="K78" s="120"/>
      <c r="L78" s="117"/>
      <c r="M78" s="120"/>
      <c r="N78" s="117"/>
      <c r="O78" s="120"/>
      <c r="P78" s="117"/>
      <c r="Q78" s="120"/>
      <c r="R78" s="117"/>
      <c r="S78" s="120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</row>
    <row r="79">
      <c r="A79" s="105"/>
      <c r="B79" s="120"/>
      <c r="C79" s="120"/>
      <c r="D79" s="117"/>
      <c r="E79" s="121"/>
      <c r="F79" s="121"/>
      <c r="G79" s="117"/>
      <c r="H79" s="121"/>
      <c r="I79" s="121"/>
      <c r="J79" s="117"/>
      <c r="K79" s="120"/>
      <c r="L79" s="117"/>
      <c r="M79" s="120"/>
      <c r="N79" s="117"/>
      <c r="O79" s="120"/>
      <c r="P79" s="117"/>
      <c r="Q79" s="120"/>
      <c r="R79" s="117"/>
      <c r="S79" s="120"/>
      <c r="T79" s="117"/>
      <c r="U79" s="117"/>
      <c r="V79" s="117"/>
      <c r="W79" s="117"/>
      <c r="X79" s="117"/>
      <c r="Y79" s="117"/>
      <c r="Z79" s="117"/>
      <c r="AA79" s="117"/>
      <c r="AB79" s="117"/>
      <c r="AC79" s="117"/>
      <c r="AD79" s="117"/>
      <c r="AE79" s="117"/>
    </row>
    <row r="80">
      <c r="A80" s="105"/>
      <c r="B80" s="120"/>
      <c r="C80" s="120"/>
      <c r="D80" s="117"/>
      <c r="E80" s="121"/>
      <c r="F80" s="121"/>
      <c r="G80" s="117"/>
      <c r="H80" s="121"/>
      <c r="I80" s="121"/>
      <c r="J80" s="117"/>
      <c r="K80" s="120"/>
      <c r="L80" s="117"/>
      <c r="M80" s="120"/>
      <c r="N80" s="117"/>
      <c r="O80" s="120"/>
      <c r="P80" s="117"/>
      <c r="Q80" s="120"/>
      <c r="R80" s="117"/>
      <c r="S80" s="120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</row>
    <row r="81">
      <c r="A81" s="105"/>
      <c r="B81" s="120"/>
      <c r="C81" s="120"/>
      <c r="D81" s="117"/>
      <c r="E81" s="121"/>
      <c r="F81" s="121"/>
      <c r="G81" s="117"/>
      <c r="H81" s="121"/>
      <c r="I81" s="121"/>
      <c r="J81" s="117"/>
      <c r="K81" s="120"/>
      <c r="L81" s="117"/>
      <c r="M81" s="120"/>
      <c r="N81" s="117"/>
      <c r="O81" s="120"/>
      <c r="P81" s="117"/>
      <c r="Q81" s="120"/>
      <c r="R81" s="117"/>
      <c r="S81" s="120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</row>
    <row r="82">
      <c r="A82" s="105"/>
      <c r="B82" s="120"/>
      <c r="C82" s="120"/>
      <c r="D82" s="117"/>
      <c r="E82" s="121"/>
      <c r="F82" s="121"/>
      <c r="G82" s="117"/>
      <c r="H82" s="121"/>
      <c r="I82" s="121"/>
      <c r="J82" s="117"/>
      <c r="K82" s="120"/>
      <c r="L82" s="117"/>
      <c r="M82" s="120"/>
      <c r="N82" s="117"/>
      <c r="O82" s="120"/>
      <c r="P82" s="117"/>
      <c r="Q82" s="120"/>
      <c r="R82" s="117"/>
      <c r="S82" s="120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</row>
    <row r="83">
      <c r="A83" s="105"/>
      <c r="B83" s="120"/>
      <c r="C83" s="120"/>
      <c r="D83" s="117"/>
      <c r="E83" s="121"/>
      <c r="F83" s="121"/>
      <c r="G83" s="117"/>
      <c r="H83" s="121"/>
      <c r="I83" s="121"/>
      <c r="J83" s="117"/>
      <c r="K83" s="120"/>
      <c r="L83" s="117"/>
      <c r="M83" s="120"/>
      <c r="N83" s="117"/>
      <c r="O83" s="120"/>
      <c r="P83" s="117"/>
      <c r="Q83" s="120"/>
      <c r="R83" s="117"/>
      <c r="S83" s="120"/>
      <c r="T83" s="117"/>
      <c r="U83" s="117"/>
      <c r="V83" s="117"/>
      <c r="W83" s="117"/>
      <c r="X83" s="117"/>
      <c r="Y83" s="117"/>
      <c r="Z83" s="117"/>
      <c r="AA83" s="117"/>
      <c r="AB83" s="117"/>
      <c r="AC83" s="117"/>
      <c r="AD83" s="117"/>
      <c r="AE83" s="117"/>
    </row>
    <row r="84">
      <c r="A84" s="105"/>
      <c r="B84" s="120"/>
      <c r="C84" s="120"/>
      <c r="D84" s="117"/>
      <c r="E84" s="121"/>
      <c r="F84" s="121"/>
      <c r="G84" s="117"/>
      <c r="H84" s="121"/>
      <c r="I84" s="121"/>
      <c r="J84" s="117"/>
      <c r="K84" s="120"/>
      <c r="L84" s="117"/>
      <c r="M84" s="120"/>
      <c r="N84" s="117"/>
      <c r="O84" s="120"/>
      <c r="P84" s="117"/>
      <c r="Q84" s="120"/>
      <c r="R84" s="117"/>
      <c r="S84" s="120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</row>
    <row r="85">
      <c r="A85" s="105"/>
      <c r="B85" s="120"/>
      <c r="C85" s="120"/>
      <c r="D85" s="117"/>
      <c r="E85" s="121"/>
      <c r="F85" s="121"/>
      <c r="G85" s="117"/>
      <c r="H85" s="121"/>
      <c r="I85" s="121"/>
      <c r="J85" s="117"/>
      <c r="K85" s="120"/>
      <c r="L85" s="117"/>
      <c r="M85" s="120"/>
      <c r="N85" s="117"/>
      <c r="O85" s="120"/>
      <c r="P85" s="117"/>
      <c r="Q85" s="120"/>
      <c r="R85" s="117"/>
      <c r="S85" s="120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</row>
    <row r="86">
      <c r="A86" s="105"/>
      <c r="B86" s="120"/>
      <c r="C86" s="120"/>
      <c r="D86" s="117"/>
      <c r="E86" s="121"/>
      <c r="F86" s="121"/>
      <c r="G86" s="117"/>
      <c r="H86" s="121"/>
      <c r="I86" s="121"/>
      <c r="J86" s="117"/>
      <c r="K86" s="120"/>
      <c r="L86" s="117"/>
      <c r="M86" s="120"/>
      <c r="N86" s="117"/>
      <c r="O86" s="120"/>
      <c r="P86" s="117"/>
      <c r="Q86" s="120"/>
      <c r="R86" s="117"/>
      <c r="S86" s="120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</row>
    <row r="87">
      <c r="A87" s="105"/>
      <c r="B87" s="120"/>
      <c r="C87" s="120"/>
      <c r="D87" s="117"/>
      <c r="E87" s="121"/>
      <c r="F87" s="121"/>
      <c r="G87" s="117"/>
      <c r="H87" s="121"/>
      <c r="I87" s="121"/>
      <c r="J87" s="117"/>
      <c r="K87" s="120"/>
      <c r="L87" s="117"/>
      <c r="M87" s="120"/>
      <c r="N87" s="117"/>
      <c r="O87" s="120"/>
      <c r="P87" s="117"/>
      <c r="Q87" s="120"/>
      <c r="R87" s="117"/>
      <c r="S87" s="120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</row>
    <row r="88">
      <c r="A88" s="105"/>
      <c r="B88" s="120"/>
      <c r="C88" s="120"/>
      <c r="D88" s="117"/>
      <c r="E88" s="121"/>
      <c r="F88" s="121"/>
      <c r="G88" s="117"/>
      <c r="H88" s="121"/>
      <c r="I88" s="121"/>
      <c r="J88" s="117"/>
      <c r="K88" s="120"/>
      <c r="L88" s="117"/>
      <c r="M88" s="120"/>
      <c r="N88" s="117"/>
      <c r="O88" s="120"/>
      <c r="P88" s="117"/>
      <c r="Q88" s="120"/>
      <c r="R88" s="117"/>
      <c r="S88" s="120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</row>
    <row r="89">
      <c r="A89" s="105"/>
      <c r="B89" s="120"/>
      <c r="C89" s="120"/>
      <c r="D89" s="117"/>
      <c r="E89" s="121"/>
      <c r="F89" s="121"/>
      <c r="G89" s="117"/>
      <c r="H89" s="121"/>
      <c r="I89" s="121"/>
      <c r="J89" s="117"/>
      <c r="K89" s="120"/>
      <c r="L89" s="117"/>
      <c r="M89" s="120"/>
      <c r="N89" s="117"/>
      <c r="O89" s="120"/>
      <c r="P89" s="117"/>
      <c r="Q89" s="120"/>
      <c r="R89" s="117"/>
      <c r="S89" s="120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</row>
    <row r="90">
      <c r="A90" s="105"/>
      <c r="B90" s="120"/>
      <c r="C90" s="120"/>
      <c r="D90" s="117"/>
      <c r="E90" s="121"/>
      <c r="F90" s="121"/>
      <c r="G90" s="117"/>
      <c r="H90" s="121"/>
      <c r="I90" s="121"/>
      <c r="J90" s="117"/>
      <c r="K90" s="120"/>
      <c r="L90" s="117"/>
      <c r="M90" s="120"/>
      <c r="N90" s="117"/>
      <c r="O90" s="120"/>
      <c r="P90" s="117"/>
      <c r="Q90" s="120"/>
      <c r="R90" s="117"/>
      <c r="S90" s="120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</row>
    <row r="91">
      <c r="A91" s="105"/>
      <c r="B91" s="120"/>
      <c r="C91" s="120"/>
      <c r="D91" s="117"/>
      <c r="E91" s="121"/>
      <c r="F91" s="121"/>
      <c r="G91" s="117"/>
      <c r="H91" s="121"/>
      <c r="I91" s="121"/>
      <c r="J91" s="117"/>
      <c r="K91" s="120"/>
      <c r="L91" s="117"/>
      <c r="M91" s="120"/>
      <c r="N91" s="117"/>
      <c r="O91" s="120"/>
      <c r="P91" s="117"/>
      <c r="Q91" s="120"/>
      <c r="R91" s="117"/>
      <c r="S91" s="120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</row>
    <row r="92">
      <c r="A92" s="105"/>
      <c r="B92" s="120"/>
      <c r="C92" s="120"/>
      <c r="D92" s="117"/>
      <c r="E92" s="121"/>
      <c r="F92" s="121"/>
      <c r="G92" s="117"/>
      <c r="H92" s="121"/>
      <c r="I92" s="121"/>
      <c r="J92" s="117"/>
      <c r="K92" s="120"/>
      <c r="L92" s="117"/>
      <c r="M92" s="120"/>
      <c r="N92" s="117"/>
      <c r="O92" s="120"/>
      <c r="P92" s="117"/>
      <c r="Q92" s="120"/>
      <c r="R92" s="117"/>
      <c r="S92" s="120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</row>
    <row r="93">
      <c r="A93" s="105"/>
      <c r="B93" s="120"/>
      <c r="C93" s="120"/>
      <c r="D93" s="117"/>
      <c r="E93" s="121"/>
      <c r="F93" s="121"/>
      <c r="G93" s="117"/>
      <c r="H93" s="121"/>
      <c r="I93" s="121"/>
      <c r="J93" s="117"/>
      <c r="K93" s="120"/>
      <c r="L93" s="117"/>
      <c r="M93" s="120"/>
      <c r="N93" s="117"/>
      <c r="O93" s="120"/>
      <c r="P93" s="117"/>
      <c r="Q93" s="120"/>
      <c r="R93" s="117"/>
      <c r="S93" s="120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</row>
    <row r="94">
      <c r="A94" s="105"/>
      <c r="B94" s="120"/>
      <c r="C94" s="120"/>
      <c r="D94" s="117"/>
      <c r="E94" s="121"/>
      <c r="F94" s="121"/>
      <c r="G94" s="117"/>
      <c r="H94" s="121"/>
      <c r="I94" s="121"/>
      <c r="J94" s="117"/>
      <c r="K94" s="120"/>
      <c r="L94" s="117"/>
      <c r="M94" s="120"/>
      <c r="N94" s="117"/>
      <c r="O94" s="120"/>
      <c r="P94" s="117"/>
      <c r="Q94" s="120"/>
      <c r="R94" s="117"/>
      <c r="S94" s="120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</row>
    <row r="95">
      <c r="A95" s="105"/>
      <c r="B95" s="120"/>
      <c r="C95" s="120"/>
      <c r="D95" s="117"/>
      <c r="E95" s="121"/>
      <c r="F95" s="121"/>
      <c r="G95" s="117"/>
      <c r="H95" s="121"/>
      <c r="I95" s="121"/>
      <c r="J95" s="117"/>
      <c r="K95" s="120"/>
      <c r="L95" s="117"/>
      <c r="M95" s="120"/>
      <c r="N95" s="117"/>
      <c r="O95" s="120"/>
      <c r="P95" s="117"/>
      <c r="Q95" s="120"/>
      <c r="R95" s="117"/>
      <c r="S95" s="120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</row>
    <row r="96">
      <c r="A96" s="105"/>
      <c r="B96" s="120"/>
      <c r="C96" s="120"/>
      <c r="D96" s="117"/>
      <c r="E96" s="121"/>
      <c r="F96" s="121"/>
      <c r="G96" s="117"/>
      <c r="H96" s="121"/>
      <c r="I96" s="121"/>
      <c r="J96" s="117"/>
      <c r="K96" s="120"/>
      <c r="L96" s="117"/>
      <c r="M96" s="120"/>
      <c r="N96" s="117"/>
      <c r="O96" s="120"/>
      <c r="P96" s="117"/>
      <c r="Q96" s="120"/>
      <c r="R96" s="117"/>
      <c r="S96" s="120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</row>
    <row r="97">
      <c r="A97" s="105"/>
      <c r="B97" s="120"/>
      <c r="C97" s="120"/>
      <c r="D97" s="117"/>
      <c r="E97" s="121"/>
      <c r="F97" s="121"/>
      <c r="G97" s="117"/>
      <c r="H97" s="121"/>
      <c r="I97" s="121"/>
      <c r="J97" s="117"/>
      <c r="K97" s="120"/>
      <c r="L97" s="117"/>
      <c r="M97" s="120"/>
      <c r="N97" s="117"/>
      <c r="O97" s="120"/>
      <c r="P97" s="117"/>
      <c r="Q97" s="120"/>
      <c r="R97" s="117"/>
      <c r="S97" s="120"/>
      <c r="T97" s="117"/>
      <c r="U97" s="117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</row>
    <row r="98">
      <c r="A98" s="105"/>
      <c r="B98" s="120"/>
      <c r="C98" s="120"/>
      <c r="D98" s="117"/>
      <c r="E98" s="121"/>
      <c r="F98" s="121"/>
      <c r="G98" s="117"/>
      <c r="H98" s="121"/>
      <c r="I98" s="121"/>
      <c r="J98" s="117"/>
      <c r="K98" s="120"/>
      <c r="L98" s="117"/>
      <c r="M98" s="120"/>
      <c r="N98" s="117"/>
      <c r="O98" s="120"/>
      <c r="P98" s="117"/>
      <c r="Q98" s="120"/>
      <c r="R98" s="117"/>
      <c r="S98" s="120"/>
      <c r="T98" s="117"/>
      <c r="U98" s="117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</row>
    <row r="99">
      <c r="A99" s="105"/>
      <c r="B99" s="120"/>
      <c r="C99" s="120"/>
      <c r="D99" s="117"/>
      <c r="E99" s="121"/>
      <c r="F99" s="121"/>
      <c r="G99" s="117"/>
      <c r="H99" s="121"/>
      <c r="I99" s="121"/>
      <c r="J99" s="117"/>
      <c r="K99" s="120"/>
      <c r="L99" s="117"/>
      <c r="M99" s="120"/>
      <c r="N99" s="117"/>
      <c r="O99" s="120"/>
      <c r="P99" s="117"/>
      <c r="Q99" s="120"/>
      <c r="R99" s="117"/>
      <c r="S99" s="120"/>
      <c r="T99" s="117"/>
      <c r="U99" s="117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</row>
    <row r="100">
      <c r="A100" s="105"/>
      <c r="B100" s="120"/>
      <c r="C100" s="120"/>
      <c r="D100" s="117"/>
      <c r="E100" s="121"/>
      <c r="F100" s="121"/>
      <c r="G100" s="117"/>
      <c r="H100" s="121"/>
      <c r="I100" s="121"/>
      <c r="J100" s="117"/>
      <c r="K100" s="120"/>
      <c r="L100" s="117"/>
      <c r="M100" s="120"/>
      <c r="N100" s="117"/>
      <c r="O100" s="120"/>
      <c r="P100" s="117"/>
      <c r="Q100" s="120"/>
      <c r="R100" s="117"/>
      <c r="S100" s="120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</row>
    <row r="101">
      <c r="A101" s="105"/>
      <c r="B101" s="120"/>
      <c r="C101" s="120"/>
      <c r="D101" s="117"/>
      <c r="E101" s="121"/>
      <c r="F101" s="121"/>
      <c r="G101" s="117"/>
      <c r="H101" s="121"/>
      <c r="I101" s="121"/>
      <c r="J101" s="117"/>
      <c r="K101" s="120"/>
      <c r="L101" s="117"/>
      <c r="M101" s="120"/>
      <c r="N101" s="117"/>
      <c r="O101" s="120"/>
      <c r="P101" s="117"/>
      <c r="Q101" s="120"/>
      <c r="R101" s="117"/>
      <c r="S101" s="120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</row>
    <row r="102">
      <c r="A102" s="117"/>
      <c r="B102" s="117"/>
      <c r="C102" s="117"/>
      <c r="D102" s="117"/>
      <c r="E102" s="127"/>
      <c r="F102" s="127"/>
      <c r="G102" s="117"/>
      <c r="H102" s="127"/>
      <c r="I102" s="12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</row>
    <row r="103">
      <c r="A103" s="117"/>
      <c r="B103" s="117"/>
      <c r="C103" s="117"/>
      <c r="D103" s="117"/>
      <c r="E103" s="127"/>
      <c r="F103" s="127"/>
      <c r="G103" s="117"/>
      <c r="H103" s="127"/>
      <c r="I103" s="12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  <c r="AC103" s="117"/>
      <c r="AD103" s="117"/>
      <c r="AE103" s="117"/>
    </row>
    <row r="104">
      <c r="A104" s="117"/>
      <c r="B104" s="117"/>
      <c r="C104" s="117"/>
      <c r="D104" s="117"/>
      <c r="E104" s="127"/>
      <c r="F104" s="127"/>
      <c r="G104" s="117"/>
      <c r="H104" s="127"/>
      <c r="I104" s="12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  <c r="AB104" s="117"/>
      <c r="AC104" s="117"/>
      <c r="AD104" s="117"/>
      <c r="AE104" s="117"/>
    </row>
    <row r="105">
      <c r="A105" s="117"/>
      <c r="B105" s="117"/>
      <c r="C105" s="117"/>
      <c r="D105" s="117"/>
      <c r="E105" s="127"/>
      <c r="F105" s="127"/>
      <c r="G105" s="117"/>
      <c r="H105" s="127"/>
      <c r="I105" s="12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  <c r="AB105" s="117"/>
      <c r="AC105" s="117"/>
      <c r="AD105" s="117"/>
      <c r="AE105" s="117"/>
    </row>
    <row r="106">
      <c r="A106" s="117"/>
      <c r="B106" s="117"/>
      <c r="C106" s="117"/>
      <c r="D106" s="117"/>
      <c r="E106" s="127"/>
      <c r="F106" s="127"/>
      <c r="G106" s="117"/>
      <c r="H106" s="127"/>
      <c r="I106" s="12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  <c r="AC106" s="117"/>
      <c r="AD106" s="117"/>
      <c r="AE106" s="117"/>
    </row>
    <row r="107">
      <c r="A107" s="117"/>
      <c r="B107" s="117"/>
      <c r="C107" s="117"/>
      <c r="D107" s="117"/>
      <c r="E107" s="127"/>
      <c r="F107" s="127"/>
      <c r="G107" s="117"/>
      <c r="H107" s="127"/>
      <c r="I107" s="12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  <c r="AC107" s="117"/>
      <c r="AD107" s="117"/>
      <c r="AE107" s="117"/>
    </row>
    <row r="108">
      <c r="A108" s="117"/>
      <c r="B108" s="117"/>
      <c r="C108" s="117"/>
      <c r="D108" s="117"/>
      <c r="E108" s="127"/>
      <c r="F108" s="127"/>
      <c r="G108" s="117"/>
      <c r="H108" s="127"/>
      <c r="I108" s="12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  <c r="AC108" s="117"/>
      <c r="AD108" s="117"/>
      <c r="AE108" s="117"/>
    </row>
    <row r="109">
      <c r="A109" s="117"/>
      <c r="B109" s="117"/>
      <c r="C109" s="117"/>
      <c r="D109" s="117"/>
      <c r="E109" s="127"/>
      <c r="F109" s="127"/>
      <c r="G109" s="117"/>
      <c r="H109" s="127"/>
      <c r="I109" s="12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7"/>
    </row>
    <row r="110">
      <c r="A110" s="117"/>
      <c r="B110" s="117"/>
      <c r="C110" s="117"/>
      <c r="D110" s="117"/>
      <c r="E110" s="127"/>
      <c r="F110" s="127"/>
      <c r="G110" s="117"/>
      <c r="H110" s="127"/>
      <c r="I110" s="12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117"/>
      <c r="AE110" s="117"/>
    </row>
    <row r="111">
      <c r="A111" s="117"/>
      <c r="B111" s="117"/>
      <c r="C111" s="117"/>
      <c r="D111" s="117"/>
      <c r="E111" s="127"/>
      <c r="F111" s="127"/>
      <c r="G111" s="117"/>
      <c r="H111" s="127"/>
      <c r="I111" s="12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  <c r="AC111" s="117"/>
      <c r="AD111" s="117"/>
      <c r="AE111" s="117"/>
    </row>
    <row r="112">
      <c r="A112" s="117"/>
      <c r="B112" s="117"/>
      <c r="C112" s="117"/>
      <c r="D112" s="117"/>
      <c r="E112" s="127"/>
      <c r="F112" s="127"/>
      <c r="G112" s="117"/>
      <c r="H112" s="127"/>
      <c r="I112" s="12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</row>
    <row r="113">
      <c r="A113" s="117"/>
      <c r="B113" s="117"/>
      <c r="C113" s="117"/>
      <c r="D113" s="117"/>
      <c r="E113" s="127"/>
      <c r="F113" s="127"/>
      <c r="G113" s="117"/>
      <c r="H113" s="127"/>
      <c r="I113" s="12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</row>
    <row r="114">
      <c r="A114" s="117"/>
      <c r="B114" s="117"/>
      <c r="C114" s="117"/>
      <c r="D114" s="117"/>
      <c r="E114" s="127"/>
      <c r="F114" s="127"/>
      <c r="G114" s="117"/>
      <c r="H114" s="127"/>
      <c r="I114" s="12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</row>
    <row r="115">
      <c r="A115" s="117"/>
      <c r="B115" s="117"/>
      <c r="C115" s="117"/>
      <c r="D115" s="117"/>
      <c r="E115" s="127"/>
      <c r="F115" s="127"/>
      <c r="G115" s="117"/>
      <c r="H115" s="127"/>
      <c r="I115" s="12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</row>
    <row r="116">
      <c r="A116" s="117"/>
      <c r="B116" s="117"/>
      <c r="C116" s="117"/>
      <c r="D116" s="117"/>
      <c r="E116" s="127"/>
      <c r="F116" s="127"/>
      <c r="G116" s="117"/>
      <c r="H116" s="127"/>
      <c r="I116" s="12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  <c r="AC116" s="117"/>
      <c r="AD116" s="117"/>
      <c r="AE116" s="117"/>
    </row>
    <row r="117">
      <c r="A117" s="117"/>
      <c r="B117" s="117"/>
      <c r="C117" s="117"/>
      <c r="D117" s="117"/>
      <c r="E117" s="127"/>
      <c r="F117" s="127"/>
      <c r="G117" s="117"/>
      <c r="H117" s="127"/>
      <c r="I117" s="12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</row>
    <row r="118">
      <c r="A118" s="117"/>
      <c r="B118" s="117"/>
      <c r="C118" s="117"/>
      <c r="D118" s="117"/>
      <c r="E118" s="127"/>
      <c r="F118" s="127"/>
      <c r="G118" s="117"/>
      <c r="H118" s="127"/>
      <c r="I118" s="12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  <c r="AB118" s="117"/>
      <c r="AC118" s="117"/>
      <c r="AD118" s="117"/>
      <c r="AE118" s="117"/>
    </row>
    <row r="119">
      <c r="A119" s="117"/>
      <c r="B119" s="117"/>
      <c r="C119" s="117"/>
      <c r="D119" s="117"/>
      <c r="E119" s="127"/>
      <c r="F119" s="127"/>
      <c r="G119" s="117"/>
      <c r="H119" s="127"/>
      <c r="I119" s="12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</row>
    <row r="120">
      <c r="A120" s="117"/>
      <c r="B120" s="117"/>
      <c r="C120" s="117"/>
      <c r="D120" s="117"/>
      <c r="E120" s="127"/>
      <c r="F120" s="127"/>
      <c r="G120" s="117"/>
      <c r="H120" s="127"/>
      <c r="I120" s="12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  <c r="AC120" s="117"/>
      <c r="AD120" s="117"/>
      <c r="AE120" s="117"/>
    </row>
    <row r="121">
      <c r="A121" s="117"/>
      <c r="B121" s="117"/>
      <c r="C121" s="117"/>
      <c r="D121" s="117"/>
      <c r="E121" s="127"/>
      <c r="F121" s="127"/>
      <c r="G121" s="117"/>
      <c r="H121" s="127"/>
      <c r="I121" s="12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  <c r="AB121" s="117"/>
      <c r="AC121" s="117"/>
      <c r="AD121" s="117"/>
      <c r="AE121" s="117"/>
    </row>
    <row r="122">
      <c r="A122" s="117"/>
      <c r="B122" s="117"/>
      <c r="C122" s="117"/>
      <c r="D122" s="117"/>
      <c r="E122" s="127"/>
      <c r="F122" s="127"/>
      <c r="G122" s="117"/>
      <c r="H122" s="127"/>
      <c r="I122" s="12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</row>
    <row r="123">
      <c r="A123" s="117"/>
      <c r="B123" s="117"/>
      <c r="C123" s="117"/>
      <c r="D123" s="117"/>
      <c r="E123" s="127"/>
      <c r="F123" s="127"/>
      <c r="G123" s="117"/>
      <c r="H123" s="127"/>
      <c r="I123" s="12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</row>
    <row r="124">
      <c r="A124" s="117"/>
      <c r="B124" s="117"/>
      <c r="C124" s="117"/>
      <c r="D124" s="117"/>
      <c r="E124" s="127"/>
      <c r="F124" s="127"/>
      <c r="G124" s="117"/>
      <c r="H124" s="127"/>
      <c r="I124" s="12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</row>
    <row r="125">
      <c r="A125" s="117"/>
      <c r="B125" s="117"/>
      <c r="C125" s="117"/>
      <c r="D125" s="117"/>
      <c r="E125" s="127"/>
      <c r="F125" s="127"/>
      <c r="G125" s="117"/>
      <c r="H125" s="127"/>
      <c r="I125" s="12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</row>
    <row r="126">
      <c r="A126" s="117"/>
      <c r="B126" s="117"/>
      <c r="C126" s="117"/>
      <c r="D126" s="117"/>
      <c r="E126" s="127"/>
      <c r="F126" s="127"/>
      <c r="G126" s="117"/>
      <c r="H126" s="127"/>
      <c r="I126" s="12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</row>
    <row r="127">
      <c r="A127" s="117"/>
      <c r="B127" s="117"/>
      <c r="C127" s="117"/>
      <c r="D127" s="117"/>
      <c r="E127" s="127"/>
      <c r="F127" s="127"/>
      <c r="G127" s="117"/>
      <c r="H127" s="127"/>
      <c r="I127" s="12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</row>
    <row r="128">
      <c r="A128" s="117"/>
      <c r="B128" s="117"/>
      <c r="C128" s="117"/>
      <c r="D128" s="117"/>
      <c r="E128" s="127"/>
      <c r="F128" s="127"/>
      <c r="G128" s="117"/>
      <c r="H128" s="127"/>
      <c r="I128" s="12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</row>
    <row r="129">
      <c r="A129" s="117"/>
      <c r="B129" s="117"/>
      <c r="C129" s="117"/>
      <c r="D129" s="117"/>
      <c r="E129" s="127"/>
      <c r="F129" s="127"/>
      <c r="G129" s="117"/>
      <c r="H129" s="127"/>
      <c r="I129" s="12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</row>
    <row r="130">
      <c r="A130" s="117"/>
      <c r="B130" s="117"/>
      <c r="C130" s="117"/>
      <c r="D130" s="117"/>
      <c r="E130" s="127"/>
      <c r="F130" s="127"/>
      <c r="G130" s="117"/>
      <c r="H130" s="127"/>
      <c r="I130" s="12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</row>
    <row r="131">
      <c r="A131" s="117"/>
      <c r="B131" s="117"/>
      <c r="C131" s="117"/>
      <c r="D131" s="117"/>
      <c r="E131" s="127"/>
      <c r="F131" s="127"/>
      <c r="G131" s="117"/>
      <c r="H131" s="127"/>
      <c r="I131" s="12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</row>
    <row r="132">
      <c r="A132" s="117"/>
      <c r="B132" s="117"/>
      <c r="C132" s="117"/>
      <c r="D132" s="117"/>
      <c r="E132" s="127"/>
      <c r="F132" s="127"/>
      <c r="G132" s="117"/>
      <c r="H132" s="127"/>
      <c r="I132" s="12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</row>
    <row r="133">
      <c r="A133" s="117"/>
      <c r="B133" s="117"/>
      <c r="C133" s="117"/>
      <c r="D133" s="117"/>
      <c r="E133" s="127"/>
      <c r="F133" s="127"/>
      <c r="G133" s="117"/>
      <c r="H133" s="127"/>
      <c r="I133" s="12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</row>
    <row r="134">
      <c r="A134" s="117"/>
      <c r="B134" s="117"/>
      <c r="C134" s="117"/>
      <c r="D134" s="117"/>
      <c r="E134" s="127"/>
      <c r="F134" s="127"/>
      <c r="G134" s="117"/>
      <c r="H134" s="127"/>
      <c r="I134" s="12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</row>
    <row r="135">
      <c r="A135" s="117"/>
      <c r="B135" s="117"/>
      <c r="C135" s="117"/>
      <c r="D135" s="117"/>
      <c r="E135" s="127"/>
      <c r="F135" s="127"/>
      <c r="G135" s="117"/>
      <c r="H135" s="127"/>
      <c r="I135" s="12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</row>
    <row r="136">
      <c r="A136" s="117"/>
      <c r="B136" s="117"/>
      <c r="C136" s="117"/>
      <c r="D136" s="117"/>
      <c r="E136" s="127"/>
      <c r="F136" s="127"/>
      <c r="G136" s="117"/>
      <c r="H136" s="127"/>
      <c r="I136" s="12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</row>
    <row r="137">
      <c r="A137" s="117"/>
      <c r="B137" s="117"/>
      <c r="C137" s="117"/>
      <c r="D137" s="117"/>
      <c r="E137" s="127"/>
      <c r="F137" s="127"/>
      <c r="G137" s="117"/>
      <c r="H137" s="127"/>
      <c r="I137" s="12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</row>
    <row r="138">
      <c r="A138" s="117"/>
      <c r="B138" s="117"/>
      <c r="C138" s="117"/>
      <c r="D138" s="117"/>
      <c r="E138" s="127"/>
      <c r="F138" s="127"/>
      <c r="G138" s="117"/>
      <c r="H138" s="127"/>
      <c r="I138" s="12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</row>
    <row r="139">
      <c r="A139" s="117"/>
      <c r="B139" s="117"/>
      <c r="C139" s="117"/>
      <c r="D139" s="117"/>
      <c r="E139" s="127"/>
      <c r="F139" s="127"/>
      <c r="G139" s="117"/>
      <c r="H139" s="127"/>
      <c r="I139" s="12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</row>
    <row r="140">
      <c r="A140" s="117"/>
      <c r="B140" s="117"/>
      <c r="C140" s="117"/>
      <c r="D140" s="117"/>
      <c r="E140" s="127"/>
      <c r="F140" s="127"/>
      <c r="G140" s="117"/>
      <c r="H140" s="127"/>
      <c r="I140" s="12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</row>
    <row r="141">
      <c r="A141" s="117"/>
      <c r="B141" s="117"/>
      <c r="C141" s="117"/>
      <c r="D141" s="117"/>
      <c r="E141" s="127"/>
      <c r="F141" s="127"/>
      <c r="G141" s="117"/>
      <c r="H141" s="127"/>
      <c r="I141" s="12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</row>
    <row r="142">
      <c r="A142" s="117"/>
      <c r="B142" s="117"/>
      <c r="C142" s="117"/>
      <c r="D142" s="117"/>
      <c r="E142" s="127"/>
      <c r="F142" s="127"/>
      <c r="G142" s="117"/>
      <c r="H142" s="127"/>
      <c r="I142" s="12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</row>
    <row r="143">
      <c r="A143" s="117"/>
      <c r="B143" s="117"/>
      <c r="C143" s="117"/>
      <c r="D143" s="117"/>
      <c r="E143" s="127"/>
      <c r="F143" s="127"/>
      <c r="G143" s="117"/>
      <c r="H143" s="127"/>
      <c r="I143" s="12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</row>
    <row r="144">
      <c r="A144" s="117"/>
      <c r="B144" s="117"/>
      <c r="C144" s="117"/>
      <c r="D144" s="117"/>
      <c r="E144" s="127"/>
      <c r="F144" s="127"/>
      <c r="G144" s="117"/>
      <c r="H144" s="127"/>
      <c r="I144" s="12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</row>
    <row r="145">
      <c r="A145" s="117"/>
      <c r="B145" s="117"/>
      <c r="C145" s="117"/>
      <c r="D145" s="117"/>
      <c r="E145" s="127"/>
      <c r="F145" s="127"/>
      <c r="G145" s="117"/>
      <c r="H145" s="127"/>
      <c r="I145" s="12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</row>
    <row r="146">
      <c r="A146" s="117"/>
      <c r="B146" s="117"/>
      <c r="C146" s="117"/>
      <c r="D146" s="117"/>
      <c r="E146" s="127"/>
      <c r="F146" s="127"/>
      <c r="G146" s="117"/>
      <c r="H146" s="127"/>
      <c r="I146" s="12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</row>
    <row r="147">
      <c r="A147" s="117"/>
      <c r="B147" s="117"/>
      <c r="C147" s="117"/>
      <c r="D147" s="117"/>
      <c r="E147" s="127"/>
      <c r="F147" s="127"/>
      <c r="G147" s="117"/>
      <c r="H147" s="127"/>
      <c r="I147" s="12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</row>
    <row r="148">
      <c r="A148" s="117"/>
      <c r="B148" s="117"/>
      <c r="C148" s="117"/>
      <c r="D148" s="117"/>
      <c r="E148" s="127"/>
      <c r="F148" s="127"/>
      <c r="G148" s="117"/>
      <c r="H148" s="127"/>
      <c r="I148" s="12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</row>
    <row r="149">
      <c r="A149" s="117"/>
      <c r="B149" s="117"/>
      <c r="C149" s="117"/>
      <c r="D149" s="117"/>
      <c r="E149" s="127"/>
      <c r="F149" s="127"/>
      <c r="G149" s="117"/>
      <c r="H149" s="127"/>
      <c r="I149" s="12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</row>
    <row r="150">
      <c r="A150" s="117"/>
      <c r="B150" s="117"/>
      <c r="C150" s="117"/>
      <c r="D150" s="117"/>
      <c r="E150" s="127"/>
      <c r="F150" s="127"/>
      <c r="G150" s="117"/>
      <c r="H150" s="127"/>
      <c r="I150" s="12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</row>
    <row r="151">
      <c r="A151" s="117"/>
      <c r="B151" s="117"/>
      <c r="C151" s="117"/>
      <c r="D151" s="117"/>
      <c r="E151" s="127"/>
      <c r="F151" s="127"/>
      <c r="G151" s="117"/>
      <c r="H151" s="127"/>
      <c r="I151" s="12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</row>
    <row r="152">
      <c r="A152" s="117"/>
      <c r="B152" s="117"/>
      <c r="C152" s="117"/>
      <c r="D152" s="117"/>
      <c r="E152" s="127"/>
      <c r="F152" s="127"/>
      <c r="G152" s="117"/>
      <c r="H152" s="127"/>
      <c r="I152" s="12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</row>
    <row r="153">
      <c r="A153" s="117"/>
      <c r="B153" s="117"/>
      <c r="C153" s="117"/>
      <c r="D153" s="117"/>
      <c r="E153" s="127"/>
      <c r="F153" s="127"/>
      <c r="G153" s="117"/>
      <c r="H153" s="127"/>
      <c r="I153" s="12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</row>
    <row r="154">
      <c r="A154" s="117"/>
      <c r="B154" s="117"/>
      <c r="C154" s="117"/>
      <c r="D154" s="117"/>
      <c r="E154" s="127"/>
      <c r="F154" s="127"/>
      <c r="G154" s="117"/>
      <c r="H154" s="127"/>
      <c r="I154" s="12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</row>
    <row r="155">
      <c r="A155" s="117"/>
      <c r="B155" s="117"/>
      <c r="C155" s="117"/>
      <c r="D155" s="117"/>
      <c r="E155" s="127"/>
      <c r="F155" s="127"/>
      <c r="G155" s="117"/>
      <c r="H155" s="127"/>
      <c r="I155" s="12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</row>
    <row r="156">
      <c r="A156" s="117"/>
      <c r="B156" s="117"/>
      <c r="C156" s="117"/>
      <c r="D156" s="117"/>
      <c r="E156" s="127"/>
      <c r="F156" s="127"/>
      <c r="G156" s="117"/>
      <c r="H156" s="127"/>
      <c r="I156" s="12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</row>
    <row r="157">
      <c r="A157" s="117"/>
      <c r="B157" s="117"/>
      <c r="C157" s="117"/>
      <c r="D157" s="117"/>
      <c r="E157" s="127"/>
      <c r="F157" s="127"/>
      <c r="G157" s="117"/>
      <c r="H157" s="127"/>
      <c r="I157" s="12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</row>
    <row r="158">
      <c r="A158" s="117"/>
      <c r="B158" s="117"/>
      <c r="C158" s="117"/>
      <c r="D158" s="117"/>
      <c r="E158" s="127"/>
      <c r="F158" s="127"/>
      <c r="G158" s="117"/>
      <c r="H158" s="127"/>
      <c r="I158" s="12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</row>
    <row r="159">
      <c r="A159" s="117"/>
      <c r="B159" s="117"/>
      <c r="C159" s="117"/>
      <c r="D159" s="117"/>
      <c r="E159" s="127"/>
      <c r="F159" s="127"/>
      <c r="G159" s="117"/>
      <c r="H159" s="127"/>
      <c r="I159" s="12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</row>
    <row r="160">
      <c r="A160" s="117"/>
      <c r="B160" s="117"/>
      <c r="C160" s="117"/>
      <c r="D160" s="117"/>
      <c r="E160" s="127"/>
      <c r="F160" s="127"/>
      <c r="G160" s="117"/>
      <c r="H160" s="127"/>
      <c r="I160" s="12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</row>
    <row r="161">
      <c r="A161" s="117"/>
      <c r="B161" s="117"/>
      <c r="C161" s="117"/>
      <c r="D161" s="117"/>
      <c r="E161" s="127"/>
      <c r="F161" s="127"/>
      <c r="G161" s="117"/>
      <c r="H161" s="127"/>
      <c r="I161" s="12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</row>
    <row r="162">
      <c r="A162" s="117"/>
      <c r="B162" s="117"/>
      <c r="C162" s="117"/>
      <c r="D162" s="117"/>
      <c r="E162" s="127"/>
      <c r="F162" s="127"/>
      <c r="G162" s="117"/>
      <c r="H162" s="127"/>
      <c r="I162" s="12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</row>
    <row r="163">
      <c r="A163" s="117"/>
      <c r="B163" s="117"/>
      <c r="C163" s="117"/>
      <c r="D163" s="117"/>
      <c r="E163" s="127"/>
      <c r="F163" s="127"/>
      <c r="G163" s="117"/>
      <c r="H163" s="127"/>
      <c r="I163" s="12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</row>
    <row r="164">
      <c r="A164" s="117"/>
      <c r="B164" s="117"/>
      <c r="C164" s="117"/>
      <c r="D164" s="117"/>
      <c r="E164" s="127"/>
      <c r="F164" s="127"/>
      <c r="G164" s="117"/>
      <c r="H164" s="127"/>
      <c r="I164" s="12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</row>
    <row r="165">
      <c r="A165" s="117"/>
      <c r="B165" s="117"/>
      <c r="C165" s="117"/>
      <c r="D165" s="117"/>
      <c r="E165" s="127"/>
      <c r="F165" s="127"/>
      <c r="G165" s="117"/>
      <c r="H165" s="127"/>
      <c r="I165" s="12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</row>
    <row r="166">
      <c r="A166" s="117"/>
      <c r="B166" s="117"/>
      <c r="C166" s="117"/>
      <c r="D166" s="117"/>
      <c r="E166" s="127"/>
      <c r="F166" s="127"/>
      <c r="G166" s="117"/>
      <c r="H166" s="127"/>
      <c r="I166" s="12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</row>
    <row r="167">
      <c r="A167" s="117"/>
      <c r="B167" s="117"/>
      <c r="C167" s="117"/>
      <c r="D167" s="117"/>
      <c r="E167" s="127"/>
      <c r="F167" s="127"/>
      <c r="G167" s="117"/>
      <c r="H167" s="127"/>
      <c r="I167" s="12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</row>
    <row r="168">
      <c r="A168" s="117"/>
      <c r="B168" s="117"/>
      <c r="C168" s="117"/>
      <c r="D168" s="117"/>
      <c r="E168" s="127"/>
      <c r="F168" s="127"/>
      <c r="G168" s="117"/>
      <c r="H168" s="127"/>
      <c r="I168" s="12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</row>
    <row r="169">
      <c r="A169" s="117"/>
      <c r="B169" s="117"/>
      <c r="C169" s="117"/>
      <c r="D169" s="117"/>
      <c r="E169" s="127"/>
      <c r="F169" s="127"/>
      <c r="G169" s="117"/>
      <c r="H169" s="127"/>
      <c r="I169" s="12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</row>
    <row r="170">
      <c r="A170" s="117"/>
      <c r="B170" s="117"/>
      <c r="C170" s="117"/>
      <c r="D170" s="117"/>
      <c r="E170" s="127"/>
      <c r="F170" s="127"/>
      <c r="G170" s="117"/>
      <c r="H170" s="127"/>
      <c r="I170" s="12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</row>
    <row r="171">
      <c r="A171" s="117"/>
      <c r="B171" s="117"/>
      <c r="C171" s="117"/>
      <c r="D171" s="117"/>
      <c r="E171" s="127"/>
      <c r="F171" s="127"/>
      <c r="G171" s="117"/>
      <c r="H171" s="127"/>
      <c r="I171" s="12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</row>
    <row r="172">
      <c r="A172" s="117"/>
      <c r="B172" s="117"/>
      <c r="C172" s="117"/>
      <c r="D172" s="117"/>
      <c r="E172" s="127"/>
      <c r="F172" s="127"/>
      <c r="G172" s="117"/>
      <c r="H172" s="127"/>
      <c r="I172" s="12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</row>
    <row r="173">
      <c r="A173" s="117"/>
      <c r="B173" s="117"/>
      <c r="C173" s="117"/>
      <c r="D173" s="117"/>
      <c r="E173" s="127"/>
      <c r="F173" s="127"/>
      <c r="G173" s="117"/>
      <c r="H173" s="127"/>
      <c r="I173" s="12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</row>
    <row r="174">
      <c r="A174" s="117"/>
      <c r="B174" s="117"/>
      <c r="C174" s="117"/>
      <c r="D174" s="117"/>
      <c r="E174" s="127"/>
      <c r="F174" s="127"/>
      <c r="G174" s="117"/>
      <c r="H174" s="127"/>
      <c r="I174" s="12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</row>
    <row r="175">
      <c r="A175" s="117"/>
      <c r="B175" s="117"/>
      <c r="C175" s="117"/>
      <c r="D175" s="117"/>
      <c r="E175" s="127"/>
      <c r="F175" s="127"/>
      <c r="G175" s="117"/>
      <c r="H175" s="127"/>
      <c r="I175" s="12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</row>
    <row r="176">
      <c r="A176" s="117"/>
      <c r="B176" s="117"/>
      <c r="C176" s="117"/>
      <c r="D176" s="117"/>
      <c r="E176" s="127"/>
      <c r="F176" s="127"/>
      <c r="G176" s="117"/>
      <c r="H176" s="127"/>
      <c r="I176" s="12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</row>
    <row r="177">
      <c r="A177" s="117"/>
      <c r="B177" s="117"/>
      <c r="C177" s="117"/>
      <c r="D177" s="117"/>
      <c r="E177" s="127"/>
      <c r="F177" s="127"/>
      <c r="G177" s="117"/>
      <c r="H177" s="127"/>
      <c r="I177" s="12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</row>
    <row r="178">
      <c r="A178" s="117"/>
      <c r="B178" s="117"/>
      <c r="C178" s="117"/>
      <c r="D178" s="117"/>
      <c r="E178" s="127"/>
      <c r="F178" s="127"/>
      <c r="G178" s="117"/>
      <c r="H178" s="127"/>
      <c r="I178" s="12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</row>
    <row r="179">
      <c r="A179" s="117"/>
      <c r="B179" s="117"/>
      <c r="C179" s="117"/>
      <c r="D179" s="117"/>
      <c r="E179" s="127"/>
      <c r="F179" s="127"/>
      <c r="G179" s="117"/>
      <c r="H179" s="127"/>
      <c r="I179" s="12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</row>
    <row r="180">
      <c r="A180" s="117"/>
      <c r="B180" s="117"/>
      <c r="C180" s="117"/>
      <c r="D180" s="117"/>
      <c r="E180" s="127"/>
      <c r="F180" s="127"/>
      <c r="G180" s="117"/>
      <c r="H180" s="127"/>
      <c r="I180" s="12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</row>
    <row r="181">
      <c r="A181" s="117"/>
      <c r="B181" s="117"/>
      <c r="C181" s="117"/>
      <c r="D181" s="117"/>
      <c r="E181" s="127"/>
      <c r="F181" s="127"/>
      <c r="G181" s="117"/>
      <c r="H181" s="127"/>
      <c r="I181" s="12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</row>
    <row r="182">
      <c r="A182" s="117"/>
      <c r="B182" s="117"/>
      <c r="C182" s="117"/>
      <c r="D182" s="117"/>
      <c r="E182" s="127"/>
      <c r="F182" s="127"/>
      <c r="G182" s="117"/>
      <c r="H182" s="127"/>
      <c r="I182" s="12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</row>
    <row r="183">
      <c r="A183" s="117"/>
      <c r="B183" s="117"/>
      <c r="C183" s="117"/>
      <c r="D183" s="117"/>
      <c r="E183" s="127"/>
      <c r="F183" s="127"/>
      <c r="G183" s="117"/>
      <c r="H183" s="127"/>
      <c r="I183" s="12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</row>
    <row r="184">
      <c r="A184" s="117"/>
      <c r="B184" s="117"/>
      <c r="C184" s="117"/>
      <c r="D184" s="117"/>
      <c r="E184" s="127"/>
      <c r="F184" s="127"/>
      <c r="G184" s="117"/>
      <c r="H184" s="127"/>
      <c r="I184" s="12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</row>
    <row r="185">
      <c r="A185" s="117"/>
      <c r="B185" s="117"/>
      <c r="C185" s="117"/>
      <c r="D185" s="117"/>
      <c r="E185" s="127"/>
      <c r="F185" s="127"/>
      <c r="G185" s="117"/>
      <c r="H185" s="127"/>
      <c r="I185" s="12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</row>
    <row r="186">
      <c r="A186" s="117"/>
      <c r="B186" s="117"/>
      <c r="C186" s="117"/>
      <c r="D186" s="117"/>
      <c r="E186" s="127"/>
      <c r="F186" s="127"/>
      <c r="G186" s="117"/>
      <c r="H186" s="127"/>
      <c r="I186" s="12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</row>
    <row r="187">
      <c r="A187" s="117"/>
      <c r="B187" s="117"/>
      <c r="C187" s="117"/>
      <c r="D187" s="117"/>
      <c r="E187" s="127"/>
      <c r="F187" s="127"/>
      <c r="G187" s="117"/>
      <c r="H187" s="127"/>
      <c r="I187" s="12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</row>
    <row r="188">
      <c r="A188" s="117"/>
      <c r="B188" s="117"/>
      <c r="C188" s="117"/>
      <c r="D188" s="117"/>
      <c r="E188" s="127"/>
      <c r="F188" s="127"/>
      <c r="G188" s="117"/>
      <c r="H188" s="127"/>
      <c r="I188" s="12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</row>
    <row r="189">
      <c r="A189" s="117"/>
      <c r="B189" s="117"/>
      <c r="C189" s="117"/>
      <c r="D189" s="117"/>
      <c r="E189" s="127"/>
      <c r="F189" s="127"/>
      <c r="G189" s="117"/>
      <c r="H189" s="127"/>
      <c r="I189" s="12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</row>
    <row r="190">
      <c r="A190" s="117"/>
      <c r="B190" s="117"/>
      <c r="C190" s="117"/>
      <c r="D190" s="117"/>
      <c r="E190" s="127"/>
      <c r="F190" s="127"/>
      <c r="G190" s="117"/>
      <c r="H190" s="127"/>
      <c r="I190" s="12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</row>
    <row r="191">
      <c r="A191" s="117"/>
      <c r="B191" s="117"/>
      <c r="C191" s="117"/>
      <c r="D191" s="117"/>
      <c r="E191" s="127"/>
      <c r="F191" s="127"/>
      <c r="G191" s="117"/>
      <c r="H191" s="127"/>
      <c r="I191" s="12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</row>
    <row r="192">
      <c r="A192" s="117"/>
      <c r="B192" s="117"/>
      <c r="C192" s="117"/>
      <c r="D192" s="117"/>
      <c r="E192" s="127"/>
      <c r="F192" s="127"/>
      <c r="G192" s="117"/>
      <c r="H192" s="127"/>
      <c r="I192" s="12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</row>
    <row r="193">
      <c r="A193" s="117"/>
      <c r="B193" s="117"/>
      <c r="C193" s="117"/>
      <c r="D193" s="117"/>
      <c r="E193" s="127"/>
      <c r="F193" s="127"/>
      <c r="G193" s="117"/>
      <c r="H193" s="127"/>
      <c r="I193" s="12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</row>
    <row r="194">
      <c r="A194" s="117"/>
      <c r="B194" s="117"/>
      <c r="C194" s="117"/>
      <c r="D194" s="117"/>
      <c r="E194" s="127"/>
      <c r="F194" s="127"/>
      <c r="G194" s="117"/>
      <c r="H194" s="127"/>
      <c r="I194" s="12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</row>
    <row r="195">
      <c r="A195" s="117"/>
      <c r="B195" s="117"/>
      <c r="C195" s="117"/>
      <c r="D195" s="117"/>
      <c r="E195" s="127"/>
      <c r="F195" s="127"/>
      <c r="G195" s="117"/>
      <c r="H195" s="127"/>
      <c r="I195" s="12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</row>
    <row r="196">
      <c r="A196" s="117"/>
      <c r="B196" s="117"/>
      <c r="C196" s="117"/>
      <c r="D196" s="117"/>
      <c r="E196" s="127"/>
      <c r="F196" s="127"/>
      <c r="G196" s="117"/>
      <c r="H196" s="127"/>
      <c r="I196" s="12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</row>
    <row r="197">
      <c r="A197" s="117"/>
      <c r="B197" s="117"/>
      <c r="C197" s="117"/>
      <c r="D197" s="117"/>
      <c r="E197" s="127"/>
      <c r="F197" s="127"/>
      <c r="G197" s="117"/>
      <c r="H197" s="127"/>
      <c r="I197" s="12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</row>
    <row r="198">
      <c r="A198" s="117"/>
      <c r="B198" s="117"/>
      <c r="C198" s="117"/>
      <c r="D198" s="117"/>
      <c r="E198" s="127"/>
      <c r="F198" s="127"/>
      <c r="G198" s="117"/>
      <c r="H198" s="127"/>
      <c r="I198" s="12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</row>
    <row r="199">
      <c r="A199" s="117"/>
      <c r="B199" s="117"/>
      <c r="C199" s="117"/>
      <c r="D199" s="117"/>
      <c r="E199" s="127"/>
      <c r="F199" s="127"/>
      <c r="G199" s="117"/>
      <c r="H199" s="127"/>
      <c r="I199" s="12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</row>
    <row r="200">
      <c r="A200" s="117"/>
      <c r="B200" s="117"/>
      <c r="C200" s="117"/>
      <c r="D200" s="117"/>
      <c r="E200" s="127"/>
      <c r="F200" s="127"/>
      <c r="G200" s="117"/>
      <c r="H200" s="127"/>
      <c r="I200" s="12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</row>
    <row r="201">
      <c r="A201" s="117"/>
      <c r="B201" s="117"/>
      <c r="C201" s="117"/>
      <c r="D201" s="117"/>
      <c r="E201" s="127"/>
      <c r="F201" s="127"/>
      <c r="G201" s="117"/>
      <c r="H201" s="127"/>
      <c r="I201" s="12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</row>
    <row r="202">
      <c r="A202" s="117"/>
      <c r="B202" s="117"/>
      <c r="C202" s="117"/>
      <c r="D202" s="117"/>
      <c r="E202" s="127"/>
      <c r="F202" s="127"/>
      <c r="G202" s="117"/>
      <c r="H202" s="127"/>
      <c r="I202" s="12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</row>
    <row r="203">
      <c r="A203" s="117"/>
      <c r="B203" s="117"/>
      <c r="C203" s="117"/>
      <c r="D203" s="117"/>
      <c r="E203" s="127"/>
      <c r="F203" s="127"/>
      <c r="G203" s="117"/>
      <c r="H203" s="127"/>
      <c r="I203" s="12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</row>
    <row r="204">
      <c r="A204" s="117"/>
      <c r="B204" s="117"/>
      <c r="C204" s="117"/>
      <c r="D204" s="117"/>
      <c r="E204" s="127"/>
      <c r="F204" s="127"/>
      <c r="G204" s="117"/>
      <c r="H204" s="127"/>
      <c r="I204" s="12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</row>
    <row r="205">
      <c r="A205" s="117"/>
      <c r="B205" s="117"/>
      <c r="C205" s="117"/>
      <c r="D205" s="117"/>
      <c r="E205" s="127"/>
      <c r="F205" s="127"/>
      <c r="G205" s="117"/>
      <c r="H205" s="127"/>
      <c r="I205" s="12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</row>
    <row r="206">
      <c r="A206" s="117"/>
      <c r="B206" s="117"/>
      <c r="C206" s="117"/>
      <c r="D206" s="117"/>
      <c r="E206" s="127"/>
      <c r="F206" s="127"/>
      <c r="G206" s="117"/>
      <c r="H206" s="127"/>
      <c r="I206" s="12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</row>
    <row r="207">
      <c r="A207" s="117"/>
      <c r="B207" s="117"/>
      <c r="C207" s="117"/>
      <c r="D207" s="117"/>
      <c r="E207" s="127"/>
      <c r="F207" s="127"/>
      <c r="G207" s="117"/>
      <c r="H207" s="127"/>
      <c r="I207" s="12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</row>
    <row r="208">
      <c r="A208" s="117"/>
      <c r="B208" s="117"/>
      <c r="C208" s="117"/>
      <c r="D208" s="117"/>
      <c r="E208" s="127"/>
      <c r="F208" s="127"/>
      <c r="G208" s="117"/>
      <c r="H208" s="127"/>
      <c r="I208" s="12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</row>
    <row r="209">
      <c r="A209" s="117"/>
      <c r="B209" s="117"/>
      <c r="C209" s="117"/>
      <c r="D209" s="117"/>
      <c r="E209" s="127"/>
      <c r="F209" s="127"/>
      <c r="G209" s="117"/>
      <c r="H209" s="127"/>
      <c r="I209" s="12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</row>
    <row r="210">
      <c r="A210" s="117"/>
      <c r="B210" s="117"/>
      <c r="C210" s="117"/>
      <c r="D210" s="117"/>
      <c r="E210" s="127"/>
      <c r="F210" s="127"/>
      <c r="G210" s="117"/>
      <c r="H210" s="127"/>
      <c r="I210" s="12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</row>
    <row r="211">
      <c r="A211" s="117"/>
      <c r="B211" s="117"/>
      <c r="C211" s="117"/>
      <c r="D211" s="117"/>
      <c r="E211" s="127"/>
      <c r="F211" s="127"/>
      <c r="G211" s="117"/>
      <c r="H211" s="127"/>
      <c r="I211" s="12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</row>
    <row r="212">
      <c r="A212" s="117"/>
      <c r="B212" s="117"/>
      <c r="C212" s="117"/>
      <c r="D212" s="117"/>
      <c r="E212" s="127"/>
      <c r="F212" s="127"/>
      <c r="G212" s="117"/>
      <c r="H212" s="127"/>
      <c r="I212" s="12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</row>
    <row r="213">
      <c r="A213" s="117"/>
      <c r="B213" s="117"/>
      <c r="C213" s="117"/>
      <c r="D213" s="117"/>
      <c r="E213" s="127"/>
      <c r="F213" s="127"/>
      <c r="G213" s="117"/>
      <c r="H213" s="127"/>
      <c r="I213" s="12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</row>
    <row r="214">
      <c r="A214" s="117"/>
      <c r="B214" s="117"/>
      <c r="C214" s="117"/>
      <c r="D214" s="117"/>
      <c r="E214" s="127"/>
      <c r="F214" s="127"/>
      <c r="G214" s="117"/>
      <c r="H214" s="127"/>
      <c r="I214" s="12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</row>
    <row r="215">
      <c r="A215" s="117"/>
      <c r="B215" s="117"/>
      <c r="C215" s="117"/>
      <c r="D215" s="117"/>
      <c r="E215" s="127"/>
      <c r="F215" s="127"/>
      <c r="G215" s="117"/>
      <c r="H215" s="127"/>
      <c r="I215" s="12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</row>
    <row r="216">
      <c r="A216" s="117"/>
      <c r="B216" s="117"/>
      <c r="C216" s="117"/>
      <c r="D216" s="117"/>
      <c r="E216" s="127"/>
      <c r="F216" s="127"/>
      <c r="G216" s="117"/>
      <c r="H216" s="127"/>
      <c r="I216" s="12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</row>
    <row r="217">
      <c r="A217" s="117"/>
      <c r="B217" s="117"/>
      <c r="C217" s="117"/>
      <c r="D217" s="117"/>
      <c r="E217" s="127"/>
      <c r="F217" s="127"/>
      <c r="G217" s="117"/>
      <c r="H217" s="127"/>
      <c r="I217" s="12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</row>
    <row r="218">
      <c r="A218" s="117"/>
      <c r="B218" s="117"/>
      <c r="C218" s="117"/>
      <c r="D218" s="117"/>
      <c r="E218" s="127"/>
      <c r="F218" s="127"/>
      <c r="G218" s="117"/>
      <c r="H218" s="127"/>
      <c r="I218" s="12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</row>
    <row r="219">
      <c r="A219" s="117"/>
      <c r="B219" s="117"/>
      <c r="C219" s="117"/>
      <c r="D219" s="117"/>
      <c r="E219" s="127"/>
      <c r="F219" s="127"/>
      <c r="G219" s="117"/>
      <c r="H219" s="127"/>
      <c r="I219" s="12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</row>
    <row r="220">
      <c r="A220" s="117"/>
      <c r="B220" s="117"/>
      <c r="C220" s="117"/>
      <c r="D220" s="117"/>
      <c r="E220" s="127"/>
      <c r="F220" s="127"/>
      <c r="G220" s="117"/>
      <c r="H220" s="127"/>
      <c r="I220" s="12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</row>
    <row r="221">
      <c r="A221" s="117"/>
      <c r="B221" s="117"/>
      <c r="C221" s="117"/>
      <c r="D221" s="117"/>
      <c r="E221" s="127"/>
      <c r="F221" s="127"/>
      <c r="G221" s="117"/>
      <c r="H221" s="127"/>
      <c r="I221" s="12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</row>
    <row r="222">
      <c r="A222" s="117"/>
      <c r="B222" s="117"/>
      <c r="C222" s="117"/>
      <c r="D222" s="117"/>
      <c r="E222" s="127"/>
      <c r="F222" s="127"/>
      <c r="G222" s="117"/>
      <c r="H222" s="127"/>
      <c r="I222" s="12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</row>
    <row r="223">
      <c r="A223" s="117"/>
      <c r="B223" s="117"/>
      <c r="C223" s="117"/>
      <c r="D223" s="117"/>
      <c r="E223" s="127"/>
      <c r="F223" s="127"/>
      <c r="G223" s="117"/>
      <c r="H223" s="127"/>
      <c r="I223" s="12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</row>
    <row r="224">
      <c r="A224" s="117"/>
      <c r="B224" s="117"/>
      <c r="C224" s="117"/>
      <c r="D224" s="117"/>
      <c r="E224" s="127"/>
      <c r="F224" s="127"/>
      <c r="G224" s="117"/>
      <c r="H224" s="127"/>
      <c r="I224" s="12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</row>
    <row r="225">
      <c r="A225" s="117"/>
      <c r="B225" s="117"/>
      <c r="C225" s="117"/>
      <c r="D225" s="117"/>
      <c r="E225" s="127"/>
      <c r="F225" s="127"/>
      <c r="G225" s="117"/>
      <c r="H225" s="127"/>
      <c r="I225" s="12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</row>
    <row r="226">
      <c r="A226" s="117"/>
      <c r="B226" s="117"/>
      <c r="C226" s="117"/>
      <c r="D226" s="117"/>
      <c r="E226" s="127"/>
      <c r="F226" s="127"/>
      <c r="G226" s="117"/>
      <c r="H226" s="127"/>
      <c r="I226" s="12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</row>
    <row r="227">
      <c r="A227" s="117"/>
      <c r="B227" s="117"/>
      <c r="C227" s="117"/>
      <c r="D227" s="117"/>
      <c r="E227" s="127"/>
      <c r="F227" s="127"/>
      <c r="G227" s="117"/>
      <c r="H227" s="127"/>
      <c r="I227" s="12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  <c r="AA227" s="117"/>
      <c r="AB227" s="117"/>
      <c r="AC227" s="117"/>
      <c r="AD227" s="117"/>
      <c r="AE227" s="117"/>
    </row>
    <row r="228">
      <c r="A228" s="117"/>
      <c r="B228" s="117"/>
      <c r="C228" s="117"/>
      <c r="D228" s="117"/>
      <c r="E228" s="127"/>
      <c r="F228" s="127"/>
      <c r="G228" s="117"/>
      <c r="H228" s="127"/>
      <c r="I228" s="12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17"/>
      <c r="AB228" s="117"/>
      <c r="AC228" s="117"/>
      <c r="AD228" s="117"/>
      <c r="AE228" s="117"/>
    </row>
    <row r="229">
      <c r="A229" s="117"/>
      <c r="B229" s="117"/>
      <c r="C229" s="117"/>
      <c r="D229" s="117"/>
      <c r="E229" s="127"/>
      <c r="F229" s="127"/>
      <c r="G229" s="117"/>
      <c r="H229" s="127"/>
      <c r="I229" s="12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117"/>
      <c r="AB229" s="117"/>
      <c r="AC229" s="117"/>
      <c r="AD229" s="117"/>
      <c r="AE229" s="117"/>
    </row>
    <row r="230">
      <c r="A230" s="117"/>
      <c r="B230" s="117"/>
      <c r="C230" s="117"/>
      <c r="D230" s="117"/>
      <c r="E230" s="127"/>
      <c r="F230" s="127"/>
      <c r="G230" s="117"/>
      <c r="H230" s="127"/>
      <c r="I230" s="12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  <c r="AB230" s="117"/>
      <c r="AC230" s="117"/>
      <c r="AD230" s="117"/>
      <c r="AE230" s="117"/>
    </row>
    <row r="231">
      <c r="A231" s="117"/>
      <c r="B231" s="117"/>
      <c r="C231" s="117"/>
      <c r="D231" s="117"/>
      <c r="E231" s="127"/>
      <c r="F231" s="127"/>
      <c r="G231" s="117"/>
      <c r="H231" s="127"/>
      <c r="I231" s="12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  <c r="AC231" s="117"/>
      <c r="AD231" s="117"/>
      <c r="AE231" s="117"/>
    </row>
    <row r="232">
      <c r="A232" s="117"/>
      <c r="B232" s="117"/>
      <c r="C232" s="117"/>
      <c r="D232" s="117"/>
      <c r="E232" s="127"/>
      <c r="F232" s="127"/>
      <c r="G232" s="117"/>
      <c r="H232" s="127"/>
      <c r="I232" s="12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  <c r="AC232" s="117"/>
      <c r="AD232" s="117"/>
      <c r="AE232" s="117"/>
    </row>
    <row r="233">
      <c r="A233" s="117"/>
      <c r="B233" s="117"/>
      <c r="C233" s="117"/>
      <c r="D233" s="117"/>
      <c r="E233" s="127"/>
      <c r="F233" s="127"/>
      <c r="G233" s="117"/>
      <c r="H233" s="127"/>
      <c r="I233" s="12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  <c r="AB233" s="117"/>
      <c r="AC233" s="117"/>
      <c r="AD233" s="117"/>
      <c r="AE233" s="117"/>
    </row>
    <row r="234">
      <c r="A234" s="117"/>
      <c r="B234" s="117"/>
      <c r="C234" s="117"/>
      <c r="D234" s="117"/>
      <c r="E234" s="127"/>
      <c r="F234" s="127"/>
      <c r="G234" s="117"/>
      <c r="H234" s="127"/>
      <c r="I234" s="12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  <c r="AB234" s="117"/>
      <c r="AC234" s="117"/>
      <c r="AD234" s="117"/>
      <c r="AE234" s="117"/>
    </row>
    <row r="235">
      <c r="A235" s="117"/>
      <c r="B235" s="117"/>
      <c r="C235" s="117"/>
      <c r="D235" s="117"/>
      <c r="E235" s="127"/>
      <c r="F235" s="127"/>
      <c r="G235" s="117"/>
      <c r="H235" s="127"/>
      <c r="I235" s="12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  <c r="AB235" s="117"/>
      <c r="AC235" s="117"/>
      <c r="AD235" s="117"/>
      <c r="AE235" s="117"/>
    </row>
    <row r="236">
      <c r="A236" s="117"/>
      <c r="B236" s="117"/>
      <c r="C236" s="117"/>
      <c r="D236" s="117"/>
      <c r="E236" s="127"/>
      <c r="F236" s="127"/>
      <c r="G236" s="117"/>
      <c r="H236" s="127"/>
      <c r="I236" s="12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117"/>
      <c r="AB236" s="117"/>
      <c r="AC236" s="117"/>
      <c r="AD236" s="117"/>
      <c r="AE236" s="117"/>
    </row>
    <row r="237">
      <c r="A237" s="117"/>
      <c r="B237" s="117"/>
      <c r="C237" s="117"/>
      <c r="D237" s="117"/>
      <c r="E237" s="127"/>
      <c r="F237" s="127"/>
      <c r="G237" s="117"/>
      <c r="H237" s="127"/>
      <c r="I237" s="12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  <c r="AB237" s="117"/>
      <c r="AC237" s="117"/>
      <c r="AD237" s="117"/>
      <c r="AE237" s="117"/>
    </row>
    <row r="238">
      <c r="A238" s="117"/>
      <c r="B238" s="117"/>
      <c r="C238" s="117"/>
      <c r="D238" s="117"/>
      <c r="E238" s="127"/>
      <c r="F238" s="127"/>
      <c r="G238" s="117"/>
      <c r="H238" s="127"/>
      <c r="I238" s="12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  <c r="AB238" s="117"/>
      <c r="AC238" s="117"/>
      <c r="AD238" s="117"/>
      <c r="AE238" s="117"/>
    </row>
    <row r="239">
      <c r="A239" s="117"/>
      <c r="B239" s="117"/>
      <c r="C239" s="117"/>
      <c r="D239" s="117"/>
      <c r="E239" s="127"/>
      <c r="F239" s="127"/>
      <c r="G239" s="117"/>
      <c r="H239" s="127"/>
      <c r="I239" s="12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  <c r="AB239" s="117"/>
      <c r="AC239" s="117"/>
      <c r="AD239" s="117"/>
      <c r="AE239" s="117"/>
    </row>
    <row r="240">
      <c r="A240" s="117"/>
      <c r="B240" s="117"/>
      <c r="C240" s="117"/>
      <c r="D240" s="117"/>
      <c r="E240" s="127"/>
      <c r="F240" s="127"/>
      <c r="G240" s="117"/>
      <c r="H240" s="127"/>
      <c r="I240" s="12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  <c r="AB240" s="117"/>
      <c r="AC240" s="117"/>
      <c r="AD240" s="117"/>
      <c r="AE240" s="117"/>
    </row>
    <row r="241">
      <c r="A241" s="117"/>
      <c r="B241" s="117"/>
      <c r="C241" s="117"/>
      <c r="D241" s="117"/>
      <c r="E241" s="127"/>
      <c r="F241" s="127"/>
      <c r="G241" s="117"/>
      <c r="H241" s="127"/>
      <c r="I241" s="12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  <c r="AB241" s="117"/>
      <c r="AC241" s="117"/>
      <c r="AD241" s="117"/>
      <c r="AE241" s="117"/>
    </row>
    <row r="242">
      <c r="A242" s="117"/>
      <c r="B242" s="117"/>
      <c r="C242" s="117"/>
      <c r="D242" s="117"/>
      <c r="E242" s="127"/>
      <c r="F242" s="127"/>
      <c r="G242" s="117"/>
      <c r="H242" s="127"/>
      <c r="I242" s="12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  <c r="AB242" s="117"/>
      <c r="AC242" s="117"/>
      <c r="AD242" s="117"/>
      <c r="AE242" s="117"/>
    </row>
    <row r="243">
      <c r="A243" s="117"/>
      <c r="B243" s="117"/>
      <c r="C243" s="117"/>
      <c r="D243" s="117"/>
      <c r="E243" s="127"/>
      <c r="F243" s="127"/>
      <c r="G243" s="117"/>
      <c r="H243" s="127"/>
      <c r="I243" s="12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  <c r="AB243" s="117"/>
      <c r="AC243" s="117"/>
      <c r="AD243" s="117"/>
      <c r="AE243" s="117"/>
    </row>
    <row r="244">
      <c r="A244" s="117"/>
      <c r="B244" s="117"/>
      <c r="C244" s="117"/>
      <c r="D244" s="117"/>
      <c r="E244" s="127"/>
      <c r="F244" s="127"/>
      <c r="G244" s="117"/>
      <c r="H244" s="127"/>
      <c r="I244" s="12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  <c r="AB244" s="117"/>
      <c r="AC244" s="117"/>
      <c r="AD244" s="117"/>
      <c r="AE244" s="117"/>
    </row>
    <row r="245">
      <c r="A245" s="117"/>
      <c r="B245" s="117"/>
      <c r="C245" s="117"/>
      <c r="D245" s="117"/>
      <c r="E245" s="127"/>
      <c r="F245" s="127"/>
      <c r="G245" s="117"/>
      <c r="H245" s="127"/>
      <c r="I245" s="12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  <c r="AA245" s="117"/>
      <c r="AB245" s="117"/>
      <c r="AC245" s="117"/>
      <c r="AD245" s="117"/>
      <c r="AE245" s="117"/>
    </row>
    <row r="246">
      <c r="A246" s="117"/>
      <c r="B246" s="117"/>
      <c r="C246" s="117"/>
      <c r="D246" s="117"/>
      <c r="E246" s="127"/>
      <c r="F246" s="127"/>
      <c r="G246" s="117"/>
      <c r="H246" s="127"/>
      <c r="I246" s="12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  <c r="AB246" s="117"/>
      <c r="AC246" s="117"/>
      <c r="AD246" s="117"/>
      <c r="AE246" s="117"/>
    </row>
    <row r="247">
      <c r="A247" s="117"/>
      <c r="B247" s="117"/>
      <c r="C247" s="117"/>
      <c r="D247" s="117"/>
      <c r="E247" s="127"/>
      <c r="F247" s="127"/>
      <c r="G247" s="117"/>
      <c r="H247" s="127"/>
      <c r="I247" s="12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  <c r="AB247" s="117"/>
      <c r="AC247" s="117"/>
      <c r="AD247" s="117"/>
      <c r="AE247" s="117"/>
    </row>
    <row r="248">
      <c r="A248" s="117"/>
      <c r="B248" s="117"/>
      <c r="C248" s="117"/>
      <c r="D248" s="117"/>
      <c r="E248" s="127"/>
      <c r="F248" s="127"/>
      <c r="G248" s="117"/>
      <c r="H248" s="127"/>
      <c r="I248" s="12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  <c r="AB248" s="117"/>
      <c r="AC248" s="117"/>
      <c r="AD248" s="117"/>
      <c r="AE248" s="117"/>
    </row>
    <row r="249">
      <c r="A249" s="117"/>
      <c r="B249" s="117"/>
      <c r="C249" s="117"/>
      <c r="D249" s="117"/>
      <c r="E249" s="127"/>
      <c r="F249" s="127"/>
      <c r="G249" s="117"/>
      <c r="H249" s="127"/>
      <c r="I249" s="12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/>
      <c r="AB249" s="117"/>
      <c r="AC249" s="117"/>
      <c r="AD249" s="117"/>
      <c r="AE249" s="117"/>
    </row>
    <row r="250">
      <c r="A250" s="117"/>
      <c r="B250" s="117"/>
      <c r="C250" s="117"/>
      <c r="D250" s="117"/>
      <c r="E250" s="127"/>
      <c r="F250" s="127"/>
      <c r="G250" s="117"/>
      <c r="H250" s="127"/>
      <c r="I250" s="12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117"/>
      <c r="AB250" s="117"/>
      <c r="AC250" s="117"/>
      <c r="AD250" s="117"/>
      <c r="AE250" s="117"/>
    </row>
    <row r="251">
      <c r="A251" s="117"/>
      <c r="B251" s="117"/>
      <c r="C251" s="117"/>
      <c r="D251" s="117"/>
      <c r="E251" s="127"/>
      <c r="F251" s="127"/>
      <c r="G251" s="117"/>
      <c r="H251" s="127"/>
      <c r="I251" s="12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  <c r="AB251" s="117"/>
      <c r="AC251" s="117"/>
      <c r="AD251" s="117"/>
      <c r="AE251" s="117"/>
    </row>
    <row r="252">
      <c r="A252" s="117"/>
      <c r="B252" s="117"/>
      <c r="C252" s="117"/>
      <c r="D252" s="117"/>
      <c r="E252" s="127"/>
      <c r="F252" s="127"/>
      <c r="G252" s="117"/>
      <c r="H252" s="127"/>
      <c r="I252" s="12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  <c r="AB252" s="117"/>
      <c r="AC252" s="117"/>
      <c r="AD252" s="117"/>
      <c r="AE252" s="117"/>
    </row>
    <row r="253">
      <c r="A253" s="117"/>
      <c r="B253" s="117"/>
      <c r="C253" s="117"/>
      <c r="D253" s="117"/>
      <c r="E253" s="127"/>
      <c r="F253" s="127"/>
      <c r="G253" s="117"/>
      <c r="H253" s="127"/>
      <c r="I253" s="12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  <c r="AB253" s="117"/>
      <c r="AC253" s="117"/>
      <c r="AD253" s="117"/>
      <c r="AE253" s="117"/>
    </row>
    <row r="254">
      <c r="A254" s="117"/>
      <c r="B254" s="117"/>
      <c r="C254" s="117"/>
      <c r="D254" s="117"/>
      <c r="E254" s="127"/>
      <c r="F254" s="127"/>
      <c r="G254" s="117"/>
      <c r="H254" s="127"/>
      <c r="I254" s="12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  <c r="AB254" s="117"/>
      <c r="AC254" s="117"/>
      <c r="AD254" s="117"/>
      <c r="AE254" s="117"/>
    </row>
    <row r="255">
      <c r="A255" s="117"/>
      <c r="B255" s="117"/>
      <c r="C255" s="117"/>
      <c r="D255" s="117"/>
      <c r="E255" s="127"/>
      <c r="F255" s="127"/>
      <c r="G255" s="117"/>
      <c r="H255" s="127"/>
      <c r="I255" s="12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  <c r="AC255" s="117"/>
      <c r="AD255" s="117"/>
      <c r="AE255" s="117"/>
    </row>
    <row r="256">
      <c r="A256" s="117"/>
      <c r="B256" s="117"/>
      <c r="C256" s="117"/>
      <c r="D256" s="117"/>
      <c r="E256" s="127"/>
      <c r="F256" s="127"/>
      <c r="G256" s="117"/>
      <c r="H256" s="127"/>
      <c r="I256" s="12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  <c r="AB256" s="117"/>
      <c r="AC256" s="117"/>
      <c r="AD256" s="117"/>
      <c r="AE256" s="117"/>
    </row>
    <row r="257">
      <c r="A257" s="117"/>
      <c r="B257" s="117"/>
      <c r="C257" s="117"/>
      <c r="D257" s="117"/>
      <c r="E257" s="127"/>
      <c r="F257" s="127"/>
      <c r="G257" s="117"/>
      <c r="H257" s="127"/>
      <c r="I257" s="12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  <c r="AB257" s="117"/>
      <c r="AC257" s="117"/>
      <c r="AD257" s="117"/>
      <c r="AE257" s="117"/>
    </row>
    <row r="258">
      <c r="A258" s="117"/>
      <c r="B258" s="117"/>
      <c r="C258" s="117"/>
      <c r="D258" s="117"/>
      <c r="E258" s="127"/>
      <c r="F258" s="127"/>
      <c r="G258" s="117"/>
      <c r="H258" s="127"/>
      <c r="I258" s="12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/>
      <c r="AB258" s="117"/>
      <c r="AC258" s="117"/>
      <c r="AD258" s="117"/>
      <c r="AE258" s="117"/>
    </row>
    <row r="259">
      <c r="A259" s="117"/>
      <c r="B259" s="117"/>
      <c r="C259" s="117"/>
      <c r="D259" s="117"/>
      <c r="E259" s="127"/>
      <c r="F259" s="127"/>
      <c r="G259" s="117"/>
      <c r="H259" s="127"/>
      <c r="I259" s="12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  <c r="AB259" s="117"/>
      <c r="AC259" s="117"/>
      <c r="AD259" s="117"/>
      <c r="AE259" s="117"/>
    </row>
    <row r="260">
      <c r="A260" s="117"/>
      <c r="B260" s="117"/>
      <c r="C260" s="117"/>
      <c r="D260" s="117"/>
      <c r="E260" s="127"/>
      <c r="F260" s="127"/>
      <c r="G260" s="117"/>
      <c r="H260" s="127"/>
      <c r="I260" s="12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  <c r="AB260" s="117"/>
      <c r="AC260" s="117"/>
      <c r="AD260" s="117"/>
      <c r="AE260" s="117"/>
    </row>
    <row r="261">
      <c r="A261" s="117"/>
      <c r="B261" s="117"/>
      <c r="C261" s="117"/>
      <c r="D261" s="117"/>
      <c r="E261" s="127"/>
      <c r="F261" s="127"/>
      <c r="G261" s="117"/>
      <c r="H261" s="127"/>
      <c r="I261" s="12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  <c r="AA261" s="117"/>
      <c r="AB261" s="117"/>
      <c r="AC261" s="117"/>
      <c r="AD261" s="117"/>
      <c r="AE261" s="117"/>
    </row>
    <row r="262">
      <c r="A262" s="117"/>
      <c r="B262" s="117"/>
      <c r="C262" s="117"/>
      <c r="D262" s="117"/>
      <c r="E262" s="127"/>
      <c r="F262" s="127"/>
      <c r="G262" s="117"/>
      <c r="H262" s="127"/>
      <c r="I262" s="12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  <c r="AB262" s="117"/>
      <c r="AC262" s="117"/>
      <c r="AD262" s="117"/>
      <c r="AE262" s="117"/>
    </row>
    <row r="263">
      <c r="A263" s="117"/>
      <c r="B263" s="117"/>
      <c r="C263" s="117"/>
      <c r="D263" s="117"/>
      <c r="E263" s="127"/>
      <c r="F263" s="127"/>
      <c r="G263" s="117"/>
      <c r="H263" s="127"/>
      <c r="I263" s="12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  <c r="AB263" s="117"/>
      <c r="AC263" s="117"/>
      <c r="AD263" s="117"/>
      <c r="AE263" s="117"/>
    </row>
    <row r="264">
      <c r="A264" s="117"/>
      <c r="B264" s="117"/>
      <c r="C264" s="117"/>
      <c r="D264" s="117"/>
      <c r="E264" s="127"/>
      <c r="F264" s="127"/>
      <c r="G264" s="117"/>
      <c r="H264" s="127"/>
      <c r="I264" s="12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  <c r="AB264" s="117"/>
      <c r="AC264" s="117"/>
      <c r="AD264" s="117"/>
      <c r="AE264" s="117"/>
    </row>
    <row r="265">
      <c r="A265" s="117"/>
      <c r="B265" s="117"/>
      <c r="C265" s="117"/>
      <c r="D265" s="117"/>
      <c r="E265" s="127"/>
      <c r="F265" s="127"/>
      <c r="G265" s="117"/>
      <c r="H265" s="127"/>
      <c r="I265" s="12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  <c r="AB265" s="117"/>
      <c r="AC265" s="117"/>
      <c r="AD265" s="117"/>
      <c r="AE265" s="117"/>
    </row>
    <row r="266">
      <c r="A266" s="117"/>
      <c r="B266" s="117"/>
      <c r="C266" s="117"/>
      <c r="D266" s="117"/>
      <c r="E266" s="127"/>
      <c r="F266" s="127"/>
      <c r="G266" s="117"/>
      <c r="H266" s="127"/>
      <c r="I266" s="12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  <c r="AB266" s="117"/>
      <c r="AC266" s="117"/>
      <c r="AD266" s="117"/>
      <c r="AE266" s="117"/>
    </row>
    <row r="267">
      <c r="A267" s="117"/>
      <c r="B267" s="117"/>
      <c r="C267" s="117"/>
      <c r="D267" s="117"/>
      <c r="E267" s="127"/>
      <c r="F267" s="127"/>
      <c r="G267" s="117"/>
      <c r="H267" s="127"/>
      <c r="I267" s="12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  <c r="AB267" s="117"/>
      <c r="AC267" s="117"/>
      <c r="AD267" s="117"/>
      <c r="AE267" s="117"/>
    </row>
    <row r="268">
      <c r="A268" s="117"/>
      <c r="B268" s="117"/>
      <c r="C268" s="117"/>
      <c r="D268" s="117"/>
      <c r="E268" s="127"/>
      <c r="F268" s="127"/>
      <c r="G268" s="117"/>
      <c r="H268" s="127"/>
      <c r="I268" s="12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  <c r="AB268" s="117"/>
      <c r="AC268" s="117"/>
      <c r="AD268" s="117"/>
      <c r="AE268" s="117"/>
    </row>
    <row r="269">
      <c r="A269" s="117"/>
      <c r="B269" s="117"/>
      <c r="C269" s="117"/>
      <c r="D269" s="117"/>
      <c r="E269" s="127"/>
      <c r="F269" s="127"/>
      <c r="G269" s="117"/>
      <c r="H269" s="127"/>
      <c r="I269" s="12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  <c r="AA269" s="117"/>
      <c r="AB269" s="117"/>
      <c r="AC269" s="117"/>
      <c r="AD269" s="117"/>
      <c r="AE269" s="117"/>
    </row>
    <row r="270">
      <c r="A270" s="117"/>
      <c r="B270" s="117"/>
      <c r="C270" s="117"/>
      <c r="D270" s="117"/>
      <c r="E270" s="127"/>
      <c r="F270" s="127"/>
      <c r="G270" s="117"/>
      <c r="H270" s="127"/>
      <c r="I270" s="12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  <c r="AB270" s="117"/>
      <c r="AC270" s="117"/>
      <c r="AD270" s="117"/>
      <c r="AE270" s="117"/>
    </row>
    <row r="271">
      <c r="A271" s="117"/>
      <c r="B271" s="117"/>
      <c r="C271" s="117"/>
      <c r="D271" s="117"/>
      <c r="E271" s="127"/>
      <c r="F271" s="127"/>
      <c r="G271" s="117"/>
      <c r="H271" s="127"/>
      <c r="I271" s="12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  <c r="AB271" s="117"/>
      <c r="AC271" s="117"/>
      <c r="AD271" s="117"/>
      <c r="AE271" s="117"/>
    </row>
    <row r="272">
      <c r="A272" s="117"/>
      <c r="B272" s="117"/>
      <c r="C272" s="117"/>
      <c r="D272" s="117"/>
      <c r="E272" s="127"/>
      <c r="F272" s="127"/>
      <c r="G272" s="117"/>
      <c r="H272" s="127"/>
      <c r="I272" s="12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  <c r="AB272" s="117"/>
      <c r="AC272" s="117"/>
      <c r="AD272" s="117"/>
      <c r="AE272" s="117"/>
    </row>
    <row r="273">
      <c r="A273" s="117"/>
      <c r="B273" s="117"/>
      <c r="C273" s="117"/>
      <c r="D273" s="117"/>
      <c r="E273" s="127"/>
      <c r="F273" s="127"/>
      <c r="G273" s="117"/>
      <c r="H273" s="127"/>
      <c r="I273" s="12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  <c r="AB273" s="117"/>
      <c r="AC273" s="117"/>
      <c r="AD273" s="117"/>
      <c r="AE273" s="117"/>
    </row>
    <row r="274">
      <c r="A274" s="117"/>
      <c r="B274" s="117"/>
      <c r="C274" s="117"/>
      <c r="D274" s="117"/>
      <c r="E274" s="127"/>
      <c r="F274" s="127"/>
      <c r="G274" s="117"/>
      <c r="H274" s="127"/>
      <c r="I274" s="12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  <c r="AB274" s="117"/>
      <c r="AC274" s="117"/>
      <c r="AD274" s="117"/>
      <c r="AE274" s="117"/>
    </row>
    <row r="275">
      <c r="A275" s="117"/>
      <c r="B275" s="117"/>
      <c r="C275" s="117"/>
      <c r="D275" s="117"/>
      <c r="E275" s="127"/>
      <c r="F275" s="127"/>
      <c r="G275" s="117"/>
      <c r="H275" s="127"/>
      <c r="I275" s="12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  <c r="AB275" s="117"/>
      <c r="AC275" s="117"/>
      <c r="AD275" s="117"/>
      <c r="AE275" s="117"/>
    </row>
    <row r="276">
      <c r="A276" s="117"/>
      <c r="B276" s="117"/>
      <c r="C276" s="117"/>
      <c r="D276" s="117"/>
      <c r="E276" s="127"/>
      <c r="F276" s="127"/>
      <c r="G276" s="117"/>
      <c r="H276" s="127"/>
      <c r="I276" s="12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  <c r="AB276" s="117"/>
      <c r="AC276" s="117"/>
      <c r="AD276" s="117"/>
      <c r="AE276" s="117"/>
    </row>
    <row r="277">
      <c r="A277" s="117"/>
      <c r="B277" s="117"/>
      <c r="C277" s="117"/>
      <c r="D277" s="117"/>
      <c r="E277" s="127"/>
      <c r="F277" s="127"/>
      <c r="G277" s="117"/>
      <c r="H277" s="127"/>
      <c r="I277" s="12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  <c r="AB277" s="117"/>
      <c r="AC277" s="117"/>
      <c r="AD277" s="117"/>
      <c r="AE277" s="117"/>
    </row>
    <row r="278">
      <c r="A278" s="117"/>
      <c r="B278" s="117"/>
      <c r="C278" s="117"/>
      <c r="D278" s="117"/>
      <c r="E278" s="127"/>
      <c r="F278" s="127"/>
      <c r="G278" s="117"/>
      <c r="H278" s="127"/>
      <c r="I278" s="12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  <c r="AA278" s="117"/>
      <c r="AB278" s="117"/>
      <c r="AC278" s="117"/>
      <c r="AD278" s="117"/>
      <c r="AE278" s="117"/>
    </row>
    <row r="279">
      <c r="A279" s="117"/>
      <c r="B279" s="117"/>
      <c r="C279" s="117"/>
      <c r="D279" s="117"/>
      <c r="E279" s="127"/>
      <c r="F279" s="127"/>
      <c r="G279" s="117"/>
      <c r="H279" s="127"/>
      <c r="I279" s="12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117"/>
      <c r="AB279" s="117"/>
      <c r="AC279" s="117"/>
      <c r="AD279" s="117"/>
      <c r="AE279" s="117"/>
    </row>
    <row r="280">
      <c r="A280" s="117"/>
      <c r="B280" s="117"/>
      <c r="C280" s="117"/>
      <c r="D280" s="117"/>
      <c r="E280" s="127"/>
      <c r="F280" s="127"/>
      <c r="G280" s="117"/>
      <c r="H280" s="127"/>
      <c r="I280" s="12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  <c r="AA280" s="117"/>
      <c r="AB280" s="117"/>
      <c r="AC280" s="117"/>
      <c r="AD280" s="117"/>
      <c r="AE280" s="117"/>
    </row>
    <row r="281">
      <c r="A281" s="117"/>
      <c r="B281" s="117"/>
      <c r="C281" s="117"/>
      <c r="D281" s="117"/>
      <c r="E281" s="127"/>
      <c r="F281" s="127"/>
      <c r="G281" s="117"/>
      <c r="H281" s="127"/>
      <c r="I281" s="12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  <c r="AA281" s="117"/>
      <c r="AB281" s="117"/>
      <c r="AC281" s="117"/>
      <c r="AD281" s="117"/>
      <c r="AE281" s="117"/>
    </row>
    <row r="282">
      <c r="A282" s="117"/>
      <c r="B282" s="117"/>
      <c r="C282" s="117"/>
      <c r="D282" s="117"/>
      <c r="E282" s="127"/>
      <c r="F282" s="127"/>
      <c r="G282" s="117"/>
      <c r="H282" s="127"/>
      <c r="I282" s="12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117"/>
      <c r="AB282" s="117"/>
      <c r="AC282" s="117"/>
      <c r="AD282" s="117"/>
      <c r="AE282" s="117"/>
    </row>
    <row r="283">
      <c r="A283" s="117"/>
      <c r="B283" s="117"/>
      <c r="C283" s="117"/>
      <c r="D283" s="117"/>
      <c r="E283" s="127"/>
      <c r="F283" s="127"/>
      <c r="G283" s="117"/>
      <c r="H283" s="127"/>
      <c r="I283" s="12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  <c r="AA283" s="117"/>
      <c r="AB283" s="117"/>
      <c r="AC283" s="117"/>
      <c r="AD283" s="117"/>
      <c r="AE283" s="117"/>
    </row>
    <row r="284">
      <c r="A284" s="117"/>
      <c r="B284" s="117"/>
      <c r="C284" s="117"/>
      <c r="D284" s="117"/>
      <c r="E284" s="127"/>
      <c r="F284" s="127"/>
      <c r="G284" s="117"/>
      <c r="H284" s="127"/>
      <c r="I284" s="12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  <c r="AB284" s="117"/>
      <c r="AC284" s="117"/>
      <c r="AD284" s="117"/>
      <c r="AE284" s="117"/>
    </row>
    <row r="285">
      <c r="A285" s="117"/>
      <c r="B285" s="117"/>
      <c r="C285" s="117"/>
      <c r="D285" s="117"/>
      <c r="E285" s="127"/>
      <c r="F285" s="127"/>
      <c r="G285" s="117"/>
      <c r="H285" s="127"/>
      <c r="I285" s="12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  <c r="AB285" s="117"/>
      <c r="AC285" s="117"/>
      <c r="AD285" s="117"/>
      <c r="AE285" s="117"/>
    </row>
    <row r="286">
      <c r="A286" s="117"/>
      <c r="B286" s="117"/>
      <c r="C286" s="117"/>
      <c r="D286" s="117"/>
      <c r="E286" s="127"/>
      <c r="F286" s="127"/>
      <c r="G286" s="117"/>
      <c r="H286" s="127"/>
      <c r="I286" s="12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117"/>
      <c r="AB286" s="117"/>
      <c r="AC286" s="117"/>
      <c r="AD286" s="117"/>
      <c r="AE286" s="117"/>
    </row>
    <row r="287">
      <c r="A287" s="117"/>
      <c r="B287" s="117"/>
      <c r="C287" s="117"/>
      <c r="D287" s="117"/>
      <c r="E287" s="127"/>
      <c r="F287" s="127"/>
      <c r="G287" s="117"/>
      <c r="H287" s="127"/>
      <c r="I287" s="12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117"/>
      <c r="AB287" s="117"/>
      <c r="AC287" s="117"/>
      <c r="AD287" s="117"/>
      <c r="AE287" s="117"/>
    </row>
    <row r="288">
      <c r="A288" s="117"/>
      <c r="B288" s="117"/>
      <c r="C288" s="117"/>
      <c r="D288" s="117"/>
      <c r="E288" s="127"/>
      <c r="F288" s="127"/>
      <c r="G288" s="117"/>
      <c r="H288" s="127"/>
      <c r="I288" s="12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17"/>
      <c r="AB288" s="117"/>
      <c r="AC288" s="117"/>
      <c r="AD288" s="117"/>
      <c r="AE288" s="117"/>
    </row>
    <row r="289">
      <c r="A289" s="117"/>
      <c r="B289" s="117"/>
      <c r="C289" s="117"/>
      <c r="D289" s="117"/>
      <c r="E289" s="127"/>
      <c r="F289" s="127"/>
      <c r="G289" s="117"/>
      <c r="H289" s="127"/>
      <c r="I289" s="12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117"/>
      <c r="AB289" s="117"/>
      <c r="AC289" s="117"/>
      <c r="AD289" s="117"/>
      <c r="AE289" s="117"/>
    </row>
    <row r="290">
      <c r="A290" s="117"/>
      <c r="B290" s="117"/>
      <c r="C290" s="117"/>
      <c r="D290" s="117"/>
      <c r="E290" s="127"/>
      <c r="F290" s="127"/>
      <c r="G290" s="117"/>
      <c r="H290" s="127"/>
      <c r="I290" s="12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  <c r="AA290" s="117"/>
      <c r="AB290" s="117"/>
      <c r="AC290" s="117"/>
      <c r="AD290" s="117"/>
      <c r="AE290" s="117"/>
    </row>
    <row r="291">
      <c r="A291" s="117"/>
      <c r="B291" s="117"/>
      <c r="C291" s="117"/>
      <c r="D291" s="117"/>
      <c r="E291" s="127"/>
      <c r="F291" s="127"/>
      <c r="G291" s="117"/>
      <c r="H291" s="127"/>
      <c r="I291" s="12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117"/>
      <c r="AB291" s="117"/>
      <c r="AC291" s="117"/>
      <c r="AD291" s="117"/>
      <c r="AE291" s="117"/>
    </row>
    <row r="292">
      <c r="A292" s="117"/>
      <c r="B292" s="117"/>
      <c r="C292" s="117"/>
      <c r="D292" s="117"/>
      <c r="E292" s="127"/>
      <c r="F292" s="127"/>
      <c r="G292" s="117"/>
      <c r="H292" s="127"/>
      <c r="I292" s="12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  <c r="AA292" s="117"/>
      <c r="AB292" s="117"/>
      <c r="AC292" s="117"/>
      <c r="AD292" s="117"/>
      <c r="AE292" s="117"/>
    </row>
    <row r="293">
      <c r="A293" s="117"/>
      <c r="B293" s="117"/>
      <c r="C293" s="117"/>
      <c r="D293" s="117"/>
      <c r="E293" s="127"/>
      <c r="F293" s="127"/>
      <c r="G293" s="117"/>
      <c r="H293" s="127"/>
      <c r="I293" s="12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117"/>
      <c r="AB293" s="117"/>
      <c r="AC293" s="117"/>
      <c r="AD293" s="117"/>
      <c r="AE293" s="117"/>
    </row>
    <row r="294">
      <c r="A294" s="117"/>
      <c r="B294" s="117"/>
      <c r="C294" s="117"/>
      <c r="D294" s="117"/>
      <c r="E294" s="127"/>
      <c r="F294" s="127"/>
      <c r="G294" s="117"/>
      <c r="H294" s="127"/>
      <c r="I294" s="12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117"/>
      <c r="AB294" s="117"/>
      <c r="AC294" s="117"/>
      <c r="AD294" s="117"/>
      <c r="AE294" s="117"/>
    </row>
    <row r="295">
      <c r="A295" s="117"/>
      <c r="B295" s="117"/>
      <c r="C295" s="117"/>
      <c r="D295" s="117"/>
      <c r="E295" s="127"/>
      <c r="F295" s="127"/>
      <c r="G295" s="117"/>
      <c r="H295" s="127"/>
      <c r="I295" s="12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  <c r="AA295" s="117"/>
      <c r="AB295" s="117"/>
      <c r="AC295" s="117"/>
      <c r="AD295" s="117"/>
      <c r="AE295" s="117"/>
    </row>
    <row r="296">
      <c r="A296" s="117"/>
      <c r="B296" s="117"/>
      <c r="C296" s="117"/>
      <c r="D296" s="117"/>
      <c r="E296" s="127"/>
      <c r="F296" s="127"/>
      <c r="G296" s="117"/>
      <c r="H296" s="127"/>
      <c r="I296" s="12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117"/>
      <c r="AB296" s="117"/>
      <c r="AC296" s="117"/>
      <c r="AD296" s="117"/>
      <c r="AE296" s="117"/>
    </row>
    <row r="297">
      <c r="A297" s="117"/>
      <c r="B297" s="117"/>
      <c r="C297" s="117"/>
      <c r="D297" s="117"/>
      <c r="E297" s="127"/>
      <c r="F297" s="127"/>
      <c r="G297" s="117"/>
      <c r="H297" s="127"/>
      <c r="I297" s="12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117"/>
      <c r="AB297" s="117"/>
      <c r="AC297" s="117"/>
      <c r="AD297" s="117"/>
      <c r="AE297" s="117"/>
    </row>
    <row r="298">
      <c r="A298" s="117"/>
      <c r="B298" s="117"/>
      <c r="C298" s="117"/>
      <c r="D298" s="117"/>
      <c r="E298" s="127"/>
      <c r="F298" s="127"/>
      <c r="G298" s="117"/>
      <c r="H298" s="127"/>
      <c r="I298" s="12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  <c r="AA298" s="117"/>
      <c r="AB298" s="117"/>
      <c r="AC298" s="117"/>
      <c r="AD298" s="117"/>
      <c r="AE298" s="117"/>
    </row>
    <row r="299">
      <c r="A299" s="117"/>
      <c r="B299" s="117"/>
      <c r="C299" s="117"/>
      <c r="D299" s="117"/>
      <c r="E299" s="127"/>
      <c r="F299" s="127"/>
      <c r="G299" s="117"/>
      <c r="H299" s="127"/>
      <c r="I299" s="12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  <c r="AB299" s="117"/>
      <c r="AC299" s="117"/>
      <c r="AD299" s="117"/>
      <c r="AE299" s="117"/>
    </row>
    <row r="300">
      <c r="A300" s="117"/>
      <c r="B300" s="117"/>
      <c r="C300" s="117"/>
      <c r="D300" s="117"/>
      <c r="E300" s="127"/>
      <c r="F300" s="127"/>
      <c r="G300" s="117"/>
      <c r="H300" s="127"/>
      <c r="I300" s="12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  <c r="AB300" s="117"/>
      <c r="AC300" s="117"/>
      <c r="AD300" s="117"/>
      <c r="AE300" s="117"/>
    </row>
    <row r="301">
      <c r="A301" s="117"/>
      <c r="B301" s="117"/>
      <c r="C301" s="117"/>
      <c r="D301" s="117"/>
      <c r="E301" s="127"/>
      <c r="F301" s="127"/>
      <c r="G301" s="117"/>
      <c r="H301" s="127"/>
      <c r="I301" s="12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  <c r="AA301" s="117"/>
      <c r="AB301" s="117"/>
      <c r="AC301" s="117"/>
      <c r="AD301" s="117"/>
      <c r="AE301" s="117"/>
    </row>
    <row r="302">
      <c r="A302" s="117"/>
      <c r="B302" s="117"/>
      <c r="C302" s="117"/>
      <c r="D302" s="117"/>
      <c r="E302" s="127"/>
      <c r="F302" s="127"/>
      <c r="G302" s="117"/>
      <c r="H302" s="127"/>
      <c r="I302" s="12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  <c r="AA302" s="117"/>
      <c r="AB302" s="117"/>
      <c r="AC302" s="117"/>
      <c r="AD302" s="117"/>
      <c r="AE302" s="117"/>
    </row>
    <row r="303">
      <c r="A303" s="117"/>
      <c r="B303" s="117"/>
      <c r="C303" s="117"/>
      <c r="D303" s="117"/>
      <c r="E303" s="127"/>
      <c r="F303" s="127"/>
      <c r="G303" s="117"/>
      <c r="H303" s="127"/>
      <c r="I303" s="12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  <c r="AA303" s="117"/>
      <c r="AB303" s="117"/>
      <c r="AC303" s="117"/>
      <c r="AD303" s="117"/>
      <c r="AE303" s="117"/>
    </row>
    <row r="304">
      <c r="A304" s="117"/>
      <c r="B304" s="117"/>
      <c r="C304" s="117"/>
      <c r="D304" s="117"/>
      <c r="E304" s="127"/>
      <c r="F304" s="127"/>
      <c r="G304" s="117"/>
      <c r="H304" s="127"/>
      <c r="I304" s="12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  <c r="AA304" s="117"/>
      <c r="AB304" s="117"/>
      <c r="AC304" s="117"/>
      <c r="AD304" s="117"/>
      <c r="AE304" s="117"/>
    </row>
    <row r="305">
      <c r="A305" s="117"/>
      <c r="B305" s="117"/>
      <c r="C305" s="117"/>
      <c r="D305" s="117"/>
      <c r="E305" s="127"/>
      <c r="F305" s="127"/>
      <c r="G305" s="117"/>
      <c r="H305" s="127"/>
      <c r="I305" s="12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  <c r="AA305" s="117"/>
      <c r="AB305" s="117"/>
      <c r="AC305" s="117"/>
      <c r="AD305" s="117"/>
      <c r="AE305" s="117"/>
    </row>
    <row r="306">
      <c r="A306" s="117"/>
      <c r="B306" s="117"/>
      <c r="C306" s="117"/>
      <c r="D306" s="117"/>
      <c r="E306" s="127"/>
      <c r="F306" s="127"/>
      <c r="G306" s="117"/>
      <c r="H306" s="127"/>
      <c r="I306" s="12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117"/>
      <c r="AB306" s="117"/>
      <c r="AC306" s="117"/>
      <c r="AD306" s="117"/>
      <c r="AE306" s="117"/>
    </row>
    <row r="307">
      <c r="A307" s="117"/>
      <c r="B307" s="117"/>
      <c r="C307" s="117"/>
      <c r="D307" s="117"/>
      <c r="E307" s="127"/>
      <c r="F307" s="127"/>
      <c r="G307" s="117"/>
      <c r="H307" s="127"/>
      <c r="I307" s="12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  <c r="AA307" s="117"/>
      <c r="AB307" s="117"/>
      <c r="AC307" s="117"/>
      <c r="AD307" s="117"/>
      <c r="AE307" s="117"/>
    </row>
    <row r="308">
      <c r="A308" s="117"/>
      <c r="B308" s="117"/>
      <c r="C308" s="117"/>
      <c r="D308" s="117"/>
      <c r="E308" s="127"/>
      <c r="F308" s="127"/>
      <c r="G308" s="117"/>
      <c r="H308" s="127"/>
      <c r="I308" s="12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  <c r="AA308" s="117"/>
      <c r="AB308" s="117"/>
      <c r="AC308" s="117"/>
      <c r="AD308" s="117"/>
      <c r="AE308" s="117"/>
    </row>
    <row r="309">
      <c r="A309" s="117"/>
      <c r="B309" s="117"/>
      <c r="C309" s="117"/>
      <c r="D309" s="117"/>
      <c r="E309" s="127"/>
      <c r="F309" s="127"/>
      <c r="G309" s="117"/>
      <c r="H309" s="127"/>
      <c r="I309" s="12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117"/>
      <c r="AB309" s="117"/>
      <c r="AC309" s="117"/>
      <c r="AD309" s="117"/>
      <c r="AE309" s="117"/>
    </row>
    <row r="310">
      <c r="A310" s="117"/>
      <c r="B310" s="117"/>
      <c r="C310" s="117"/>
      <c r="D310" s="117"/>
      <c r="E310" s="127"/>
      <c r="F310" s="127"/>
      <c r="G310" s="117"/>
      <c r="H310" s="127"/>
      <c r="I310" s="12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117"/>
      <c r="AB310" s="117"/>
      <c r="AC310" s="117"/>
      <c r="AD310" s="117"/>
      <c r="AE310" s="117"/>
    </row>
    <row r="311">
      <c r="A311" s="117"/>
      <c r="B311" s="117"/>
      <c r="C311" s="117"/>
      <c r="D311" s="117"/>
      <c r="E311" s="127"/>
      <c r="F311" s="127"/>
      <c r="G311" s="117"/>
      <c r="H311" s="127"/>
      <c r="I311" s="12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  <c r="AA311" s="117"/>
      <c r="AB311" s="117"/>
      <c r="AC311" s="117"/>
      <c r="AD311" s="117"/>
      <c r="AE311" s="117"/>
    </row>
    <row r="312">
      <c r="A312" s="117"/>
      <c r="B312" s="117"/>
      <c r="C312" s="117"/>
      <c r="D312" s="117"/>
      <c r="E312" s="127"/>
      <c r="F312" s="127"/>
      <c r="G312" s="117"/>
      <c r="H312" s="127"/>
      <c r="I312" s="12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  <c r="AA312" s="117"/>
      <c r="AB312" s="117"/>
      <c r="AC312" s="117"/>
      <c r="AD312" s="117"/>
      <c r="AE312" s="117"/>
    </row>
    <row r="313">
      <c r="A313" s="117"/>
      <c r="B313" s="117"/>
      <c r="C313" s="117"/>
      <c r="D313" s="117"/>
      <c r="E313" s="127"/>
      <c r="F313" s="127"/>
      <c r="G313" s="117"/>
      <c r="H313" s="127"/>
      <c r="I313" s="12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  <c r="AA313" s="117"/>
      <c r="AB313" s="117"/>
      <c r="AC313" s="117"/>
      <c r="AD313" s="117"/>
      <c r="AE313" s="117"/>
    </row>
    <row r="314">
      <c r="A314" s="117"/>
      <c r="B314" s="117"/>
      <c r="C314" s="117"/>
      <c r="D314" s="117"/>
      <c r="E314" s="127"/>
      <c r="F314" s="127"/>
      <c r="G314" s="117"/>
      <c r="H314" s="127"/>
      <c r="I314" s="12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  <c r="AA314" s="117"/>
      <c r="AB314" s="117"/>
      <c r="AC314" s="117"/>
      <c r="AD314" s="117"/>
      <c r="AE314" s="117"/>
    </row>
    <row r="315">
      <c r="A315" s="117"/>
      <c r="B315" s="117"/>
      <c r="C315" s="117"/>
      <c r="D315" s="117"/>
      <c r="E315" s="127"/>
      <c r="F315" s="127"/>
      <c r="G315" s="117"/>
      <c r="H315" s="127"/>
      <c r="I315" s="12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  <c r="AA315" s="117"/>
      <c r="AB315" s="117"/>
      <c r="AC315" s="117"/>
      <c r="AD315" s="117"/>
      <c r="AE315" s="117"/>
    </row>
    <row r="316">
      <c r="A316" s="117"/>
      <c r="B316" s="117"/>
      <c r="C316" s="117"/>
      <c r="D316" s="117"/>
      <c r="E316" s="127"/>
      <c r="F316" s="127"/>
      <c r="G316" s="117"/>
      <c r="H316" s="127"/>
      <c r="I316" s="12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  <c r="AA316" s="117"/>
      <c r="AB316" s="117"/>
      <c r="AC316" s="117"/>
      <c r="AD316" s="117"/>
      <c r="AE316" s="117"/>
    </row>
    <row r="317">
      <c r="A317" s="117"/>
      <c r="B317" s="117"/>
      <c r="C317" s="117"/>
      <c r="D317" s="117"/>
      <c r="E317" s="127"/>
      <c r="F317" s="127"/>
      <c r="G317" s="117"/>
      <c r="H317" s="127"/>
      <c r="I317" s="12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  <c r="AA317" s="117"/>
      <c r="AB317" s="117"/>
      <c r="AC317" s="117"/>
      <c r="AD317" s="117"/>
      <c r="AE317" s="117"/>
    </row>
    <row r="318">
      <c r="A318" s="117"/>
      <c r="B318" s="117"/>
      <c r="C318" s="117"/>
      <c r="D318" s="117"/>
      <c r="E318" s="127"/>
      <c r="F318" s="127"/>
      <c r="G318" s="117"/>
      <c r="H318" s="127"/>
      <c r="I318" s="12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  <c r="AA318" s="117"/>
      <c r="AB318" s="117"/>
      <c r="AC318" s="117"/>
      <c r="AD318" s="117"/>
      <c r="AE318" s="117"/>
    </row>
    <row r="319">
      <c r="A319" s="117"/>
      <c r="B319" s="117"/>
      <c r="C319" s="117"/>
      <c r="D319" s="117"/>
      <c r="E319" s="127"/>
      <c r="F319" s="127"/>
      <c r="G319" s="117"/>
      <c r="H319" s="127"/>
      <c r="I319" s="12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  <c r="AA319" s="117"/>
      <c r="AB319" s="117"/>
      <c r="AC319" s="117"/>
      <c r="AD319" s="117"/>
      <c r="AE319" s="117"/>
    </row>
    <row r="320">
      <c r="A320" s="117"/>
      <c r="B320" s="117"/>
      <c r="C320" s="117"/>
      <c r="D320" s="117"/>
      <c r="E320" s="127"/>
      <c r="F320" s="127"/>
      <c r="G320" s="117"/>
      <c r="H320" s="127"/>
      <c r="I320" s="12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  <c r="AA320" s="117"/>
      <c r="AB320" s="117"/>
      <c r="AC320" s="117"/>
      <c r="AD320" s="117"/>
      <c r="AE320" s="117"/>
    </row>
    <row r="321">
      <c r="A321" s="117"/>
      <c r="B321" s="117"/>
      <c r="C321" s="117"/>
      <c r="D321" s="117"/>
      <c r="E321" s="127"/>
      <c r="F321" s="127"/>
      <c r="G321" s="117"/>
      <c r="H321" s="127"/>
      <c r="I321" s="12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  <c r="AA321" s="117"/>
      <c r="AB321" s="117"/>
      <c r="AC321" s="117"/>
      <c r="AD321" s="117"/>
      <c r="AE321" s="117"/>
    </row>
    <row r="322">
      <c r="A322" s="117"/>
      <c r="B322" s="117"/>
      <c r="C322" s="117"/>
      <c r="D322" s="117"/>
      <c r="E322" s="127"/>
      <c r="F322" s="127"/>
      <c r="G322" s="117"/>
      <c r="H322" s="127"/>
      <c r="I322" s="12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  <c r="AA322" s="117"/>
      <c r="AB322" s="117"/>
      <c r="AC322" s="117"/>
      <c r="AD322" s="117"/>
      <c r="AE322" s="117"/>
    </row>
    <row r="323">
      <c r="A323" s="117"/>
      <c r="B323" s="117"/>
      <c r="C323" s="117"/>
      <c r="D323" s="117"/>
      <c r="E323" s="127"/>
      <c r="F323" s="127"/>
      <c r="G323" s="117"/>
      <c r="H323" s="127"/>
      <c r="I323" s="12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  <c r="AA323" s="117"/>
      <c r="AB323" s="117"/>
      <c r="AC323" s="117"/>
      <c r="AD323" s="117"/>
      <c r="AE323" s="117"/>
    </row>
    <row r="324">
      <c r="A324" s="117"/>
      <c r="B324" s="117"/>
      <c r="C324" s="117"/>
      <c r="D324" s="117"/>
      <c r="E324" s="127"/>
      <c r="F324" s="127"/>
      <c r="G324" s="117"/>
      <c r="H324" s="127"/>
      <c r="I324" s="12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  <c r="AA324" s="117"/>
      <c r="AB324" s="117"/>
      <c r="AC324" s="117"/>
      <c r="AD324" s="117"/>
      <c r="AE324" s="117"/>
    </row>
    <row r="325">
      <c r="A325" s="117"/>
      <c r="B325" s="117"/>
      <c r="C325" s="117"/>
      <c r="D325" s="117"/>
      <c r="E325" s="127"/>
      <c r="F325" s="127"/>
      <c r="G325" s="117"/>
      <c r="H325" s="127"/>
      <c r="I325" s="12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  <c r="AA325" s="117"/>
      <c r="AB325" s="117"/>
      <c r="AC325" s="117"/>
      <c r="AD325" s="117"/>
      <c r="AE325" s="117"/>
    </row>
    <row r="326">
      <c r="A326" s="117"/>
      <c r="B326" s="117"/>
      <c r="C326" s="117"/>
      <c r="D326" s="117"/>
      <c r="E326" s="127"/>
      <c r="F326" s="127"/>
      <c r="G326" s="117"/>
      <c r="H326" s="127"/>
      <c r="I326" s="12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117"/>
      <c r="AB326" s="117"/>
      <c r="AC326" s="117"/>
      <c r="AD326" s="117"/>
      <c r="AE326" s="117"/>
    </row>
    <row r="327">
      <c r="A327" s="117"/>
      <c r="B327" s="117"/>
      <c r="C327" s="117"/>
      <c r="D327" s="117"/>
      <c r="E327" s="127"/>
      <c r="F327" s="127"/>
      <c r="G327" s="117"/>
      <c r="H327" s="127"/>
      <c r="I327" s="12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  <c r="AA327" s="117"/>
      <c r="AB327" s="117"/>
      <c r="AC327" s="117"/>
      <c r="AD327" s="117"/>
      <c r="AE327" s="117"/>
    </row>
    <row r="328">
      <c r="A328" s="117"/>
      <c r="B328" s="117"/>
      <c r="C328" s="117"/>
      <c r="D328" s="117"/>
      <c r="E328" s="127"/>
      <c r="F328" s="127"/>
      <c r="G328" s="117"/>
      <c r="H328" s="127"/>
      <c r="I328" s="12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  <c r="AA328" s="117"/>
      <c r="AB328" s="117"/>
      <c r="AC328" s="117"/>
      <c r="AD328" s="117"/>
      <c r="AE328" s="117"/>
    </row>
    <row r="329">
      <c r="A329" s="117"/>
      <c r="B329" s="117"/>
      <c r="C329" s="117"/>
      <c r="D329" s="117"/>
      <c r="E329" s="127"/>
      <c r="F329" s="127"/>
      <c r="G329" s="117"/>
      <c r="H329" s="127"/>
      <c r="I329" s="12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  <c r="AB329" s="117"/>
      <c r="AC329" s="117"/>
      <c r="AD329" s="117"/>
      <c r="AE329" s="117"/>
    </row>
    <row r="330">
      <c r="A330" s="117"/>
      <c r="B330" s="117"/>
      <c r="C330" s="117"/>
      <c r="D330" s="117"/>
      <c r="E330" s="127"/>
      <c r="F330" s="127"/>
      <c r="G330" s="117"/>
      <c r="H330" s="127"/>
      <c r="I330" s="12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  <c r="AA330" s="117"/>
      <c r="AB330" s="117"/>
      <c r="AC330" s="117"/>
      <c r="AD330" s="117"/>
      <c r="AE330" s="117"/>
    </row>
    <row r="331">
      <c r="A331" s="117"/>
      <c r="B331" s="117"/>
      <c r="C331" s="117"/>
      <c r="D331" s="117"/>
      <c r="E331" s="127"/>
      <c r="F331" s="127"/>
      <c r="G331" s="117"/>
      <c r="H331" s="127"/>
      <c r="I331" s="12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  <c r="AA331" s="117"/>
      <c r="AB331" s="117"/>
      <c r="AC331" s="117"/>
      <c r="AD331" s="117"/>
      <c r="AE331" s="117"/>
    </row>
    <row r="332">
      <c r="A332" s="117"/>
      <c r="B332" s="117"/>
      <c r="C332" s="117"/>
      <c r="D332" s="117"/>
      <c r="E332" s="127"/>
      <c r="F332" s="127"/>
      <c r="G332" s="117"/>
      <c r="H332" s="127"/>
      <c r="I332" s="12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  <c r="AA332" s="117"/>
      <c r="AB332" s="117"/>
      <c r="AC332" s="117"/>
      <c r="AD332" s="117"/>
      <c r="AE332" s="117"/>
    </row>
    <row r="333">
      <c r="A333" s="117"/>
      <c r="B333" s="117"/>
      <c r="C333" s="117"/>
      <c r="D333" s="117"/>
      <c r="E333" s="127"/>
      <c r="F333" s="127"/>
      <c r="G333" s="117"/>
      <c r="H333" s="127"/>
      <c r="I333" s="12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  <c r="AA333" s="117"/>
      <c r="AB333" s="117"/>
      <c r="AC333" s="117"/>
      <c r="AD333" s="117"/>
      <c r="AE333" s="117"/>
    </row>
    <row r="334">
      <c r="A334" s="117"/>
      <c r="B334" s="117"/>
      <c r="C334" s="117"/>
      <c r="D334" s="117"/>
      <c r="E334" s="127"/>
      <c r="F334" s="127"/>
      <c r="G334" s="117"/>
      <c r="H334" s="127"/>
      <c r="I334" s="12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  <c r="AA334" s="117"/>
      <c r="AB334" s="117"/>
      <c r="AC334" s="117"/>
      <c r="AD334" s="117"/>
      <c r="AE334" s="117"/>
    </row>
    <row r="335">
      <c r="A335" s="117"/>
      <c r="B335" s="117"/>
      <c r="C335" s="117"/>
      <c r="D335" s="117"/>
      <c r="E335" s="127"/>
      <c r="F335" s="127"/>
      <c r="G335" s="117"/>
      <c r="H335" s="127"/>
      <c r="I335" s="12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  <c r="AA335" s="117"/>
      <c r="AB335" s="117"/>
      <c r="AC335" s="117"/>
      <c r="AD335" s="117"/>
      <c r="AE335" s="117"/>
    </row>
    <row r="336">
      <c r="A336" s="117"/>
      <c r="B336" s="117"/>
      <c r="C336" s="117"/>
      <c r="D336" s="117"/>
      <c r="E336" s="127"/>
      <c r="F336" s="127"/>
      <c r="G336" s="117"/>
      <c r="H336" s="127"/>
      <c r="I336" s="12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  <c r="AA336" s="117"/>
      <c r="AB336" s="117"/>
      <c r="AC336" s="117"/>
      <c r="AD336" s="117"/>
      <c r="AE336" s="117"/>
    </row>
    <row r="337">
      <c r="A337" s="117"/>
      <c r="B337" s="117"/>
      <c r="C337" s="117"/>
      <c r="D337" s="117"/>
      <c r="E337" s="127"/>
      <c r="F337" s="127"/>
      <c r="G337" s="117"/>
      <c r="H337" s="127"/>
      <c r="I337" s="12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  <c r="AA337" s="117"/>
      <c r="AB337" s="117"/>
      <c r="AC337" s="117"/>
      <c r="AD337" s="117"/>
      <c r="AE337" s="117"/>
    </row>
    <row r="338">
      <c r="A338" s="117"/>
      <c r="B338" s="117"/>
      <c r="C338" s="117"/>
      <c r="D338" s="117"/>
      <c r="E338" s="127"/>
      <c r="F338" s="127"/>
      <c r="G338" s="117"/>
      <c r="H338" s="127"/>
      <c r="I338" s="12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  <c r="AA338" s="117"/>
      <c r="AB338" s="117"/>
      <c r="AC338" s="117"/>
      <c r="AD338" s="117"/>
      <c r="AE338" s="117"/>
    </row>
    <row r="339">
      <c r="A339" s="117"/>
      <c r="B339" s="117"/>
      <c r="C339" s="117"/>
      <c r="D339" s="117"/>
      <c r="E339" s="127"/>
      <c r="F339" s="127"/>
      <c r="G339" s="117"/>
      <c r="H339" s="127"/>
      <c r="I339" s="12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  <c r="AA339" s="117"/>
      <c r="AB339" s="117"/>
      <c r="AC339" s="117"/>
      <c r="AD339" s="117"/>
      <c r="AE339" s="117"/>
    </row>
    <row r="340">
      <c r="A340" s="117"/>
      <c r="B340" s="117"/>
      <c r="C340" s="117"/>
      <c r="D340" s="117"/>
      <c r="E340" s="127"/>
      <c r="F340" s="127"/>
      <c r="G340" s="117"/>
      <c r="H340" s="127"/>
      <c r="I340" s="12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  <c r="AA340" s="117"/>
      <c r="AB340" s="117"/>
      <c r="AC340" s="117"/>
      <c r="AD340" s="117"/>
      <c r="AE340" s="117"/>
    </row>
    <row r="341">
      <c r="A341" s="117"/>
      <c r="B341" s="117"/>
      <c r="C341" s="117"/>
      <c r="D341" s="117"/>
      <c r="E341" s="127"/>
      <c r="F341" s="127"/>
      <c r="G341" s="117"/>
      <c r="H341" s="127"/>
      <c r="I341" s="12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  <c r="AA341" s="117"/>
      <c r="AB341" s="117"/>
      <c r="AC341" s="117"/>
      <c r="AD341" s="117"/>
      <c r="AE341" s="117"/>
    </row>
    <row r="342">
      <c r="A342" s="117"/>
      <c r="B342" s="117"/>
      <c r="C342" s="117"/>
      <c r="D342" s="117"/>
      <c r="E342" s="127"/>
      <c r="F342" s="127"/>
      <c r="G342" s="117"/>
      <c r="H342" s="127"/>
      <c r="I342" s="12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  <c r="AA342" s="117"/>
      <c r="AB342" s="117"/>
      <c r="AC342" s="117"/>
      <c r="AD342" s="117"/>
      <c r="AE342" s="117"/>
    </row>
    <row r="343">
      <c r="A343" s="117"/>
      <c r="B343" s="117"/>
      <c r="C343" s="117"/>
      <c r="D343" s="117"/>
      <c r="E343" s="127"/>
      <c r="F343" s="127"/>
      <c r="G343" s="117"/>
      <c r="H343" s="127"/>
      <c r="I343" s="12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  <c r="AA343" s="117"/>
      <c r="AB343" s="117"/>
      <c r="AC343" s="117"/>
      <c r="AD343" s="117"/>
      <c r="AE343" s="117"/>
    </row>
    <row r="344">
      <c r="A344" s="117"/>
      <c r="B344" s="117"/>
      <c r="C344" s="117"/>
      <c r="D344" s="117"/>
      <c r="E344" s="127"/>
      <c r="F344" s="127"/>
      <c r="G344" s="117"/>
      <c r="H344" s="127"/>
      <c r="I344" s="12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  <c r="AA344" s="117"/>
      <c r="AB344" s="117"/>
      <c r="AC344" s="117"/>
      <c r="AD344" s="117"/>
      <c r="AE344" s="117"/>
    </row>
    <row r="345">
      <c r="A345" s="117"/>
      <c r="B345" s="117"/>
      <c r="C345" s="117"/>
      <c r="D345" s="117"/>
      <c r="E345" s="127"/>
      <c r="F345" s="127"/>
      <c r="G345" s="117"/>
      <c r="H345" s="127"/>
      <c r="I345" s="12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  <c r="AA345" s="117"/>
      <c r="AB345" s="117"/>
      <c r="AC345" s="117"/>
      <c r="AD345" s="117"/>
      <c r="AE345" s="117"/>
    </row>
    <row r="346">
      <c r="A346" s="117"/>
      <c r="B346" s="117"/>
      <c r="C346" s="117"/>
      <c r="D346" s="117"/>
      <c r="E346" s="127"/>
      <c r="F346" s="127"/>
      <c r="G346" s="117"/>
      <c r="H346" s="127"/>
      <c r="I346" s="12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  <c r="AA346" s="117"/>
      <c r="AB346" s="117"/>
      <c r="AC346" s="117"/>
      <c r="AD346" s="117"/>
      <c r="AE346" s="117"/>
    </row>
    <row r="347">
      <c r="A347" s="117"/>
      <c r="B347" s="117"/>
      <c r="C347" s="117"/>
      <c r="D347" s="117"/>
      <c r="E347" s="127"/>
      <c r="F347" s="127"/>
      <c r="G347" s="117"/>
      <c r="H347" s="127"/>
      <c r="I347" s="12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  <c r="AA347" s="117"/>
      <c r="AB347" s="117"/>
      <c r="AC347" s="117"/>
      <c r="AD347" s="117"/>
      <c r="AE347" s="117"/>
    </row>
    <row r="348">
      <c r="A348" s="117"/>
      <c r="B348" s="117"/>
      <c r="C348" s="117"/>
      <c r="D348" s="117"/>
      <c r="E348" s="127"/>
      <c r="F348" s="127"/>
      <c r="G348" s="117"/>
      <c r="H348" s="127"/>
      <c r="I348" s="12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  <c r="AA348" s="117"/>
      <c r="AB348" s="117"/>
      <c r="AC348" s="117"/>
      <c r="AD348" s="117"/>
      <c r="AE348" s="117"/>
    </row>
    <row r="349">
      <c r="A349" s="117"/>
      <c r="B349" s="117"/>
      <c r="C349" s="117"/>
      <c r="D349" s="117"/>
      <c r="E349" s="127"/>
      <c r="F349" s="127"/>
      <c r="G349" s="117"/>
      <c r="H349" s="127"/>
      <c r="I349" s="12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  <c r="AA349" s="117"/>
      <c r="AB349" s="117"/>
      <c r="AC349" s="117"/>
      <c r="AD349" s="117"/>
      <c r="AE349" s="117"/>
    </row>
    <row r="350">
      <c r="A350" s="117"/>
      <c r="B350" s="117"/>
      <c r="C350" s="117"/>
      <c r="D350" s="117"/>
      <c r="E350" s="127"/>
      <c r="F350" s="127"/>
      <c r="G350" s="117"/>
      <c r="H350" s="127"/>
      <c r="I350" s="12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  <c r="AA350" s="117"/>
      <c r="AB350" s="117"/>
      <c r="AC350" s="117"/>
      <c r="AD350" s="117"/>
      <c r="AE350" s="117"/>
    </row>
    <row r="351">
      <c r="A351" s="117"/>
      <c r="B351" s="117"/>
      <c r="C351" s="117"/>
      <c r="D351" s="117"/>
      <c r="E351" s="127"/>
      <c r="F351" s="127"/>
      <c r="G351" s="117"/>
      <c r="H351" s="127"/>
      <c r="I351" s="12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  <c r="AA351" s="117"/>
      <c r="AB351" s="117"/>
      <c r="AC351" s="117"/>
      <c r="AD351" s="117"/>
      <c r="AE351" s="117"/>
    </row>
    <row r="352">
      <c r="A352" s="117"/>
      <c r="B352" s="117"/>
      <c r="C352" s="117"/>
      <c r="D352" s="117"/>
      <c r="E352" s="127"/>
      <c r="F352" s="127"/>
      <c r="G352" s="117"/>
      <c r="H352" s="127"/>
      <c r="I352" s="12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  <c r="AA352" s="117"/>
      <c r="AB352" s="117"/>
      <c r="AC352" s="117"/>
      <c r="AD352" s="117"/>
      <c r="AE352" s="117"/>
    </row>
    <row r="353">
      <c r="A353" s="117"/>
      <c r="B353" s="117"/>
      <c r="C353" s="117"/>
      <c r="D353" s="117"/>
      <c r="E353" s="127"/>
      <c r="F353" s="127"/>
      <c r="G353" s="117"/>
      <c r="H353" s="127"/>
      <c r="I353" s="12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  <c r="AA353" s="117"/>
      <c r="AB353" s="117"/>
      <c r="AC353" s="117"/>
      <c r="AD353" s="117"/>
      <c r="AE353" s="117"/>
    </row>
    <row r="354">
      <c r="A354" s="117"/>
      <c r="B354" s="117"/>
      <c r="C354" s="117"/>
      <c r="D354" s="117"/>
      <c r="E354" s="127"/>
      <c r="F354" s="127"/>
      <c r="G354" s="117"/>
      <c r="H354" s="127"/>
      <c r="I354" s="12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  <c r="AA354" s="117"/>
      <c r="AB354" s="117"/>
      <c r="AC354" s="117"/>
      <c r="AD354" s="117"/>
      <c r="AE354" s="117"/>
    </row>
    <row r="355">
      <c r="A355" s="117"/>
      <c r="B355" s="117"/>
      <c r="C355" s="117"/>
      <c r="D355" s="117"/>
      <c r="E355" s="127"/>
      <c r="F355" s="127"/>
      <c r="G355" s="117"/>
      <c r="H355" s="127"/>
      <c r="I355" s="12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  <c r="AA355" s="117"/>
      <c r="AB355" s="117"/>
      <c r="AC355" s="117"/>
      <c r="AD355" s="117"/>
      <c r="AE355" s="117"/>
    </row>
    <row r="356">
      <c r="A356" s="117"/>
      <c r="B356" s="117"/>
      <c r="C356" s="117"/>
      <c r="D356" s="117"/>
      <c r="E356" s="127"/>
      <c r="F356" s="127"/>
      <c r="G356" s="117"/>
      <c r="H356" s="127"/>
      <c r="I356" s="12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  <c r="AA356" s="117"/>
      <c r="AB356" s="117"/>
      <c r="AC356" s="117"/>
      <c r="AD356" s="117"/>
      <c r="AE356" s="117"/>
    </row>
    <row r="357">
      <c r="A357" s="117"/>
      <c r="B357" s="117"/>
      <c r="C357" s="117"/>
      <c r="D357" s="117"/>
      <c r="E357" s="127"/>
      <c r="F357" s="127"/>
      <c r="G357" s="117"/>
      <c r="H357" s="127"/>
      <c r="I357" s="12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  <c r="AA357" s="117"/>
      <c r="AB357" s="117"/>
      <c r="AC357" s="117"/>
      <c r="AD357" s="117"/>
      <c r="AE357" s="117"/>
    </row>
    <row r="358">
      <c r="A358" s="117"/>
      <c r="B358" s="117"/>
      <c r="C358" s="117"/>
      <c r="D358" s="117"/>
      <c r="E358" s="127"/>
      <c r="F358" s="127"/>
      <c r="G358" s="117"/>
      <c r="H358" s="127"/>
      <c r="I358" s="12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  <c r="AA358" s="117"/>
      <c r="AB358" s="117"/>
      <c r="AC358" s="117"/>
      <c r="AD358" s="117"/>
      <c r="AE358" s="117"/>
    </row>
    <row r="359">
      <c r="A359" s="117"/>
      <c r="B359" s="117"/>
      <c r="C359" s="117"/>
      <c r="D359" s="117"/>
      <c r="E359" s="127"/>
      <c r="F359" s="127"/>
      <c r="G359" s="117"/>
      <c r="H359" s="127"/>
      <c r="I359" s="12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  <c r="AA359" s="117"/>
      <c r="AB359" s="117"/>
      <c r="AC359" s="117"/>
      <c r="AD359" s="117"/>
      <c r="AE359" s="117"/>
    </row>
    <row r="360">
      <c r="A360" s="117"/>
      <c r="B360" s="117"/>
      <c r="C360" s="117"/>
      <c r="D360" s="117"/>
      <c r="E360" s="127"/>
      <c r="F360" s="127"/>
      <c r="G360" s="117"/>
      <c r="H360" s="127"/>
      <c r="I360" s="12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  <c r="AA360" s="117"/>
      <c r="AB360" s="117"/>
      <c r="AC360" s="117"/>
      <c r="AD360" s="117"/>
      <c r="AE360" s="117"/>
    </row>
    <row r="361">
      <c r="A361" s="117"/>
      <c r="B361" s="117"/>
      <c r="C361" s="117"/>
      <c r="D361" s="117"/>
      <c r="E361" s="127"/>
      <c r="F361" s="127"/>
      <c r="G361" s="117"/>
      <c r="H361" s="127"/>
      <c r="I361" s="12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  <c r="AA361" s="117"/>
      <c r="AB361" s="117"/>
      <c r="AC361" s="117"/>
      <c r="AD361" s="117"/>
      <c r="AE361" s="117"/>
    </row>
    <row r="362">
      <c r="A362" s="117"/>
      <c r="B362" s="117"/>
      <c r="C362" s="117"/>
      <c r="D362" s="117"/>
      <c r="E362" s="127"/>
      <c r="F362" s="127"/>
      <c r="G362" s="117"/>
      <c r="H362" s="127"/>
      <c r="I362" s="12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  <c r="AA362" s="117"/>
      <c r="AB362" s="117"/>
      <c r="AC362" s="117"/>
      <c r="AD362" s="117"/>
      <c r="AE362" s="117"/>
    </row>
    <row r="363">
      <c r="A363" s="117"/>
      <c r="B363" s="117"/>
      <c r="C363" s="117"/>
      <c r="D363" s="117"/>
      <c r="E363" s="127"/>
      <c r="F363" s="127"/>
      <c r="G363" s="117"/>
      <c r="H363" s="127"/>
      <c r="I363" s="12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  <c r="AA363" s="117"/>
      <c r="AB363" s="117"/>
      <c r="AC363" s="117"/>
      <c r="AD363" s="117"/>
      <c r="AE363" s="117"/>
    </row>
    <row r="364">
      <c r="A364" s="117"/>
      <c r="B364" s="117"/>
      <c r="C364" s="117"/>
      <c r="D364" s="117"/>
      <c r="E364" s="127"/>
      <c r="F364" s="127"/>
      <c r="G364" s="117"/>
      <c r="H364" s="127"/>
      <c r="I364" s="12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117"/>
      <c r="AB364" s="117"/>
      <c r="AC364" s="117"/>
      <c r="AD364" s="117"/>
      <c r="AE364" s="117"/>
    </row>
    <row r="365">
      <c r="A365" s="117"/>
      <c r="B365" s="117"/>
      <c r="C365" s="117"/>
      <c r="D365" s="117"/>
      <c r="E365" s="127"/>
      <c r="F365" s="127"/>
      <c r="G365" s="117"/>
      <c r="H365" s="127"/>
      <c r="I365" s="12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  <c r="AA365" s="117"/>
      <c r="AB365" s="117"/>
      <c r="AC365" s="117"/>
      <c r="AD365" s="117"/>
      <c r="AE365" s="117"/>
    </row>
    <row r="366">
      <c r="A366" s="117"/>
      <c r="B366" s="117"/>
      <c r="C366" s="117"/>
      <c r="D366" s="117"/>
      <c r="E366" s="127"/>
      <c r="F366" s="127"/>
      <c r="G366" s="117"/>
      <c r="H366" s="127"/>
      <c r="I366" s="12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  <c r="AA366" s="117"/>
      <c r="AB366" s="117"/>
      <c r="AC366" s="117"/>
      <c r="AD366" s="117"/>
      <c r="AE366" s="117"/>
    </row>
    <row r="367">
      <c r="A367" s="117"/>
      <c r="B367" s="117"/>
      <c r="C367" s="117"/>
      <c r="D367" s="117"/>
      <c r="E367" s="127"/>
      <c r="F367" s="127"/>
      <c r="G367" s="117"/>
      <c r="H367" s="127"/>
      <c r="I367" s="12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  <c r="AA367" s="117"/>
      <c r="AB367" s="117"/>
      <c r="AC367" s="117"/>
      <c r="AD367" s="117"/>
      <c r="AE367" s="117"/>
    </row>
    <row r="368">
      <c r="A368" s="117"/>
      <c r="B368" s="117"/>
      <c r="C368" s="117"/>
      <c r="D368" s="117"/>
      <c r="E368" s="127"/>
      <c r="F368" s="127"/>
      <c r="G368" s="117"/>
      <c r="H368" s="127"/>
      <c r="I368" s="12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  <c r="AA368" s="117"/>
      <c r="AB368" s="117"/>
      <c r="AC368" s="117"/>
      <c r="AD368" s="117"/>
      <c r="AE368" s="117"/>
    </row>
    <row r="369">
      <c r="A369" s="117"/>
      <c r="B369" s="117"/>
      <c r="C369" s="117"/>
      <c r="D369" s="117"/>
      <c r="E369" s="127"/>
      <c r="F369" s="127"/>
      <c r="G369" s="117"/>
      <c r="H369" s="127"/>
      <c r="I369" s="12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  <c r="AA369" s="117"/>
      <c r="AB369" s="117"/>
      <c r="AC369" s="117"/>
      <c r="AD369" s="117"/>
      <c r="AE369" s="117"/>
    </row>
    <row r="370">
      <c r="A370" s="117"/>
      <c r="B370" s="117"/>
      <c r="C370" s="117"/>
      <c r="D370" s="117"/>
      <c r="E370" s="127"/>
      <c r="F370" s="127"/>
      <c r="G370" s="117"/>
      <c r="H370" s="127"/>
      <c r="I370" s="12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  <c r="AA370" s="117"/>
      <c r="AB370" s="117"/>
      <c r="AC370" s="117"/>
      <c r="AD370" s="117"/>
      <c r="AE370" s="117"/>
    </row>
    <row r="371">
      <c r="A371" s="117"/>
      <c r="B371" s="117"/>
      <c r="C371" s="117"/>
      <c r="D371" s="117"/>
      <c r="E371" s="127"/>
      <c r="F371" s="127"/>
      <c r="G371" s="117"/>
      <c r="H371" s="127"/>
      <c r="I371" s="12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  <c r="AA371" s="117"/>
      <c r="AB371" s="117"/>
      <c r="AC371" s="117"/>
      <c r="AD371" s="117"/>
      <c r="AE371" s="117"/>
    </row>
    <row r="372">
      <c r="A372" s="117"/>
      <c r="B372" s="117"/>
      <c r="C372" s="117"/>
      <c r="D372" s="117"/>
      <c r="E372" s="127"/>
      <c r="F372" s="127"/>
      <c r="G372" s="117"/>
      <c r="H372" s="127"/>
      <c r="I372" s="12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  <c r="AA372" s="117"/>
      <c r="AB372" s="117"/>
      <c r="AC372" s="117"/>
      <c r="AD372" s="117"/>
      <c r="AE372" s="117"/>
    </row>
    <row r="373">
      <c r="A373" s="117"/>
      <c r="B373" s="117"/>
      <c r="C373" s="117"/>
      <c r="D373" s="117"/>
      <c r="E373" s="127"/>
      <c r="F373" s="127"/>
      <c r="G373" s="117"/>
      <c r="H373" s="127"/>
      <c r="I373" s="12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  <c r="AA373" s="117"/>
      <c r="AB373" s="117"/>
      <c r="AC373" s="117"/>
      <c r="AD373" s="117"/>
      <c r="AE373" s="117"/>
    </row>
    <row r="374">
      <c r="A374" s="117"/>
      <c r="B374" s="117"/>
      <c r="C374" s="117"/>
      <c r="D374" s="117"/>
      <c r="E374" s="127"/>
      <c r="F374" s="127"/>
      <c r="G374" s="117"/>
      <c r="H374" s="127"/>
      <c r="I374" s="12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  <c r="AB374" s="117"/>
      <c r="AC374" s="117"/>
      <c r="AD374" s="117"/>
      <c r="AE374" s="117"/>
    </row>
    <row r="375">
      <c r="A375" s="117"/>
      <c r="B375" s="117"/>
      <c r="C375" s="117"/>
      <c r="D375" s="117"/>
      <c r="E375" s="127"/>
      <c r="F375" s="127"/>
      <c r="G375" s="117"/>
      <c r="H375" s="127"/>
      <c r="I375" s="12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  <c r="AB375" s="117"/>
      <c r="AC375" s="117"/>
      <c r="AD375" s="117"/>
      <c r="AE375" s="117"/>
    </row>
    <row r="376">
      <c r="A376" s="117"/>
      <c r="B376" s="117"/>
      <c r="C376" s="117"/>
      <c r="D376" s="117"/>
      <c r="E376" s="127"/>
      <c r="F376" s="127"/>
      <c r="G376" s="117"/>
      <c r="H376" s="127"/>
      <c r="I376" s="12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  <c r="AB376" s="117"/>
      <c r="AC376" s="117"/>
      <c r="AD376" s="117"/>
      <c r="AE376" s="117"/>
    </row>
    <row r="377">
      <c r="A377" s="117"/>
      <c r="B377" s="117"/>
      <c r="C377" s="117"/>
      <c r="D377" s="117"/>
      <c r="E377" s="127"/>
      <c r="F377" s="127"/>
      <c r="G377" s="117"/>
      <c r="H377" s="127"/>
      <c r="I377" s="12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  <c r="AB377" s="117"/>
      <c r="AC377" s="117"/>
      <c r="AD377" s="117"/>
      <c r="AE377" s="117"/>
    </row>
    <row r="378">
      <c r="A378" s="117"/>
      <c r="B378" s="117"/>
      <c r="C378" s="117"/>
      <c r="D378" s="117"/>
      <c r="E378" s="127"/>
      <c r="F378" s="127"/>
      <c r="G378" s="117"/>
      <c r="H378" s="127"/>
      <c r="I378" s="12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  <c r="AB378" s="117"/>
      <c r="AC378" s="117"/>
      <c r="AD378" s="117"/>
      <c r="AE378" s="117"/>
    </row>
    <row r="379">
      <c r="A379" s="117"/>
      <c r="B379" s="117"/>
      <c r="C379" s="117"/>
      <c r="D379" s="117"/>
      <c r="E379" s="127"/>
      <c r="F379" s="127"/>
      <c r="G379" s="117"/>
      <c r="H379" s="127"/>
      <c r="I379" s="12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  <c r="AB379" s="117"/>
      <c r="AC379" s="117"/>
      <c r="AD379" s="117"/>
      <c r="AE379" s="117"/>
    </row>
    <row r="380">
      <c r="A380" s="117"/>
      <c r="B380" s="117"/>
      <c r="C380" s="117"/>
      <c r="D380" s="117"/>
      <c r="E380" s="127"/>
      <c r="F380" s="127"/>
      <c r="G380" s="117"/>
      <c r="H380" s="127"/>
      <c r="I380" s="12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  <c r="AB380" s="117"/>
      <c r="AC380" s="117"/>
      <c r="AD380" s="117"/>
      <c r="AE380" s="117"/>
    </row>
    <row r="381">
      <c r="A381" s="117"/>
      <c r="B381" s="117"/>
      <c r="C381" s="117"/>
      <c r="D381" s="117"/>
      <c r="E381" s="127"/>
      <c r="F381" s="127"/>
      <c r="G381" s="117"/>
      <c r="H381" s="127"/>
      <c r="I381" s="12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  <c r="AB381" s="117"/>
      <c r="AC381" s="117"/>
      <c r="AD381" s="117"/>
      <c r="AE381" s="117"/>
    </row>
    <row r="382">
      <c r="A382" s="117"/>
      <c r="B382" s="117"/>
      <c r="C382" s="117"/>
      <c r="D382" s="117"/>
      <c r="E382" s="127"/>
      <c r="F382" s="127"/>
      <c r="G382" s="117"/>
      <c r="H382" s="127"/>
      <c r="I382" s="12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  <c r="AB382" s="117"/>
      <c r="AC382" s="117"/>
      <c r="AD382" s="117"/>
      <c r="AE382" s="117"/>
    </row>
    <row r="383">
      <c r="A383" s="117"/>
      <c r="B383" s="117"/>
      <c r="C383" s="117"/>
      <c r="D383" s="117"/>
      <c r="E383" s="127"/>
      <c r="F383" s="127"/>
      <c r="G383" s="117"/>
      <c r="H383" s="127"/>
      <c r="I383" s="12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  <c r="AB383" s="117"/>
      <c r="AC383" s="117"/>
      <c r="AD383" s="117"/>
      <c r="AE383" s="117"/>
    </row>
    <row r="384">
      <c r="A384" s="117"/>
      <c r="B384" s="117"/>
      <c r="C384" s="117"/>
      <c r="D384" s="117"/>
      <c r="E384" s="127"/>
      <c r="F384" s="127"/>
      <c r="G384" s="117"/>
      <c r="H384" s="127"/>
      <c r="I384" s="12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  <c r="AB384" s="117"/>
      <c r="AC384" s="117"/>
      <c r="AD384" s="117"/>
      <c r="AE384" s="117"/>
    </row>
    <row r="385">
      <c r="A385" s="117"/>
      <c r="B385" s="117"/>
      <c r="C385" s="117"/>
      <c r="D385" s="117"/>
      <c r="E385" s="127"/>
      <c r="F385" s="127"/>
      <c r="G385" s="117"/>
      <c r="H385" s="127"/>
      <c r="I385" s="12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  <c r="AB385" s="117"/>
      <c r="AC385" s="117"/>
      <c r="AD385" s="117"/>
      <c r="AE385" s="117"/>
    </row>
    <row r="386">
      <c r="A386" s="117"/>
      <c r="B386" s="117"/>
      <c r="C386" s="117"/>
      <c r="D386" s="117"/>
      <c r="E386" s="127"/>
      <c r="F386" s="127"/>
      <c r="G386" s="117"/>
      <c r="H386" s="127"/>
      <c r="I386" s="12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  <c r="AB386" s="117"/>
      <c r="AC386" s="117"/>
      <c r="AD386" s="117"/>
      <c r="AE386" s="117"/>
    </row>
    <row r="387">
      <c r="A387" s="117"/>
      <c r="B387" s="117"/>
      <c r="C387" s="117"/>
      <c r="D387" s="117"/>
      <c r="E387" s="127"/>
      <c r="F387" s="127"/>
      <c r="G387" s="117"/>
      <c r="H387" s="127"/>
      <c r="I387" s="12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  <c r="AB387" s="117"/>
      <c r="AC387" s="117"/>
      <c r="AD387" s="117"/>
      <c r="AE387" s="117"/>
    </row>
    <row r="388">
      <c r="A388" s="117"/>
      <c r="B388" s="117"/>
      <c r="C388" s="117"/>
      <c r="D388" s="117"/>
      <c r="E388" s="127"/>
      <c r="F388" s="127"/>
      <c r="G388" s="117"/>
      <c r="H388" s="127"/>
      <c r="I388" s="12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  <c r="AB388" s="117"/>
      <c r="AC388" s="117"/>
      <c r="AD388" s="117"/>
      <c r="AE388" s="117"/>
    </row>
    <row r="389">
      <c r="A389" s="117"/>
      <c r="B389" s="117"/>
      <c r="C389" s="117"/>
      <c r="D389" s="117"/>
      <c r="E389" s="127"/>
      <c r="F389" s="127"/>
      <c r="G389" s="117"/>
      <c r="H389" s="127"/>
      <c r="I389" s="12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  <c r="AB389" s="117"/>
      <c r="AC389" s="117"/>
      <c r="AD389" s="117"/>
      <c r="AE389" s="117"/>
    </row>
    <row r="390">
      <c r="A390" s="117"/>
      <c r="B390" s="117"/>
      <c r="C390" s="117"/>
      <c r="D390" s="117"/>
      <c r="E390" s="127"/>
      <c r="F390" s="127"/>
      <c r="G390" s="117"/>
      <c r="H390" s="127"/>
      <c r="I390" s="12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  <c r="AB390" s="117"/>
      <c r="AC390" s="117"/>
      <c r="AD390" s="117"/>
      <c r="AE390" s="117"/>
    </row>
    <row r="391">
      <c r="A391" s="117"/>
      <c r="B391" s="117"/>
      <c r="C391" s="117"/>
      <c r="D391" s="117"/>
      <c r="E391" s="127"/>
      <c r="F391" s="127"/>
      <c r="G391" s="117"/>
      <c r="H391" s="127"/>
      <c r="I391" s="12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  <c r="AB391" s="117"/>
      <c r="AC391" s="117"/>
      <c r="AD391" s="117"/>
      <c r="AE391" s="117"/>
    </row>
    <row r="392">
      <c r="A392" s="117"/>
      <c r="B392" s="117"/>
      <c r="C392" s="117"/>
      <c r="D392" s="117"/>
      <c r="E392" s="127"/>
      <c r="F392" s="127"/>
      <c r="G392" s="117"/>
      <c r="H392" s="127"/>
      <c r="I392" s="12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  <c r="AB392" s="117"/>
      <c r="AC392" s="117"/>
      <c r="AD392" s="117"/>
      <c r="AE392" s="117"/>
    </row>
    <row r="393">
      <c r="A393" s="117"/>
      <c r="B393" s="117"/>
      <c r="C393" s="117"/>
      <c r="D393" s="117"/>
      <c r="E393" s="127"/>
      <c r="F393" s="127"/>
      <c r="G393" s="117"/>
      <c r="H393" s="127"/>
      <c r="I393" s="12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  <c r="AB393" s="117"/>
      <c r="AC393" s="117"/>
      <c r="AD393" s="117"/>
      <c r="AE393" s="117"/>
    </row>
    <row r="394">
      <c r="A394" s="117"/>
      <c r="B394" s="117"/>
      <c r="C394" s="117"/>
      <c r="D394" s="117"/>
      <c r="E394" s="127"/>
      <c r="F394" s="127"/>
      <c r="G394" s="117"/>
      <c r="H394" s="127"/>
      <c r="I394" s="12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  <c r="AB394" s="117"/>
      <c r="AC394" s="117"/>
      <c r="AD394" s="117"/>
      <c r="AE394" s="117"/>
    </row>
    <row r="395">
      <c r="A395" s="117"/>
      <c r="B395" s="117"/>
      <c r="C395" s="117"/>
      <c r="D395" s="117"/>
      <c r="E395" s="127"/>
      <c r="F395" s="127"/>
      <c r="G395" s="117"/>
      <c r="H395" s="127"/>
      <c r="I395" s="12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  <c r="AB395" s="117"/>
      <c r="AC395" s="117"/>
      <c r="AD395" s="117"/>
      <c r="AE395" s="117"/>
    </row>
    <row r="396">
      <c r="A396" s="117"/>
      <c r="B396" s="117"/>
      <c r="C396" s="117"/>
      <c r="D396" s="117"/>
      <c r="E396" s="127"/>
      <c r="F396" s="127"/>
      <c r="G396" s="117"/>
      <c r="H396" s="127"/>
      <c r="I396" s="12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  <c r="AB396" s="117"/>
      <c r="AC396" s="117"/>
      <c r="AD396" s="117"/>
      <c r="AE396" s="117"/>
    </row>
    <row r="397">
      <c r="A397" s="117"/>
      <c r="B397" s="117"/>
      <c r="C397" s="117"/>
      <c r="D397" s="117"/>
      <c r="E397" s="127"/>
      <c r="F397" s="127"/>
      <c r="G397" s="117"/>
      <c r="H397" s="127"/>
      <c r="I397" s="12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  <c r="AB397" s="117"/>
      <c r="AC397" s="117"/>
      <c r="AD397" s="117"/>
      <c r="AE397" s="117"/>
    </row>
    <row r="398">
      <c r="A398" s="117"/>
      <c r="B398" s="117"/>
      <c r="C398" s="117"/>
      <c r="D398" s="117"/>
      <c r="E398" s="127"/>
      <c r="F398" s="127"/>
      <c r="G398" s="117"/>
      <c r="H398" s="127"/>
      <c r="I398" s="12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  <c r="AB398" s="117"/>
      <c r="AC398" s="117"/>
      <c r="AD398" s="117"/>
      <c r="AE398" s="117"/>
    </row>
    <row r="399">
      <c r="A399" s="117"/>
      <c r="B399" s="117"/>
      <c r="C399" s="117"/>
      <c r="D399" s="117"/>
      <c r="E399" s="127"/>
      <c r="F399" s="127"/>
      <c r="G399" s="117"/>
      <c r="H399" s="127"/>
      <c r="I399" s="12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  <c r="AB399" s="117"/>
      <c r="AC399" s="117"/>
      <c r="AD399" s="117"/>
      <c r="AE399" s="117"/>
    </row>
    <row r="400">
      <c r="A400" s="117"/>
      <c r="B400" s="117"/>
      <c r="C400" s="117"/>
      <c r="D400" s="117"/>
      <c r="E400" s="127"/>
      <c r="F400" s="127"/>
      <c r="G400" s="117"/>
      <c r="H400" s="127"/>
      <c r="I400" s="12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  <c r="AB400" s="117"/>
      <c r="AC400" s="117"/>
      <c r="AD400" s="117"/>
      <c r="AE400" s="117"/>
    </row>
    <row r="401">
      <c r="A401" s="117"/>
      <c r="B401" s="117"/>
      <c r="C401" s="117"/>
      <c r="D401" s="117"/>
      <c r="E401" s="127"/>
      <c r="F401" s="127"/>
      <c r="G401" s="117"/>
      <c r="H401" s="127"/>
      <c r="I401" s="12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  <c r="AB401" s="117"/>
      <c r="AC401" s="117"/>
      <c r="AD401" s="117"/>
      <c r="AE401" s="117"/>
    </row>
    <row r="402">
      <c r="A402" s="117"/>
      <c r="B402" s="117"/>
      <c r="C402" s="117"/>
      <c r="D402" s="117"/>
      <c r="E402" s="127"/>
      <c r="F402" s="127"/>
      <c r="G402" s="117"/>
      <c r="H402" s="127"/>
      <c r="I402" s="12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  <c r="AB402" s="117"/>
      <c r="AC402" s="117"/>
      <c r="AD402" s="117"/>
      <c r="AE402" s="117"/>
    </row>
    <row r="403">
      <c r="A403" s="117"/>
      <c r="B403" s="117"/>
      <c r="C403" s="117"/>
      <c r="D403" s="117"/>
      <c r="E403" s="127"/>
      <c r="F403" s="127"/>
      <c r="G403" s="117"/>
      <c r="H403" s="127"/>
      <c r="I403" s="12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  <c r="AB403" s="117"/>
      <c r="AC403" s="117"/>
      <c r="AD403" s="117"/>
      <c r="AE403" s="117"/>
    </row>
    <row r="404">
      <c r="A404" s="117"/>
      <c r="B404" s="117"/>
      <c r="C404" s="117"/>
      <c r="D404" s="117"/>
      <c r="E404" s="127"/>
      <c r="F404" s="127"/>
      <c r="G404" s="117"/>
      <c r="H404" s="127"/>
      <c r="I404" s="12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  <c r="AB404" s="117"/>
      <c r="AC404" s="117"/>
      <c r="AD404" s="117"/>
      <c r="AE404" s="117"/>
    </row>
    <row r="405">
      <c r="A405" s="117"/>
      <c r="B405" s="117"/>
      <c r="C405" s="117"/>
      <c r="D405" s="117"/>
      <c r="E405" s="127"/>
      <c r="F405" s="127"/>
      <c r="G405" s="117"/>
      <c r="H405" s="127"/>
      <c r="I405" s="12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  <c r="AB405" s="117"/>
      <c r="AC405" s="117"/>
      <c r="AD405" s="117"/>
      <c r="AE405" s="117"/>
    </row>
    <row r="406">
      <c r="A406" s="117"/>
      <c r="B406" s="117"/>
      <c r="C406" s="117"/>
      <c r="D406" s="117"/>
      <c r="E406" s="127"/>
      <c r="F406" s="127"/>
      <c r="G406" s="117"/>
      <c r="H406" s="127"/>
      <c r="I406" s="12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  <c r="AB406" s="117"/>
      <c r="AC406" s="117"/>
      <c r="AD406" s="117"/>
      <c r="AE406" s="117"/>
    </row>
    <row r="407">
      <c r="A407" s="117"/>
      <c r="B407" s="117"/>
      <c r="C407" s="117"/>
      <c r="D407" s="117"/>
      <c r="E407" s="127"/>
      <c r="F407" s="127"/>
      <c r="G407" s="117"/>
      <c r="H407" s="127"/>
      <c r="I407" s="12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  <c r="AB407" s="117"/>
      <c r="AC407" s="117"/>
      <c r="AD407" s="117"/>
      <c r="AE407" s="117"/>
    </row>
    <row r="408">
      <c r="A408" s="117"/>
      <c r="B408" s="117"/>
      <c r="C408" s="117"/>
      <c r="D408" s="117"/>
      <c r="E408" s="127"/>
      <c r="F408" s="127"/>
      <c r="G408" s="117"/>
      <c r="H408" s="127"/>
      <c r="I408" s="12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  <c r="AB408" s="117"/>
      <c r="AC408" s="117"/>
      <c r="AD408" s="117"/>
      <c r="AE408" s="117"/>
    </row>
    <row r="409">
      <c r="A409" s="117"/>
      <c r="B409" s="117"/>
      <c r="C409" s="117"/>
      <c r="D409" s="117"/>
      <c r="E409" s="127"/>
      <c r="F409" s="127"/>
      <c r="G409" s="117"/>
      <c r="H409" s="127"/>
      <c r="I409" s="12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  <c r="AB409" s="117"/>
      <c r="AC409" s="117"/>
      <c r="AD409" s="117"/>
      <c r="AE409" s="117"/>
    </row>
    <row r="410">
      <c r="A410" s="117"/>
      <c r="B410" s="117"/>
      <c r="C410" s="117"/>
      <c r="D410" s="117"/>
      <c r="E410" s="127"/>
      <c r="F410" s="127"/>
      <c r="G410" s="117"/>
      <c r="H410" s="127"/>
      <c r="I410" s="12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  <c r="AB410" s="117"/>
      <c r="AC410" s="117"/>
      <c r="AD410" s="117"/>
      <c r="AE410" s="117"/>
    </row>
    <row r="411">
      <c r="A411" s="117"/>
      <c r="B411" s="117"/>
      <c r="C411" s="117"/>
      <c r="D411" s="117"/>
      <c r="E411" s="127"/>
      <c r="F411" s="127"/>
      <c r="G411" s="117"/>
      <c r="H411" s="127"/>
      <c r="I411" s="12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  <c r="AB411" s="117"/>
      <c r="AC411" s="117"/>
      <c r="AD411" s="117"/>
      <c r="AE411" s="117"/>
    </row>
    <row r="412">
      <c r="A412" s="117"/>
      <c r="B412" s="117"/>
      <c r="C412" s="117"/>
      <c r="D412" s="117"/>
      <c r="E412" s="127"/>
      <c r="F412" s="127"/>
      <c r="G412" s="117"/>
      <c r="H412" s="127"/>
      <c r="I412" s="12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  <c r="AB412" s="117"/>
      <c r="AC412" s="117"/>
      <c r="AD412" s="117"/>
      <c r="AE412" s="117"/>
    </row>
    <row r="413">
      <c r="A413" s="117"/>
      <c r="B413" s="117"/>
      <c r="C413" s="117"/>
      <c r="D413" s="117"/>
      <c r="E413" s="127"/>
      <c r="F413" s="127"/>
      <c r="G413" s="117"/>
      <c r="H413" s="127"/>
      <c r="I413" s="12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  <c r="AB413" s="117"/>
      <c r="AC413" s="117"/>
      <c r="AD413" s="117"/>
      <c r="AE413" s="117"/>
    </row>
    <row r="414">
      <c r="A414" s="117"/>
      <c r="B414" s="117"/>
      <c r="C414" s="117"/>
      <c r="D414" s="117"/>
      <c r="E414" s="127"/>
      <c r="F414" s="127"/>
      <c r="G414" s="117"/>
      <c r="H414" s="127"/>
      <c r="I414" s="12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  <c r="AB414" s="117"/>
      <c r="AC414" s="117"/>
      <c r="AD414" s="117"/>
      <c r="AE414" s="117"/>
    </row>
    <row r="415">
      <c r="A415" s="117"/>
      <c r="B415" s="117"/>
      <c r="C415" s="117"/>
      <c r="D415" s="117"/>
      <c r="E415" s="127"/>
      <c r="F415" s="127"/>
      <c r="G415" s="117"/>
      <c r="H415" s="127"/>
      <c r="I415" s="12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  <c r="AB415" s="117"/>
      <c r="AC415" s="117"/>
      <c r="AD415" s="117"/>
      <c r="AE415" s="117"/>
    </row>
    <row r="416">
      <c r="A416" s="117"/>
      <c r="B416" s="117"/>
      <c r="C416" s="117"/>
      <c r="D416" s="117"/>
      <c r="E416" s="127"/>
      <c r="F416" s="127"/>
      <c r="G416" s="117"/>
      <c r="H416" s="127"/>
      <c r="I416" s="12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  <c r="AB416" s="117"/>
      <c r="AC416" s="117"/>
      <c r="AD416" s="117"/>
      <c r="AE416" s="117"/>
    </row>
    <row r="417">
      <c r="A417" s="117"/>
      <c r="B417" s="117"/>
      <c r="C417" s="117"/>
      <c r="D417" s="117"/>
      <c r="E417" s="127"/>
      <c r="F417" s="127"/>
      <c r="G417" s="117"/>
      <c r="H417" s="127"/>
      <c r="I417" s="12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  <c r="AB417" s="117"/>
      <c r="AC417" s="117"/>
      <c r="AD417" s="117"/>
      <c r="AE417" s="117"/>
    </row>
    <row r="418">
      <c r="A418" s="117"/>
      <c r="B418" s="117"/>
      <c r="C418" s="117"/>
      <c r="D418" s="117"/>
      <c r="E418" s="127"/>
      <c r="F418" s="127"/>
      <c r="G418" s="117"/>
      <c r="H418" s="127"/>
      <c r="I418" s="12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  <c r="AB418" s="117"/>
      <c r="AC418" s="117"/>
      <c r="AD418" s="117"/>
      <c r="AE418" s="117"/>
    </row>
    <row r="419">
      <c r="A419" s="117"/>
      <c r="B419" s="117"/>
      <c r="C419" s="117"/>
      <c r="D419" s="117"/>
      <c r="E419" s="127"/>
      <c r="F419" s="127"/>
      <c r="G419" s="117"/>
      <c r="H419" s="127"/>
      <c r="I419" s="12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  <c r="AB419" s="117"/>
      <c r="AC419" s="117"/>
      <c r="AD419" s="117"/>
      <c r="AE419" s="117"/>
    </row>
    <row r="420">
      <c r="A420" s="117"/>
      <c r="B420" s="117"/>
      <c r="C420" s="117"/>
      <c r="D420" s="117"/>
      <c r="E420" s="127"/>
      <c r="F420" s="127"/>
      <c r="G420" s="117"/>
      <c r="H420" s="127"/>
      <c r="I420" s="12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  <c r="AB420" s="117"/>
      <c r="AC420" s="117"/>
      <c r="AD420" s="117"/>
      <c r="AE420" s="117"/>
    </row>
    <row r="421">
      <c r="A421" s="117"/>
      <c r="B421" s="117"/>
      <c r="C421" s="117"/>
      <c r="D421" s="117"/>
      <c r="E421" s="127"/>
      <c r="F421" s="127"/>
      <c r="G421" s="117"/>
      <c r="H421" s="127"/>
      <c r="I421" s="12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  <c r="AB421" s="117"/>
      <c r="AC421" s="117"/>
      <c r="AD421" s="117"/>
      <c r="AE421" s="117"/>
    </row>
    <row r="422">
      <c r="A422" s="117"/>
      <c r="B422" s="117"/>
      <c r="C422" s="117"/>
      <c r="D422" s="117"/>
      <c r="E422" s="127"/>
      <c r="F422" s="127"/>
      <c r="G422" s="117"/>
      <c r="H422" s="127"/>
      <c r="I422" s="12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  <c r="AB422" s="117"/>
      <c r="AC422" s="117"/>
      <c r="AD422" s="117"/>
      <c r="AE422" s="117"/>
    </row>
    <row r="423">
      <c r="A423" s="117"/>
      <c r="B423" s="117"/>
      <c r="C423" s="117"/>
      <c r="D423" s="117"/>
      <c r="E423" s="127"/>
      <c r="F423" s="127"/>
      <c r="G423" s="117"/>
      <c r="H423" s="127"/>
      <c r="I423" s="12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  <c r="AB423" s="117"/>
      <c r="AC423" s="117"/>
      <c r="AD423" s="117"/>
      <c r="AE423" s="117"/>
    </row>
    <row r="424">
      <c r="A424" s="117"/>
      <c r="B424" s="117"/>
      <c r="C424" s="117"/>
      <c r="D424" s="117"/>
      <c r="E424" s="127"/>
      <c r="F424" s="127"/>
      <c r="G424" s="117"/>
      <c r="H424" s="127"/>
      <c r="I424" s="12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  <c r="AB424" s="117"/>
      <c r="AC424" s="117"/>
      <c r="AD424" s="117"/>
      <c r="AE424" s="117"/>
    </row>
    <row r="425">
      <c r="A425" s="117"/>
      <c r="B425" s="117"/>
      <c r="C425" s="117"/>
      <c r="D425" s="117"/>
      <c r="E425" s="127"/>
      <c r="F425" s="127"/>
      <c r="G425" s="117"/>
      <c r="H425" s="127"/>
      <c r="I425" s="12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  <c r="AB425" s="117"/>
      <c r="AC425" s="117"/>
      <c r="AD425" s="117"/>
      <c r="AE425" s="117"/>
    </row>
    <row r="426">
      <c r="A426" s="117"/>
      <c r="B426" s="117"/>
      <c r="C426" s="117"/>
      <c r="D426" s="117"/>
      <c r="E426" s="127"/>
      <c r="F426" s="127"/>
      <c r="G426" s="117"/>
      <c r="H426" s="127"/>
      <c r="I426" s="12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  <c r="AB426" s="117"/>
      <c r="AC426" s="117"/>
      <c r="AD426" s="117"/>
      <c r="AE426" s="117"/>
    </row>
    <row r="427">
      <c r="A427" s="117"/>
      <c r="B427" s="117"/>
      <c r="C427" s="117"/>
      <c r="D427" s="117"/>
      <c r="E427" s="127"/>
      <c r="F427" s="127"/>
      <c r="G427" s="117"/>
      <c r="H427" s="127"/>
      <c r="I427" s="12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  <c r="AB427" s="117"/>
      <c r="AC427" s="117"/>
      <c r="AD427" s="117"/>
      <c r="AE427" s="117"/>
    </row>
    <row r="428">
      <c r="A428" s="117"/>
      <c r="B428" s="117"/>
      <c r="C428" s="117"/>
      <c r="D428" s="117"/>
      <c r="E428" s="127"/>
      <c r="F428" s="127"/>
      <c r="G428" s="117"/>
      <c r="H428" s="127"/>
      <c r="I428" s="12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  <c r="AB428" s="117"/>
      <c r="AC428" s="117"/>
      <c r="AD428" s="117"/>
      <c r="AE428" s="117"/>
    </row>
    <row r="429">
      <c r="A429" s="117"/>
      <c r="B429" s="117"/>
      <c r="C429" s="117"/>
      <c r="D429" s="117"/>
      <c r="E429" s="127"/>
      <c r="F429" s="127"/>
      <c r="G429" s="117"/>
      <c r="H429" s="127"/>
      <c r="I429" s="12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  <c r="AB429" s="117"/>
      <c r="AC429" s="117"/>
      <c r="AD429" s="117"/>
      <c r="AE429" s="117"/>
    </row>
    <row r="430">
      <c r="A430" s="117"/>
      <c r="B430" s="117"/>
      <c r="C430" s="117"/>
      <c r="D430" s="117"/>
      <c r="E430" s="127"/>
      <c r="F430" s="127"/>
      <c r="G430" s="117"/>
      <c r="H430" s="127"/>
      <c r="I430" s="12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  <c r="AB430" s="117"/>
      <c r="AC430" s="117"/>
      <c r="AD430" s="117"/>
      <c r="AE430" s="117"/>
    </row>
    <row r="431">
      <c r="A431" s="117"/>
      <c r="B431" s="117"/>
      <c r="C431" s="117"/>
      <c r="D431" s="117"/>
      <c r="E431" s="127"/>
      <c r="F431" s="127"/>
      <c r="G431" s="117"/>
      <c r="H431" s="127"/>
      <c r="I431" s="12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  <c r="AB431" s="117"/>
      <c r="AC431" s="117"/>
      <c r="AD431" s="117"/>
      <c r="AE431" s="117"/>
    </row>
    <row r="432">
      <c r="A432" s="117"/>
      <c r="B432" s="117"/>
      <c r="C432" s="117"/>
      <c r="D432" s="117"/>
      <c r="E432" s="127"/>
      <c r="F432" s="127"/>
      <c r="G432" s="117"/>
      <c r="H432" s="127"/>
      <c r="I432" s="12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  <c r="AB432" s="117"/>
      <c r="AC432" s="117"/>
      <c r="AD432" s="117"/>
      <c r="AE432" s="117"/>
    </row>
    <row r="433">
      <c r="A433" s="117"/>
      <c r="B433" s="117"/>
      <c r="C433" s="117"/>
      <c r="D433" s="117"/>
      <c r="E433" s="127"/>
      <c r="F433" s="127"/>
      <c r="G433" s="117"/>
      <c r="H433" s="127"/>
      <c r="I433" s="12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  <c r="AB433" s="117"/>
      <c r="AC433" s="117"/>
      <c r="AD433" s="117"/>
      <c r="AE433" s="117"/>
    </row>
    <row r="434">
      <c r="A434" s="117"/>
      <c r="B434" s="117"/>
      <c r="C434" s="117"/>
      <c r="D434" s="117"/>
      <c r="E434" s="127"/>
      <c r="F434" s="127"/>
      <c r="G434" s="117"/>
      <c r="H434" s="127"/>
      <c r="I434" s="12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  <c r="AB434" s="117"/>
      <c r="AC434" s="117"/>
      <c r="AD434" s="117"/>
      <c r="AE434" s="117"/>
    </row>
    <row r="435">
      <c r="A435" s="117"/>
      <c r="B435" s="117"/>
      <c r="C435" s="117"/>
      <c r="D435" s="117"/>
      <c r="E435" s="127"/>
      <c r="F435" s="127"/>
      <c r="G435" s="117"/>
      <c r="H435" s="127"/>
      <c r="I435" s="12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  <c r="AB435" s="117"/>
      <c r="AC435" s="117"/>
      <c r="AD435" s="117"/>
      <c r="AE435" s="117"/>
    </row>
    <row r="436">
      <c r="A436" s="117"/>
      <c r="B436" s="117"/>
      <c r="C436" s="117"/>
      <c r="D436" s="117"/>
      <c r="E436" s="127"/>
      <c r="F436" s="127"/>
      <c r="G436" s="117"/>
      <c r="H436" s="127"/>
      <c r="I436" s="12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  <c r="AB436" s="117"/>
      <c r="AC436" s="117"/>
      <c r="AD436" s="117"/>
      <c r="AE436" s="117"/>
    </row>
    <row r="437">
      <c r="A437" s="117"/>
      <c r="B437" s="117"/>
      <c r="C437" s="117"/>
      <c r="D437" s="117"/>
      <c r="E437" s="127"/>
      <c r="F437" s="127"/>
      <c r="G437" s="117"/>
      <c r="H437" s="127"/>
      <c r="I437" s="12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  <c r="AB437" s="117"/>
      <c r="AC437" s="117"/>
      <c r="AD437" s="117"/>
      <c r="AE437" s="117"/>
    </row>
    <row r="438">
      <c r="A438" s="117"/>
      <c r="B438" s="117"/>
      <c r="C438" s="117"/>
      <c r="D438" s="117"/>
      <c r="E438" s="127"/>
      <c r="F438" s="127"/>
      <c r="G438" s="117"/>
      <c r="H438" s="127"/>
      <c r="I438" s="12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  <c r="AB438" s="117"/>
      <c r="AC438" s="117"/>
      <c r="AD438" s="117"/>
      <c r="AE438" s="117"/>
    </row>
    <row r="439">
      <c r="A439" s="117"/>
      <c r="B439" s="117"/>
      <c r="C439" s="117"/>
      <c r="D439" s="117"/>
      <c r="E439" s="127"/>
      <c r="F439" s="127"/>
      <c r="G439" s="117"/>
      <c r="H439" s="127"/>
      <c r="I439" s="12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  <c r="AB439" s="117"/>
      <c r="AC439" s="117"/>
      <c r="AD439" s="117"/>
      <c r="AE439" s="117"/>
    </row>
    <row r="440">
      <c r="A440" s="117"/>
      <c r="B440" s="117"/>
      <c r="C440" s="117"/>
      <c r="D440" s="117"/>
      <c r="E440" s="127"/>
      <c r="F440" s="127"/>
      <c r="G440" s="117"/>
      <c r="H440" s="127"/>
      <c r="I440" s="12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  <c r="AB440" s="117"/>
      <c r="AC440" s="117"/>
      <c r="AD440" s="117"/>
      <c r="AE440" s="117"/>
    </row>
    <row r="441">
      <c r="A441" s="117"/>
      <c r="B441" s="117"/>
      <c r="C441" s="117"/>
      <c r="D441" s="117"/>
      <c r="E441" s="127"/>
      <c r="F441" s="127"/>
      <c r="G441" s="117"/>
      <c r="H441" s="127"/>
      <c r="I441" s="12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  <c r="AB441" s="117"/>
      <c r="AC441" s="117"/>
      <c r="AD441" s="117"/>
      <c r="AE441" s="117"/>
    </row>
    <row r="442">
      <c r="A442" s="117"/>
      <c r="B442" s="117"/>
      <c r="C442" s="117"/>
      <c r="D442" s="117"/>
      <c r="E442" s="127"/>
      <c r="F442" s="127"/>
      <c r="G442" s="117"/>
      <c r="H442" s="127"/>
      <c r="I442" s="12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  <c r="AB442" s="117"/>
      <c r="AC442" s="117"/>
      <c r="AD442" s="117"/>
      <c r="AE442" s="117"/>
    </row>
    <row r="443">
      <c r="A443" s="117"/>
      <c r="B443" s="117"/>
      <c r="C443" s="117"/>
      <c r="D443" s="117"/>
      <c r="E443" s="127"/>
      <c r="F443" s="127"/>
      <c r="G443" s="117"/>
      <c r="H443" s="127"/>
      <c r="I443" s="12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  <c r="AB443" s="117"/>
      <c r="AC443" s="117"/>
      <c r="AD443" s="117"/>
      <c r="AE443" s="117"/>
    </row>
    <row r="444">
      <c r="A444" s="117"/>
      <c r="B444" s="117"/>
      <c r="C444" s="117"/>
      <c r="D444" s="117"/>
      <c r="E444" s="127"/>
      <c r="F444" s="127"/>
      <c r="G444" s="117"/>
      <c r="H444" s="127"/>
      <c r="I444" s="12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  <c r="AB444" s="117"/>
      <c r="AC444" s="117"/>
      <c r="AD444" s="117"/>
      <c r="AE444" s="117"/>
    </row>
    <row r="445">
      <c r="A445" s="117"/>
      <c r="B445" s="117"/>
      <c r="C445" s="117"/>
      <c r="D445" s="117"/>
      <c r="E445" s="127"/>
      <c r="F445" s="127"/>
      <c r="G445" s="117"/>
      <c r="H445" s="127"/>
      <c r="I445" s="12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  <c r="AB445" s="117"/>
      <c r="AC445" s="117"/>
      <c r="AD445" s="117"/>
      <c r="AE445" s="117"/>
    </row>
    <row r="446">
      <c r="A446" s="117"/>
      <c r="B446" s="117"/>
      <c r="C446" s="117"/>
      <c r="D446" s="117"/>
      <c r="E446" s="127"/>
      <c r="F446" s="127"/>
      <c r="G446" s="117"/>
      <c r="H446" s="127"/>
      <c r="I446" s="12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  <c r="AB446" s="117"/>
      <c r="AC446" s="117"/>
      <c r="AD446" s="117"/>
      <c r="AE446" s="117"/>
    </row>
    <row r="447">
      <c r="A447" s="117"/>
      <c r="B447" s="117"/>
      <c r="C447" s="117"/>
      <c r="D447" s="117"/>
      <c r="E447" s="127"/>
      <c r="F447" s="127"/>
      <c r="G447" s="117"/>
      <c r="H447" s="127"/>
      <c r="I447" s="12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  <c r="AB447" s="117"/>
      <c r="AC447" s="117"/>
      <c r="AD447" s="117"/>
      <c r="AE447" s="117"/>
    </row>
    <row r="448">
      <c r="A448" s="117"/>
      <c r="B448" s="117"/>
      <c r="C448" s="117"/>
      <c r="D448" s="117"/>
      <c r="E448" s="127"/>
      <c r="F448" s="127"/>
      <c r="G448" s="117"/>
      <c r="H448" s="127"/>
      <c r="I448" s="12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  <c r="AB448" s="117"/>
      <c r="AC448" s="117"/>
      <c r="AD448" s="117"/>
      <c r="AE448" s="117"/>
    </row>
    <row r="449">
      <c r="A449" s="117"/>
      <c r="B449" s="117"/>
      <c r="C449" s="117"/>
      <c r="D449" s="117"/>
      <c r="E449" s="127"/>
      <c r="F449" s="127"/>
      <c r="G449" s="117"/>
      <c r="H449" s="127"/>
      <c r="I449" s="12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  <c r="AB449" s="117"/>
      <c r="AC449" s="117"/>
      <c r="AD449" s="117"/>
      <c r="AE449" s="117"/>
    </row>
    <row r="450">
      <c r="A450" s="117"/>
      <c r="B450" s="117"/>
      <c r="C450" s="117"/>
      <c r="D450" s="117"/>
      <c r="E450" s="127"/>
      <c r="F450" s="127"/>
      <c r="G450" s="117"/>
      <c r="H450" s="127"/>
      <c r="I450" s="12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  <c r="AB450" s="117"/>
      <c r="AC450" s="117"/>
      <c r="AD450" s="117"/>
      <c r="AE450" s="117"/>
    </row>
    <row r="451">
      <c r="A451" s="117"/>
      <c r="B451" s="117"/>
      <c r="C451" s="117"/>
      <c r="D451" s="117"/>
      <c r="E451" s="127"/>
      <c r="F451" s="127"/>
      <c r="G451" s="117"/>
      <c r="H451" s="127"/>
      <c r="I451" s="12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  <c r="AB451" s="117"/>
      <c r="AC451" s="117"/>
      <c r="AD451" s="117"/>
      <c r="AE451" s="117"/>
    </row>
    <row r="452">
      <c r="A452" s="117"/>
      <c r="B452" s="117"/>
      <c r="C452" s="117"/>
      <c r="D452" s="117"/>
      <c r="E452" s="127"/>
      <c r="F452" s="127"/>
      <c r="G452" s="117"/>
      <c r="H452" s="127"/>
      <c r="I452" s="12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  <c r="AB452" s="117"/>
      <c r="AC452" s="117"/>
      <c r="AD452" s="117"/>
      <c r="AE452" s="117"/>
    </row>
    <row r="453">
      <c r="A453" s="117"/>
      <c r="B453" s="117"/>
      <c r="C453" s="117"/>
      <c r="D453" s="117"/>
      <c r="E453" s="127"/>
      <c r="F453" s="127"/>
      <c r="G453" s="117"/>
      <c r="H453" s="127"/>
      <c r="I453" s="12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  <c r="AB453" s="117"/>
      <c r="AC453" s="117"/>
      <c r="AD453" s="117"/>
      <c r="AE453" s="117"/>
    </row>
    <row r="454">
      <c r="A454" s="117"/>
      <c r="B454" s="117"/>
      <c r="C454" s="117"/>
      <c r="D454" s="117"/>
      <c r="E454" s="127"/>
      <c r="F454" s="127"/>
      <c r="G454" s="117"/>
      <c r="H454" s="127"/>
      <c r="I454" s="12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  <c r="AB454" s="117"/>
      <c r="AC454" s="117"/>
      <c r="AD454" s="117"/>
      <c r="AE454" s="117"/>
    </row>
    <row r="455">
      <c r="A455" s="117"/>
      <c r="B455" s="117"/>
      <c r="C455" s="117"/>
      <c r="D455" s="117"/>
      <c r="E455" s="127"/>
      <c r="F455" s="127"/>
      <c r="G455" s="117"/>
      <c r="H455" s="127"/>
      <c r="I455" s="12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  <c r="AB455" s="117"/>
      <c r="AC455" s="117"/>
      <c r="AD455" s="117"/>
      <c r="AE455" s="117"/>
    </row>
    <row r="456">
      <c r="A456" s="117"/>
      <c r="B456" s="117"/>
      <c r="C456" s="117"/>
      <c r="D456" s="117"/>
      <c r="E456" s="127"/>
      <c r="F456" s="127"/>
      <c r="G456" s="117"/>
      <c r="H456" s="127"/>
      <c r="I456" s="12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  <c r="AB456" s="117"/>
      <c r="AC456" s="117"/>
      <c r="AD456" s="117"/>
      <c r="AE456" s="117"/>
    </row>
    <row r="457">
      <c r="A457" s="117"/>
      <c r="B457" s="117"/>
      <c r="C457" s="117"/>
      <c r="D457" s="117"/>
      <c r="E457" s="127"/>
      <c r="F457" s="127"/>
      <c r="G457" s="117"/>
      <c r="H457" s="127"/>
      <c r="I457" s="12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  <c r="AB457" s="117"/>
      <c r="AC457" s="117"/>
      <c r="AD457" s="117"/>
      <c r="AE457" s="117"/>
    </row>
    <row r="458">
      <c r="A458" s="117"/>
      <c r="B458" s="117"/>
      <c r="C458" s="117"/>
      <c r="D458" s="117"/>
      <c r="E458" s="127"/>
      <c r="F458" s="127"/>
      <c r="G458" s="117"/>
      <c r="H458" s="127"/>
      <c r="I458" s="12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  <c r="AB458" s="117"/>
      <c r="AC458" s="117"/>
      <c r="AD458" s="117"/>
      <c r="AE458" s="117"/>
    </row>
    <row r="459">
      <c r="A459" s="117"/>
      <c r="B459" s="117"/>
      <c r="C459" s="117"/>
      <c r="D459" s="117"/>
      <c r="E459" s="127"/>
      <c r="F459" s="127"/>
      <c r="G459" s="117"/>
      <c r="H459" s="127"/>
      <c r="I459" s="12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  <c r="AB459" s="117"/>
      <c r="AC459" s="117"/>
      <c r="AD459" s="117"/>
      <c r="AE459" s="117"/>
    </row>
    <row r="460">
      <c r="A460" s="117"/>
      <c r="B460" s="117"/>
      <c r="C460" s="117"/>
      <c r="D460" s="117"/>
      <c r="E460" s="127"/>
      <c r="F460" s="127"/>
      <c r="G460" s="117"/>
      <c r="H460" s="127"/>
      <c r="I460" s="12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  <c r="AB460" s="117"/>
      <c r="AC460" s="117"/>
      <c r="AD460" s="117"/>
      <c r="AE460" s="117"/>
    </row>
    <row r="461">
      <c r="A461" s="117"/>
      <c r="B461" s="117"/>
      <c r="C461" s="117"/>
      <c r="D461" s="117"/>
      <c r="E461" s="127"/>
      <c r="F461" s="127"/>
      <c r="G461" s="117"/>
      <c r="H461" s="127"/>
      <c r="I461" s="12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  <c r="AB461" s="117"/>
      <c r="AC461" s="117"/>
      <c r="AD461" s="117"/>
      <c r="AE461" s="117"/>
    </row>
    <row r="462">
      <c r="A462" s="117"/>
      <c r="B462" s="117"/>
      <c r="C462" s="117"/>
      <c r="D462" s="117"/>
      <c r="E462" s="127"/>
      <c r="F462" s="127"/>
      <c r="G462" s="117"/>
      <c r="H462" s="127"/>
      <c r="I462" s="12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  <c r="AB462" s="117"/>
      <c r="AC462" s="117"/>
      <c r="AD462" s="117"/>
      <c r="AE462" s="117"/>
    </row>
    <row r="463">
      <c r="A463" s="117"/>
      <c r="B463" s="117"/>
      <c r="C463" s="117"/>
      <c r="D463" s="117"/>
      <c r="E463" s="127"/>
      <c r="F463" s="127"/>
      <c r="G463" s="117"/>
      <c r="H463" s="127"/>
      <c r="I463" s="12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  <c r="AB463" s="117"/>
      <c r="AC463" s="117"/>
      <c r="AD463" s="117"/>
      <c r="AE463" s="117"/>
    </row>
    <row r="464">
      <c r="A464" s="117"/>
      <c r="B464" s="117"/>
      <c r="C464" s="117"/>
      <c r="D464" s="117"/>
      <c r="E464" s="127"/>
      <c r="F464" s="127"/>
      <c r="G464" s="117"/>
      <c r="H464" s="127"/>
      <c r="I464" s="12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  <c r="AB464" s="117"/>
      <c r="AC464" s="117"/>
      <c r="AD464" s="117"/>
      <c r="AE464" s="117"/>
    </row>
    <row r="465">
      <c r="A465" s="117"/>
      <c r="B465" s="117"/>
      <c r="C465" s="117"/>
      <c r="D465" s="117"/>
      <c r="E465" s="127"/>
      <c r="F465" s="127"/>
      <c r="G465" s="117"/>
      <c r="H465" s="127"/>
      <c r="I465" s="12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  <c r="AB465" s="117"/>
      <c r="AC465" s="117"/>
      <c r="AD465" s="117"/>
      <c r="AE465" s="117"/>
    </row>
    <row r="466">
      <c r="A466" s="117"/>
      <c r="B466" s="117"/>
      <c r="C466" s="117"/>
      <c r="D466" s="117"/>
      <c r="E466" s="127"/>
      <c r="F466" s="127"/>
      <c r="G466" s="117"/>
      <c r="H466" s="127"/>
      <c r="I466" s="12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  <c r="AB466" s="117"/>
      <c r="AC466" s="117"/>
      <c r="AD466" s="117"/>
      <c r="AE466" s="117"/>
    </row>
    <row r="467">
      <c r="A467" s="117"/>
      <c r="B467" s="117"/>
      <c r="C467" s="117"/>
      <c r="D467" s="117"/>
      <c r="E467" s="127"/>
      <c r="F467" s="127"/>
      <c r="G467" s="117"/>
      <c r="H467" s="127"/>
      <c r="I467" s="12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  <c r="AB467" s="117"/>
      <c r="AC467" s="117"/>
      <c r="AD467" s="117"/>
      <c r="AE467" s="117"/>
    </row>
    <row r="468">
      <c r="A468" s="117"/>
      <c r="B468" s="117"/>
      <c r="C468" s="117"/>
      <c r="D468" s="117"/>
      <c r="E468" s="127"/>
      <c r="F468" s="127"/>
      <c r="G468" s="117"/>
      <c r="H468" s="127"/>
      <c r="I468" s="12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  <c r="AB468" s="117"/>
      <c r="AC468" s="117"/>
      <c r="AD468" s="117"/>
      <c r="AE468" s="117"/>
    </row>
    <row r="469">
      <c r="A469" s="117"/>
      <c r="B469" s="117"/>
      <c r="C469" s="117"/>
      <c r="D469" s="117"/>
      <c r="E469" s="127"/>
      <c r="F469" s="127"/>
      <c r="G469" s="117"/>
      <c r="H469" s="127"/>
      <c r="I469" s="12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  <c r="AB469" s="117"/>
      <c r="AC469" s="117"/>
      <c r="AD469" s="117"/>
      <c r="AE469" s="117"/>
    </row>
    <row r="470">
      <c r="A470" s="117"/>
      <c r="B470" s="117"/>
      <c r="C470" s="117"/>
      <c r="D470" s="117"/>
      <c r="E470" s="127"/>
      <c r="F470" s="127"/>
      <c r="G470" s="117"/>
      <c r="H470" s="127"/>
      <c r="I470" s="12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  <c r="AB470" s="117"/>
      <c r="AC470" s="117"/>
      <c r="AD470" s="117"/>
      <c r="AE470" s="117"/>
    </row>
    <row r="471">
      <c r="A471" s="117"/>
      <c r="B471" s="117"/>
      <c r="C471" s="117"/>
      <c r="D471" s="117"/>
      <c r="E471" s="127"/>
      <c r="F471" s="127"/>
      <c r="G471" s="117"/>
      <c r="H471" s="127"/>
      <c r="I471" s="12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  <c r="AB471" s="117"/>
      <c r="AC471" s="117"/>
      <c r="AD471" s="117"/>
      <c r="AE471" s="117"/>
    </row>
    <row r="472">
      <c r="A472" s="117"/>
      <c r="B472" s="117"/>
      <c r="C472" s="117"/>
      <c r="D472" s="117"/>
      <c r="E472" s="127"/>
      <c r="F472" s="127"/>
      <c r="G472" s="117"/>
      <c r="H472" s="127"/>
      <c r="I472" s="12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  <c r="AB472" s="117"/>
      <c r="AC472" s="117"/>
      <c r="AD472" s="117"/>
      <c r="AE472" s="117"/>
    </row>
    <row r="473">
      <c r="A473" s="117"/>
      <c r="B473" s="117"/>
      <c r="C473" s="117"/>
      <c r="D473" s="117"/>
      <c r="E473" s="127"/>
      <c r="F473" s="127"/>
      <c r="G473" s="117"/>
      <c r="H473" s="127"/>
      <c r="I473" s="12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  <c r="AB473" s="117"/>
      <c r="AC473" s="117"/>
      <c r="AD473" s="117"/>
      <c r="AE473" s="117"/>
    </row>
    <row r="474">
      <c r="A474" s="117"/>
      <c r="B474" s="117"/>
      <c r="C474" s="117"/>
      <c r="D474" s="117"/>
      <c r="E474" s="127"/>
      <c r="F474" s="127"/>
      <c r="G474" s="117"/>
      <c r="H474" s="127"/>
      <c r="I474" s="12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  <c r="AB474" s="117"/>
      <c r="AC474" s="117"/>
      <c r="AD474" s="117"/>
      <c r="AE474" s="117"/>
    </row>
    <row r="475">
      <c r="A475" s="117"/>
      <c r="B475" s="117"/>
      <c r="C475" s="117"/>
      <c r="D475" s="117"/>
      <c r="E475" s="127"/>
      <c r="F475" s="127"/>
      <c r="G475" s="117"/>
      <c r="H475" s="127"/>
      <c r="I475" s="12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  <c r="AB475" s="117"/>
      <c r="AC475" s="117"/>
      <c r="AD475" s="117"/>
      <c r="AE475" s="117"/>
    </row>
    <row r="476">
      <c r="A476" s="117"/>
      <c r="B476" s="117"/>
      <c r="C476" s="117"/>
      <c r="D476" s="117"/>
      <c r="E476" s="127"/>
      <c r="F476" s="127"/>
      <c r="G476" s="117"/>
      <c r="H476" s="127"/>
      <c r="I476" s="12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  <c r="AB476" s="117"/>
      <c r="AC476" s="117"/>
      <c r="AD476" s="117"/>
      <c r="AE476" s="117"/>
    </row>
    <row r="477">
      <c r="A477" s="117"/>
      <c r="B477" s="117"/>
      <c r="C477" s="117"/>
      <c r="D477" s="117"/>
      <c r="E477" s="127"/>
      <c r="F477" s="127"/>
      <c r="G477" s="117"/>
      <c r="H477" s="127"/>
      <c r="I477" s="12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  <c r="AB477" s="117"/>
      <c r="AC477" s="117"/>
      <c r="AD477" s="117"/>
      <c r="AE477" s="117"/>
    </row>
    <row r="478">
      <c r="A478" s="117"/>
      <c r="B478" s="117"/>
      <c r="C478" s="117"/>
      <c r="D478" s="117"/>
      <c r="E478" s="127"/>
      <c r="F478" s="127"/>
      <c r="G478" s="117"/>
      <c r="H478" s="127"/>
      <c r="I478" s="12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  <c r="AB478" s="117"/>
      <c r="AC478" s="117"/>
      <c r="AD478" s="117"/>
      <c r="AE478" s="117"/>
    </row>
    <row r="479">
      <c r="A479" s="117"/>
      <c r="B479" s="117"/>
      <c r="C479" s="117"/>
      <c r="D479" s="117"/>
      <c r="E479" s="127"/>
      <c r="F479" s="127"/>
      <c r="G479" s="117"/>
      <c r="H479" s="127"/>
      <c r="I479" s="12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  <c r="AB479" s="117"/>
      <c r="AC479" s="117"/>
      <c r="AD479" s="117"/>
      <c r="AE479" s="117"/>
    </row>
    <row r="480">
      <c r="A480" s="117"/>
      <c r="B480" s="117"/>
      <c r="C480" s="117"/>
      <c r="D480" s="117"/>
      <c r="E480" s="127"/>
      <c r="F480" s="127"/>
      <c r="G480" s="117"/>
      <c r="H480" s="127"/>
      <c r="I480" s="12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  <c r="AB480" s="117"/>
      <c r="AC480" s="117"/>
      <c r="AD480" s="117"/>
      <c r="AE480" s="117"/>
    </row>
    <row r="481">
      <c r="A481" s="117"/>
      <c r="B481" s="117"/>
      <c r="C481" s="117"/>
      <c r="D481" s="117"/>
      <c r="E481" s="127"/>
      <c r="F481" s="127"/>
      <c r="G481" s="117"/>
      <c r="H481" s="127"/>
      <c r="I481" s="12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  <c r="AB481" s="117"/>
      <c r="AC481" s="117"/>
      <c r="AD481" s="117"/>
      <c r="AE481" s="117"/>
    </row>
    <row r="482">
      <c r="A482" s="117"/>
      <c r="B482" s="117"/>
      <c r="C482" s="117"/>
      <c r="D482" s="117"/>
      <c r="E482" s="127"/>
      <c r="F482" s="127"/>
      <c r="G482" s="117"/>
      <c r="H482" s="127"/>
      <c r="I482" s="12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  <c r="AB482" s="117"/>
      <c r="AC482" s="117"/>
      <c r="AD482" s="117"/>
      <c r="AE482" s="117"/>
    </row>
    <row r="483">
      <c r="A483" s="117"/>
      <c r="B483" s="117"/>
      <c r="C483" s="117"/>
      <c r="D483" s="117"/>
      <c r="E483" s="127"/>
      <c r="F483" s="127"/>
      <c r="G483" s="117"/>
      <c r="H483" s="127"/>
      <c r="I483" s="12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  <c r="AB483" s="117"/>
      <c r="AC483" s="117"/>
      <c r="AD483" s="117"/>
      <c r="AE483" s="117"/>
    </row>
    <row r="484">
      <c r="A484" s="117"/>
      <c r="B484" s="117"/>
      <c r="C484" s="117"/>
      <c r="D484" s="117"/>
      <c r="E484" s="127"/>
      <c r="F484" s="127"/>
      <c r="G484" s="117"/>
      <c r="H484" s="127"/>
      <c r="I484" s="12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  <c r="AB484" s="117"/>
      <c r="AC484" s="117"/>
      <c r="AD484" s="117"/>
      <c r="AE484" s="117"/>
    </row>
    <row r="485">
      <c r="A485" s="117"/>
      <c r="B485" s="117"/>
      <c r="C485" s="117"/>
      <c r="D485" s="117"/>
      <c r="E485" s="127"/>
      <c r="F485" s="127"/>
      <c r="G485" s="117"/>
      <c r="H485" s="127"/>
      <c r="I485" s="12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  <c r="AB485" s="117"/>
      <c r="AC485" s="117"/>
      <c r="AD485" s="117"/>
      <c r="AE485" s="117"/>
    </row>
    <row r="486">
      <c r="A486" s="117"/>
      <c r="B486" s="117"/>
      <c r="C486" s="117"/>
      <c r="D486" s="117"/>
      <c r="E486" s="127"/>
      <c r="F486" s="127"/>
      <c r="G486" s="117"/>
      <c r="H486" s="127"/>
      <c r="I486" s="12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  <c r="AB486" s="117"/>
      <c r="AC486" s="117"/>
      <c r="AD486" s="117"/>
      <c r="AE486" s="117"/>
    </row>
    <row r="487">
      <c r="A487" s="117"/>
      <c r="B487" s="117"/>
      <c r="C487" s="117"/>
      <c r="D487" s="117"/>
      <c r="E487" s="127"/>
      <c r="F487" s="127"/>
      <c r="G487" s="117"/>
      <c r="H487" s="127"/>
      <c r="I487" s="12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  <c r="AB487" s="117"/>
      <c r="AC487" s="117"/>
      <c r="AD487" s="117"/>
      <c r="AE487" s="117"/>
    </row>
    <row r="488">
      <c r="A488" s="117"/>
      <c r="B488" s="117"/>
      <c r="C488" s="117"/>
      <c r="D488" s="117"/>
      <c r="E488" s="127"/>
      <c r="F488" s="127"/>
      <c r="G488" s="117"/>
      <c r="H488" s="127"/>
      <c r="I488" s="12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  <c r="AB488" s="117"/>
      <c r="AC488" s="117"/>
      <c r="AD488" s="117"/>
      <c r="AE488" s="117"/>
    </row>
    <row r="489">
      <c r="A489" s="117"/>
      <c r="B489" s="117"/>
      <c r="C489" s="117"/>
      <c r="D489" s="117"/>
      <c r="E489" s="127"/>
      <c r="F489" s="127"/>
      <c r="G489" s="117"/>
      <c r="H489" s="127"/>
      <c r="I489" s="12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  <c r="AB489" s="117"/>
      <c r="AC489" s="117"/>
      <c r="AD489" s="117"/>
      <c r="AE489" s="117"/>
    </row>
    <row r="490">
      <c r="A490" s="117"/>
      <c r="B490" s="117"/>
      <c r="C490" s="117"/>
      <c r="D490" s="117"/>
      <c r="E490" s="127"/>
      <c r="F490" s="127"/>
      <c r="G490" s="117"/>
      <c r="H490" s="127"/>
      <c r="I490" s="12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  <c r="AB490" s="117"/>
      <c r="AC490" s="117"/>
      <c r="AD490" s="117"/>
      <c r="AE490" s="117"/>
    </row>
    <row r="491">
      <c r="A491" s="117"/>
      <c r="B491" s="117"/>
      <c r="C491" s="117"/>
      <c r="D491" s="117"/>
      <c r="E491" s="127"/>
      <c r="F491" s="127"/>
      <c r="G491" s="117"/>
      <c r="H491" s="127"/>
      <c r="I491" s="12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  <c r="AB491" s="117"/>
      <c r="AC491" s="117"/>
      <c r="AD491" s="117"/>
      <c r="AE491" s="117"/>
    </row>
    <row r="492">
      <c r="A492" s="117"/>
      <c r="B492" s="117"/>
      <c r="C492" s="117"/>
      <c r="D492" s="117"/>
      <c r="E492" s="127"/>
      <c r="F492" s="127"/>
      <c r="G492" s="117"/>
      <c r="H492" s="127"/>
      <c r="I492" s="12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  <c r="AB492" s="117"/>
      <c r="AC492" s="117"/>
      <c r="AD492" s="117"/>
      <c r="AE492" s="117"/>
    </row>
    <row r="493">
      <c r="A493" s="117"/>
      <c r="B493" s="117"/>
      <c r="C493" s="117"/>
      <c r="D493" s="117"/>
      <c r="E493" s="127"/>
      <c r="F493" s="127"/>
      <c r="G493" s="117"/>
      <c r="H493" s="127"/>
      <c r="I493" s="12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  <c r="AB493" s="117"/>
      <c r="AC493" s="117"/>
      <c r="AD493" s="117"/>
      <c r="AE493" s="117"/>
    </row>
    <row r="494">
      <c r="A494" s="117"/>
      <c r="B494" s="117"/>
      <c r="C494" s="117"/>
      <c r="D494" s="117"/>
      <c r="E494" s="127"/>
      <c r="F494" s="127"/>
      <c r="G494" s="117"/>
      <c r="H494" s="127"/>
      <c r="I494" s="12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  <c r="AB494" s="117"/>
      <c r="AC494" s="117"/>
      <c r="AD494" s="117"/>
      <c r="AE494" s="117"/>
    </row>
    <row r="495">
      <c r="A495" s="117"/>
      <c r="B495" s="117"/>
      <c r="C495" s="117"/>
      <c r="D495" s="117"/>
      <c r="E495" s="127"/>
      <c r="F495" s="127"/>
      <c r="G495" s="117"/>
      <c r="H495" s="127"/>
      <c r="I495" s="12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  <c r="AB495" s="117"/>
      <c r="AC495" s="117"/>
      <c r="AD495" s="117"/>
      <c r="AE495" s="117"/>
    </row>
    <row r="496">
      <c r="A496" s="117"/>
      <c r="B496" s="117"/>
      <c r="C496" s="117"/>
      <c r="D496" s="117"/>
      <c r="E496" s="127"/>
      <c r="F496" s="127"/>
      <c r="G496" s="117"/>
      <c r="H496" s="127"/>
      <c r="I496" s="12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  <c r="AB496" s="117"/>
      <c r="AC496" s="117"/>
      <c r="AD496" s="117"/>
      <c r="AE496" s="117"/>
    </row>
    <row r="497">
      <c r="A497" s="117"/>
      <c r="B497" s="117"/>
      <c r="C497" s="117"/>
      <c r="D497" s="117"/>
      <c r="E497" s="127"/>
      <c r="F497" s="127"/>
      <c r="G497" s="117"/>
      <c r="H497" s="127"/>
      <c r="I497" s="12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  <c r="AB497" s="117"/>
      <c r="AC497" s="117"/>
      <c r="AD497" s="117"/>
      <c r="AE497" s="117"/>
    </row>
    <row r="498">
      <c r="A498" s="117"/>
      <c r="B498" s="117"/>
      <c r="C498" s="117"/>
      <c r="D498" s="117"/>
      <c r="E498" s="127"/>
      <c r="F498" s="127"/>
      <c r="G498" s="117"/>
      <c r="H498" s="127"/>
      <c r="I498" s="12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  <c r="AB498" s="117"/>
      <c r="AC498" s="117"/>
      <c r="AD498" s="117"/>
      <c r="AE498" s="117"/>
    </row>
    <row r="499">
      <c r="A499" s="117"/>
      <c r="B499" s="117"/>
      <c r="C499" s="117"/>
      <c r="D499" s="117"/>
      <c r="E499" s="127"/>
      <c r="F499" s="127"/>
      <c r="G499" s="117"/>
      <c r="H499" s="127"/>
      <c r="I499" s="12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  <c r="AB499" s="117"/>
      <c r="AC499" s="117"/>
      <c r="AD499" s="117"/>
      <c r="AE499" s="117"/>
    </row>
    <row r="500">
      <c r="A500" s="117"/>
      <c r="B500" s="117"/>
      <c r="C500" s="117"/>
      <c r="D500" s="117"/>
      <c r="E500" s="127"/>
      <c r="F500" s="127"/>
      <c r="G500" s="117"/>
      <c r="H500" s="127"/>
      <c r="I500" s="12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  <c r="AB500" s="117"/>
      <c r="AC500" s="117"/>
      <c r="AD500" s="117"/>
      <c r="AE500" s="117"/>
    </row>
    <row r="501">
      <c r="A501" s="117"/>
      <c r="B501" s="117"/>
      <c r="C501" s="117"/>
      <c r="D501" s="117"/>
      <c r="E501" s="127"/>
      <c r="F501" s="127"/>
      <c r="G501" s="117"/>
      <c r="H501" s="127"/>
      <c r="I501" s="12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  <c r="AB501" s="117"/>
      <c r="AC501" s="117"/>
      <c r="AD501" s="117"/>
      <c r="AE501" s="117"/>
    </row>
    <row r="502">
      <c r="A502" s="117"/>
      <c r="B502" s="117"/>
      <c r="C502" s="117"/>
      <c r="D502" s="117"/>
      <c r="E502" s="127"/>
      <c r="F502" s="127"/>
      <c r="G502" s="117"/>
      <c r="H502" s="127"/>
      <c r="I502" s="12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  <c r="AB502" s="117"/>
      <c r="AC502" s="117"/>
      <c r="AD502" s="117"/>
      <c r="AE502" s="117"/>
    </row>
    <row r="503">
      <c r="A503" s="117"/>
      <c r="B503" s="117"/>
      <c r="C503" s="117"/>
      <c r="D503" s="117"/>
      <c r="E503" s="127"/>
      <c r="F503" s="127"/>
      <c r="G503" s="117"/>
      <c r="H503" s="127"/>
      <c r="I503" s="12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  <c r="AB503" s="117"/>
      <c r="AC503" s="117"/>
      <c r="AD503" s="117"/>
      <c r="AE503" s="117"/>
    </row>
    <row r="504">
      <c r="A504" s="117"/>
      <c r="B504" s="117"/>
      <c r="C504" s="117"/>
      <c r="D504" s="117"/>
      <c r="E504" s="127"/>
      <c r="F504" s="127"/>
      <c r="G504" s="117"/>
      <c r="H504" s="127"/>
      <c r="I504" s="12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  <c r="AB504" s="117"/>
      <c r="AC504" s="117"/>
      <c r="AD504" s="117"/>
      <c r="AE504" s="117"/>
    </row>
    <row r="505">
      <c r="A505" s="117"/>
      <c r="B505" s="117"/>
      <c r="C505" s="117"/>
      <c r="D505" s="117"/>
      <c r="E505" s="127"/>
      <c r="F505" s="127"/>
      <c r="G505" s="117"/>
      <c r="H505" s="127"/>
      <c r="I505" s="12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  <c r="AB505" s="117"/>
      <c r="AC505" s="117"/>
      <c r="AD505" s="117"/>
      <c r="AE505" s="117"/>
    </row>
    <row r="506">
      <c r="A506" s="117"/>
      <c r="B506" s="117"/>
      <c r="C506" s="117"/>
      <c r="D506" s="117"/>
      <c r="E506" s="127"/>
      <c r="F506" s="127"/>
      <c r="G506" s="117"/>
      <c r="H506" s="127"/>
      <c r="I506" s="12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  <c r="AB506" s="117"/>
      <c r="AC506" s="117"/>
      <c r="AD506" s="117"/>
      <c r="AE506" s="117"/>
    </row>
    <row r="507">
      <c r="A507" s="117"/>
      <c r="B507" s="117"/>
      <c r="C507" s="117"/>
      <c r="D507" s="117"/>
      <c r="E507" s="127"/>
      <c r="F507" s="127"/>
      <c r="G507" s="117"/>
      <c r="H507" s="127"/>
      <c r="I507" s="12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  <c r="AB507" s="117"/>
      <c r="AC507" s="117"/>
      <c r="AD507" s="117"/>
      <c r="AE507" s="117"/>
    </row>
    <row r="508">
      <c r="A508" s="117"/>
      <c r="B508" s="117"/>
      <c r="C508" s="117"/>
      <c r="D508" s="117"/>
      <c r="E508" s="127"/>
      <c r="F508" s="127"/>
      <c r="G508" s="117"/>
      <c r="H508" s="127"/>
      <c r="I508" s="12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  <c r="AB508" s="117"/>
      <c r="AC508" s="117"/>
      <c r="AD508" s="117"/>
      <c r="AE508" s="117"/>
    </row>
    <row r="509">
      <c r="A509" s="117"/>
      <c r="B509" s="117"/>
      <c r="C509" s="117"/>
      <c r="D509" s="117"/>
      <c r="E509" s="127"/>
      <c r="F509" s="127"/>
      <c r="G509" s="117"/>
      <c r="H509" s="127"/>
      <c r="I509" s="12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  <c r="AB509" s="117"/>
      <c r="AC509" s="117"/>
      <c r="AD509" s="117"/>
      <c r="AE509" s="117"/>
    </row>
    <row r="510">
      <c r="A510" s="117"/>
      <c r="B510" s="117"/>
      <c r="C510" s="117"/>
      <c r="D510" s="117"/>
      <c r="E510" s="127"/>
      <c r="F510" s="127"/>
      <c r="G510" s="117"/>
      <c r="H510" s="127"/>
      <c r="I510" s="12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  <c r="AB510" s="117"/>
      <c r="AC510" s="117"/>
      <c r="AD510" s="117"/>
      <c r="AE510" s="117"/>
    </row>
    <row r="511">
      <c r="A511" s="117"/>
      <c r="B511" s="117"/>
      <c r="C511" s="117"/>
      <c r="D511" s="117"/>
      <c r="E511" s="127"/>
      <c r="F511" s="127"/>
      <c r="G511" s="117"/>
      <c r="H511" s="127"/>
      <c r="I511" s="12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  <c r="AB511" s="117"/>
      <c r="AC511" s="117"/>
      <c r="AD511" s="117"/>
      <c r="AE511" s="117"/>
    </row>
    <row r="512">
      <c r="A512" s="117"/>
      <c r="B512" s="117"/>
      <c r="C512" s="117"/>
      <c r="D512" s="117"/>
      <c r="E512" s="127"/>
      <c r="F512" s="127"/>
      <c r="G512" s="117"/>
      <c r="H512" s="127"/>
      <c r="I512" s="12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  <c r="AB512" s="117"/>
      <c r="AC512" s="117"/>
      <c r="AD512" s="117"/>
      <c r="AE512" s="117"/>
    </row>
    <row r="513">
      <c r="A513" s="117"/>
      <c r="B513" s="117"/>
      <c r="C513" s="117"/>
      <c r="D513" s="117"/>
      <c r="E513" s="127"/>
      <c r="F513" s="127"/>
      <c r="G513" s="117"/>
      <c r="H513" s="127"/>
      <c r="I513" s="12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  <c r="AB513" s="117"/>
      <c r="AC513" s="117"/>
      <c r="AD513" s="117"/>
      <c r="AE513" s="117"/>
    </row>
    <row r="514">
      <c r="A514" s="117"/>
      <c r="B514" s="117"/>
      <c r="C514" s="117"/>
      <c r="D514" s="117"/>
      <c r="E514" s="127"/>
      <c r="F514" s="127"/>
      <c r="G514" s="117"/>
      <c r="H514" s="127"/>
      <c r="I514" s="12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  <c r="AB514" s="117"/>
      <c r="AC514" s="117"/>
      <c r="AD514" s="117"/>
      <c r="AE514" s="117"/>
    </row>
    <row r="515">
      <c r="A515" s="117"/>
      <c r="B515" s="117"/>
      <c r="C515" s="117"/>
      <c r="D515" s="117"/>
      <c r="E515" s="127"/>
      <c r="F515" s="127"/>
      <c r="G515" s="117"/>
      <c r="H515" s="127"/>
      <c r="I515" s="12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  <c r="AB515" s="117"/>
      <c r="AC515" s="117"/>
      <c r="AD515" s="117"/>
      <c r="AE515" s="117"/>
    </row>
    <row r="516">
      <c r="A516" s="117"/>
      <c r="B516" s="117"/>
      <c r="C516" s="117"/>
      <c r="D516" s="117"/>
      <c r="E516" s="127"/>
      <c r="F516" s="127"/>
      <c r="G516" s="117"/>
      <c r="H516" s="127"/>
      <c r="I516" s="12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  <c r="AB516" s="117"/>
      <c r="AC516" s="117"/>
      <c r="AD516" s="117"/>
      <c r="AE516" s="117"/>
    </row>
    <row r="517">
      <c r="A517" s="117"/>
      <c r="B517" s="117"/>
      <c r="C517" s="117"/>
      <c r="D517" s="117"/>
      <c r="E517" s="127"/>
      <c r="F517" s="127"/>
      <c r="G517" s="117"/>
      <c r="H517" s="127"/>
      <c r="I517" s="12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  <c r="AB517" s="117"/>
      <c r="AC517" s="117"/>
      <c r="AD517" s="117"/>
      <c r="AE517" s="117"/>
    </row>
    <row r="518">
      <c r="A518" s="117"/>
      <c r="B518" s="117"/>
      <c r="C518" s="117"/>
      <c r="D518" s="117"/>
      <c r="E518" s="127"/>
      <c r="F518" s="127"/>
      <c r="G518" s="117"/>
      <c r="H518" s="127"/>
      <c r="I518" s="12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  <c r="AB518" s="117"/>
      <c r="AC518" s="117"/>
      <c r="AD518" s="117"/>
      <c r="AE518" s="117"/>
    </row>
    <row r="519">
      <c r="A519" s="117"/>
      <c r="B519" s="117"/>
      <c r="C519" s="117"/>
      <c r="D519" s="117"/>
      <c r="E519" s="127"/>
      <c r="F519" s="127"/>
      <c r="G519" s="117"/>
      <c r="H519" s="127"/>
      <c r="I519" s="12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  <c r="AB519" s="117"/>
      <c r="AC519" s="117"/>
      <c r="AD519" s="117"/>
      <c r="AE519" s="117"/>
    </row>
    <row r="520">
      <c r="A520" s="117"/>
      <c r="B520" s="117"/>
      <c r="C520" s="117"/>
      <c r="D520" s="117"/>
      <c r="E520" s="127"/>
      <c r="F520" s="127"/>
      <c r="G520" s="117"/>
      <c r="H520" s="127"/>
      <c r="I520" s="12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  <c r="AB520" s="117"/>
      <c r="AC520" s="117"/>
      <c r="AD520" s="117"/>
      <c r="AE520" s="117"/>
    </row>
    <row r="521">
      <c r="A521" s="117"/>
      <c r="B521" s="117"/>
      <c r="C521" s="117"/>
      <c r="D521" s="117"/>
      <c r="E521" s="127"/>
      <c r="F521" s="127"/>
      <c r="G521" s="117"/>
      <c r="H521" s="127"/>
      <c r="I521" s="12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  <c r="AB521" s="117"/>
      <c r="AC521" s="117"/>
      <c r="AD521" s="117"/>
      <c r="AE521" s="117"/>
    </row>
    <row r="522">
      <c r="A522" s="117"/>
      <c r="B522" s="117"/>
      <c r="C522" s="117"/>
      <c r="D522" s="117"/>
      <c r="E522" s="127"/>
      <c r="F522" s="127"/>
      <c r="G522" s="117"/>
      <c r="H522" s="127"/>
      <c r="I522" s="12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  <c r="AB522" s="117"/>
      <c r="AC522" s="117"/>
      <c r="AD522" s="117"/>
      <c r="AE522" s="117"/>
    </row>
    <row r="523">
      <c r="A523" s="117"/>
      <c r="B523" s="117"/>
      <c r="C523" s="117"/>
      <c r="D523" s="117"/>
      <c r="E523" s="127"/>
      <c r="F523" s="127"/>
      <c r="G523" s="117"/>
      <c r="H523" s="127"/>
      <c r="I523" s="12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  <c r="AB523" s="117"/>
      <c r="AC523" s="117"/>
      <c r="AD523" s="117"/>
      <c r="AE523" s="117"/>
    </row>
    <row r="524">
      <c r="A524" s="117"/>
      <c r="B524" s="117"/>
      <c r="C524" s="117"/>
      <c r="D524" s="117"/>
      <c r="E524" s="127"/>
      <c r="F524" s="127"/>
      <c r="G524" s="117"/>
      <c r="H524" s="127"/>
      <c r="I524" s="12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  <c r="AB524" s="117"/>
      <c r="AC524" s="117"/>
      <c r="AD524" s="117"/>
      <c r="AE524" s="117"/>
    </row>
    <row r="525">
      <c r="A525" s="117"/>
      <c r="B525" s="117"/>
      <c r="C525" s="117"/>
      <c r="D525" s="117"/>
      <c r="E525" s="127"/>
      <c r="F525" s="127"/>
      <c r="G525" s="117"/>
      <c r="H525" s="127"/>
      <c r="I525" s="12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  <c r="AB525" s="117"/>
      <c r="AC525" s="117"/>
      <c r="AD525" s="117"/>
      <c r="AE525" s="117"/>
    </row>
    <row r="526">
      <c r="A526" s="117"/>
      <c r="B526" s="117"/>
      <c r="C526" s="117"/>
      <c r="D526" s="117"/>
      <c r="E526" s="127"/>
      <c r="F526" s="127"/>
      <c r="G526" s="117"/>
      <c r="H526" s="127"/>
      <c r="I526" s="12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  <c r="AB526" s="117"/>
      <c r="AC526" s="117"/>
      <c r="AD526" s="117"/>
      <c r="AE526" s="117"/>
    </row>
    <row r="527">
      <c r="A527" s="117"/>
      <c r="B527" s="117"/>
      <c r="C527" s="117"/>
      <c r="D527" s="117"/>
      <c r="E527" s="127"/>
      <c r="F527" s="127"/>
      <c r="G527" s="117"/>
      <c r="H527" s="127"/>
      <c r="I527" s="12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  <c r="AB527" s="117"/>
      <c r="AC527" s="117"/>
      <c r="AD527" s="117"/>
      <c r="AE527" s="117"/>
    </row>
    <row r="528">
      <c r="A528" s="117"/>
      <c r="B528" s="117"/>
      <c r="C528" s="117"/>
      <c r="D528" s="117"/>
      <c r="E528" s="127"/>
      <c r="F528" s="127"/>
      <c r="G528" s="117"/>
      <c r="H528" s="127"/>
      <c r="I528" s="12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  <c r="AB528" s="117"/>
      <c r="AC528" s="117"/>
      <c r="AD528" s="117"/>
      <c r="AE528" s="117"/>
    </row>
    <row r="529">
      <c r="A529" s="117"/>
      <c r="B529" s="117"/>
      <c r="C529" s="117"/>
      <c r="D529" s="117"/>
      <c r="E529" s="127"/>
      <c r="F529" s="127"/>
      <c r="G529" s="117"/>
      <c r="H529" s="127"/>
      <c r="I529" s="12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  <c r="AB529" s="117"/>
      <c r="AC529" s="117"/>
      <c r="AD529" s="117"/>
      <c r="AE529" s="117"/>
    </row>
    <row r="530">
      <c r="A530" s="117"/>
      <c r="B530" s="117"/>
      <c r="C530" s="117"/>
      <c r="D530" s="117"/>
      <c r="E530" s="127"/>
      <c r="F530" s="127"/>
      <c r="G530" s="117"/>
      <c r="H530" s="127"/>
      <c r="I530" s="12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  <c r="AB530" s="117"/>
      <c r="AC530" s="117"/>
      <c r="AD530" s="117"/>
      <c r="AE530" s="117"/>
    </row>
    <row r="531">
      <c r="A531" s="117"/>
      <c r="B531" s="117"/>
      <c r="C531" s="117"/>
      <c r="D531" s="117"/>
      <c r="E531" s="127"/>
      <c r="F531" s="127"/>
      <c r="G531" s="117"/>
      <c r="H531" s="127"/>
      <c r="I531" s="12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  <c r="AB531" s="117"/>
      <c r="AC531" s="117"/>
      <c r="AD531" s="117"/>
      <c r="AE531" s="117"/>
    </row>
    <row r="532">
      <c r="A532" s="117"/>
      <c r="B532" s="117"/>
      <c r="C532" s="117"/>
      <c r="D532" s="117"/>
      <c r="E532" s="127"/>
      <c r="F532" s="127"/>
      <c r="G532" s="117"/>
      <c r="H532" s="127"/>
      <c r="I532" s="12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  <c r="AB532" s="117"/>
      <c r="AC532" s="117"/>
      <c r="AD532" s="117"/>
      <c r="AE532" s="117"/>
    </row>
    <row r="533">
      <c r="A533" s="117"/>
      <c r="B533" s="117"/>
      <c r="C533" s="117"/>
      <c r="D533" s="117"/>
      <c r="E533" s="127"/>
      <c r="F533" s="127"/>
      <c r="G533" s="117"/>
      <c r="H533" s="127"/>
      <c r="I533" s="12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  <c r="AB533" s="117"/>
      <c r="AC533" s="117"/>
      <c r="AD533" s="117"/>
      <c r="AE533" s="117"/>
    </row>
    <row r="534">
      <c r="A534" s="117"/>
      <c r="B534" s="117"/>
      <c r="C534" s="117"/>
      <c r="D534" s="117"/>
      <c r="E534" s="127"/>
      <c r="F534" s="127"/>
      <c r="G534" s="117"/>
      <c r="H534" s="127"/>
      <c r="I534" s="12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  <c r="AB534" s="117"/>
      <c r="AC534" s="117"/>
      <c r="AD534" s="117"/>
      <c r="AE534" s="117"/>
    </row>
    <row r="535">
      <c r="A535" s="117"/>
      <c r="B535" s="117"/>
      <c r="C535" s="117"/>
      <c r="D535" s="117"/>
      <c r="E535" s="127"/>
      <c r="F535" s="127"/>
      <c r="G535" s="117"/>
      <c r="H535" s="127"/>
      <c r="I535" s="12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  <c r="AB535" s="117"/>
      <c r="AC535" s="117"/>
      <c r="AD535" s="117"/>
      <c r="AE535" s="117"/>
    </row>
    <row r="536">
      <c r="A536" s="117"/>
      <c r="B536" s="117"/>
      <c r="C536" s="117"/>
      <c r="D536" s="117"/>
      <c r="E536" s="127"/>
      <c r="F536" s="127"/>
      <c r="G536" s="117"/>
      <c r="H536" s="127"/>
      <c r="I536" s="12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  <c r="AB536" s="117"/>
      <c r="AC536" s="117"/>
      <c r="AD536" s="117"/>
      <c r="AE536" s="117"/>
    </row>
    <row r="537">
      <c r="A537" s="117"/>
      <c r="B537" s="117"/>
      <c r="C537" s="117"/>
      <c r="D537" s="117"/>
      <c r="E537" s="127"/>
      <c r="F537" s="127"/>
      <c r="G537" s="117"/>
      <c r="H537" s="127"/>
      <c r="I537" s="12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  <c r="AB537" s="117"/>
      <c r="AC537" s="117"/>
      <c r="AD537" s="117"/>
      <c r="AE537" s="117"/>
    </row>
    <row r="538">
      <c r="A538" s="117"/>
      <c r="B538" s="117"/>
      <c r="C538" s="117"/>
      <c r="D538" s="117"/>
      <c r="E538" s="127"/>
      <c r="F538" s="127"/>
      <c r="G538" s="117"/>
      <c r="H538" s="127"/>
      <c r="I538" s="12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  <c r="AB538" s="117"/>
      <c r="AC538" s="117"/>
      <c r="AD538" s="117"/>
      <c r="AE538" s="117"/>
    </row>
    <row r="539">
      <c r="A539" s="117"/>
      <c r="B539" s="117"/>
      <c r="C539" s="117"/>
      <c r="D539" s="117"/>
      <c r="E539" s="127"/>
      <c r="F539" s="127"/>
      <c r="G539" s="117"/>
      <c r="H539" s="127"/>
      <c r="I539" s="12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  <c r="AC539" s="117"/>
      <c r="AD539" s="117"/>
      <c r="AE539" s="117"/>
    </row>
    <row r="540">
      <c r="A540" s="117"/>
      <c r="B540" s="117"/>
      <c r="C540" s="117"/>
      <c r="D540" s="117"/>
      <c r="E540" s="127"/>
      <c r="F540" s="127"/>
      <c r="G540" s="117"/>
      <c r="H540" s="127"/>
      <c r="I540" s="12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17"/>
      <c r="AC540" s="117"/>
      <c r="AD540" s="117"/>
      <c r="AE540" s="117"/>
    </row>
    <row r="541">
      <c r="A541" s="117"/>
      <c r="B541" s="117"/>
      <c r="C541" s="117"/>
      <c r="D541" s="117"/>
      <c r="E541" s="127"/>
      <c r="F541" s="127"/>
      <c r="G541" s="117"/>
      <c r="H541" s="127"/>
      <c r="I541" s="12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  <c r="AB541" s="117"/>
      <c r="AC541" s="117"/>
      <c r="AD541" s="117"/>
      <c r="AE541" s="117"/>
    </row>
    <row r="542">
      <c r="A542" s="117"/>
      <c r="B542" s="117"/>
      <c r="C542" s="117"/>
      <c r="D542" s="117"/>
      <c r="E542" s="127"/>
      <c r="F542" s="127"/>
      <c r="G542" s="117"/>
      <c r="H542" s="127"/>
      <c r="I542" s="12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  <c r="AB542" s="117"/>
      <c r="AC542" s="117"/>
      <c r="AD542" s="117"/>
      <c r="AE542" s="117"/>
    </row>
    <row r="543">
      <c r="A543" s="117"/>
      <c r="B543" s="117"/>
      <c r="C543" s="117"/>
      <c r="D543" s="117"/>
      <c r="E543" s="127"/>
      <c r="F543" s="127"/>
      <c r="G543" s="117"/>
      <c r="H543" s="127"/>
      <c r="I543" s="12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  <c r="AB543" s="117"/>
      <c r="AC543" s="117"/>
      <c r="AD543" s="117"/>
      <c r="AE543" s="117"/>
    </row>
    <row r="544">
      <c r="A544" s="117"/>
      <c r="B544" s="117"/>
      <c r="C544" s="117"/>
      <c r="D544" s="117"/>
      <c r="E544" s="127"/>
      <c r="F544" s="127"/>
      <c r="G544" s="117"/>
      <c r="H544" s="127"/>
      <c r="I544" s="12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  <c r="AB544" s="117"/>
      <c r="AC544" s="117"/>
      <c r="AD544" s="117"/>
      <c r="AE544" s="117"/>
    </row>
    <row r="545">
      <c r="A545" s="117"/>
      <c r="B545" s="117"/>
      <c r="C545" s="117"/>
      <c r="D545" s="117"/>
      <c r="E545" s="127"/>
      <c r="F545" s="127"/>
      <c r="G545" s="117"/>
      <c r="H545" s="127"/>
      <c r="I545" s="12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  <c r="AB545" s="117"/>
      <c r="AC545" s="117"/>
      <c r="AD545" s="117"/>
      <c r="AE545" s="117"/>
    </row>
    <row r="546">
      <c r="A546" s="117"/>
      <c r="B546" s="117"/>
      <c r="C546" s="117"/>
      <c r="D546" s="117"/>
      <c r="E546" s="127"/>
      <c r="F546" s="127"/>
      <c r="G546" s="117"/>
      <c r="H546" s="127"/>
      <c r="I546" s="12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  <c r="AB546" s="117"/>
      <c r="AC546" s="117"/>
      <c r="AD546" s="117"/>
      <c r="AE546" s="117"/>
    </row>
    <row r="547">
      <c r="A547" s="117"/>
      <c r="B547" s="117"/>
      <c r="C547" s="117"/>
      <c r="D547" s="117"/>
      <c r="E547" s="127"/>
      <c r="F547" s="127"/>
      <c r="G547" s="117"/>
      <c r="H547" s="127"/>
      <c r="I547" s="12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  <c r="AB547" s="117"/>
      <c r="AC547" s="117"/>
      <c r="AD547" s="117"/>
      <c r="AE547" s="117"/>
    </row>
    <row r="548">
      <c r="A548" s="117"/>
      <c r="B548" s="117"/>
      <c r="C548" s="117"/>
      <c r="D548" s="117"/>
      <c r="E548" s="127"/>
      <c r="F548" s="127"/>
      <c r="G548" s="117"/>
      <c r="H548" s="127"/>
      <c r="I548" s="12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  <c r="AB548" s="117"/>
      <c r="AC548" s="117"/>
      <c r="AD548" s="117"/>
      <c r="AE548" s="117"/>
    </row>
    <row r="549">
      <c r="A549" s="117"/>
      <c r="B549" s="117"/>
      <c r="C549" s="117"/>
      <c r="D549" s="117"/>
      <c r="E549" s="127"/>
      <c r="F549" s="127"/>
      <c r="G549" s="117"/>
      <c r="H549" s="127"/>
      <c r="I549" s="12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  <c r="AB549" s="117"/>
      <c r="AC549" s="117"/>
      <c r="AD549" s="117"/>
      <c r="AE549" s="117"/>
    </row>
    <row r="550">
      <c r="A550" s="117"/>
      <c r="B550" s="117"/>
      <c r="C550" s="117"/>
      <c r="D550" s="117"/>
      <c r="E550" s="127"/>
      <c r="F550" s="127"/>
      <c r="G550" s="117"/>
      <c r="H550" s="127"/>
      <c r="I550" s="12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  <c r="AB550" s="117"/>
      <c r="AC550" s="117"/>
      <c r="AD550" s="117"/>
      <c r="AE550" s="117"/>
    </row>
    <row r="551">
      <c r="A551" s="117"/>
      <c r="B551" s="117"/>
      <c r="C551" s="117"/>
      <c r="D551" s="117"/>
      <c r="E551" s="127"/>
      <c r="F551" s="127"/>
      <c r="G551" s="117"/>
      <c r="H551" s="127"/>
      <c r="I551" s="12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  <c r="AB551" s="117"/>
      <c r="AC551" s="117"/>
      <c r="AD551" s="117"/>
      <c r="AE551" s="117"/>
    </row>
    <row r="552">
      <c r="A552" s="117"/>
      <c r="B552" s="117"/>
      <c r="C552" s="117"/>
      <c r="D552" s="117"/>
      <c r="E552" s="127"/>
      <c r="F552" s="127"/>
      <c r="G552" s="117"/>
      <c r="H552" s="127"/>
      <c r="I552" s="12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  <c r="AB552" s="117"/>
      <c r="AC552" s="117"/>
      <c r="AD552" s="117"/>
      <c r="AE552" s="117"/>
    </row>
    <row r="553">
      <c r="A553" s="117"/>
      <c r="B553" s="117"/>
      <c r="C553" s="117"/>
      <c r="D553" s="117"/>
      <c r="E553" s="127"/>
      <c r="F553" s="127"/>
      <c r="G553" s="117"/>
      <c r="H553" s="127"/>
      <c r="I553" s="12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  <c r="AB553" s="117"/>
      <c r="AC553" s="117"/>
      <c r="AD553" s="117"/>
      <c r="AE553" s="117"/>
    </row>
    <row r="554">
      <c r="A554" s="117"/>
      <c r="B554" s="117"/>
      <c r="C554" s="117"/>
      <c r="D554" s="117"/>
      <c r="E554" s="127"/>
      <c r="F554" s="127"/>
      <c r="G554" s="117"/>
      <c r="H554" s="127"/>
      <c r="I554" s="12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  <c r="AB554" s="117"/>
      <c r="AC554" s="117"/>
      <c r="AD554" s="117"/>
      <c r="AE554" s="117"/>
    </row>
    <row r="555">
      <c r="A555" s="117"/>
      <c r="B555" s="117"/>
      <c r="C555" s="117"/>
      <c r="D555" s="117"/>
      <c r="E555" s="127"/>
      <c r="F555" s="127"/>
      <c r="G555" s="117"/>
      <c r="H555" s="127"/>
      <c r="I555" s="12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  <c r="AB555" s="117"/>
      <c r="AC555" s="117"/>
      <c r="AD555" s="117"/>
      <c r="AE555" s="117"/>
    </row>
    <row r="556">
      <c r="A556" s="117"/>
      <c r="B556" s="117"/>
      <c r="C556" s="117"/>
      <c r="D556" s="117"/>
      <c r="E556" s="127"/>
      <c r="F556" s="127"/>
      <c r="G556" s="117"/>
      <c r="H556" s="127"/>
      <c r="I556" s="12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  <c r="AB556" s="117"/>
      <c r="AC556" s="117"/>
      <c r="AD556" s="117"/>
      <c r="AE556" s="117"/>
    </row>
    <row r="557">
      <c r="A557" s="117"/>
      <c r="B557" s="117"/>
      <c r="C557" s="117"/>
      <c r="D557" s="117"/>
      <c r="E557" s="127"/>
      <c r="F557" s="127"/>
      <c r="G557" s="117"/>
      <c r="H557" s="127"/>
      <c r="I557" s="12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  <c r="AB557" s="117"/>
      <c r="AC557" s="117"/>
      <c r="AD557" s="117"/>
      <c r="AE557" s="117"/>
    </row>
    <row r="558">
      <c r="A558" s="117"/>
      <c r="B558" s="117"/>
      <c r="C558" s="117"/>
      <c r="D558" s="117"/>
      <c r="E558" s="127"/>
      <c r="F558" s="127"/>
      <c r="G558" s="117"/>
      <c r="H558" s="127"/>
      <c r="I558" s="12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  <c r="AB558" s="117"/>
      <c r="AC558" s="117"/>
      <c r="AD558" s="117"/>
      <c r="AE558" s="117"/>
    </row>
    <row r="559">
      <c r="A559" s="117"/>
      <c r="B559" s="117"/>
      <c r="C559" s="117"/>
      <c r="D559" s="117"/>
      <c r="E559" s="127"/>
      <c r="F559" s="127"/>
      <c r="G559" s="117"/>
      <c r="H559" s="127"/>
      <c r="I559" s="12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  <c r="AB559" s="117"/>
      <c r="AC559" s="117"/>
      <c r="AD559" s="117"/>
      <c r="AE559" s="117"/>
    </row>
    <row r="560">
      <c r="A560" s="117"/>
      <c r="B560" s="117"/>
      <c r="C560" s="117"/>
      <c r="D560" s="117"/>
      <c r="E560" s="127"/>
      <c r="F560" s="127"/>
      <c r="G560" s="117"/>
      <c r="H560" s="127"/>
      <c r="I560" s="12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  <c r="AB560" s="117"/>
      <c r="AC560" s="117"/>
      <c r="AD560" s="117"/>
      <c r="AE560" s="117"/>
    </row>
    <row r="561">
      <c r="A561" s="117"/>
      <c r="B561" s="117"/>
      <c r="C561" s="117"/>
      <c r="D561" s="117"/>
      <c r="E561" s="127"/>
      <c r="F561" s="127"/>
      <c r="G561" s="117"/>
      <c r="H561" s="127"/>
      <c r="I561" s="12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  <c r="AB561" s="117"/>
      <c r="AC561" s="117"/>
      <c r="AD561" s="117"/>
      <c r="AE561" s="117"/>
    </row>
    <row r="562">
      <c r="A562" s="117"/>
      <c r="B562" s="117"/>
      <c r="C562" s="117"/>
      <c r="D562" s="117"/>
      <c r="E562" s="127"/>
      <c r="F562" s="127"/>
      <c r="G562" s="117"/>
      <c r="H562" s="127"/>
      <c r="I562" s="12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  <c r="AB562" s="117"/>
      <c r="AC562" s="117"/>
      <c r="AD562" s="117"/>
      <c r="AE562" s="117"/>
    </row>
    <row r="563">
      <c r="A563" s="117"/>
      <c r="B563" s="117"/>
      <c r="C563" s="117"/>
      <c r="D563" s="117"/>
      <c r="E563" s="127"/>
      <c r="F563" s="127"/>
      <c r="G563" s="117"/>
      <c r="H563" s="127"/>
      <c r="I563" s="12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  <c r="AB563" s="117"/>
      <c r="AC563" s="117"/>
      <c r="AD563" s="117"/>
      <c r="AE563" s="117"/>
    </row>
    <row r="564">
      <c r="A564" s="117"/>
      <c r="B564" s="117"/>
      <c r="C564" s="117"/>
      <c r="D564" s="117"/>
      <c r="E564" s="127"/>
      <c r="F564" s="127"/>
      <c r="G564" s="117"/>
      <c r="H564" s="127"/>
      <c r="I564" s="12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  <c r="AB564" s="117"/>
      <c r="AC564" s="117"/>
      <c r="AD564" s="117"/>
      <c r="AE564" s="117"/>
    </row>
    <row r="565">
      <c r="A565" s="117"/>
      <c r="B565" s="117"/>
      <c r="C565" s="117"/>
      <c r="D565" s="117"/>
      <c r="E565" s="127"/>
      <c r="F565" s="127"/>
      <c r="G565" s="117"/>
      <c r="H565" s="127"/>
      <c r="I565" s="12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  <c r="AB565" s="117"/>
      <c r="AC565" s="117"/>
      <c r="AD565" s="117"/>
      <c r="AE565" s="117"/>
    </row>
    <row r="566">
      <c r="A566" s="117"/>
      <c r="B566" s="117"/>
      <c r="C566" s="117"/>
      <c r="D566" s="117"/>
      <c r="E566" s="127"/>
      <c r="F566" s="127"/>
      <c r="G566" s="117"/>
      <c r="H566" s="127"/>
      <c r="I566" s="12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  <c r="AB566" s="117"/>
      <c r="AC566" s="117"/>
      <c r="AD566" s="117"/>
      <c r="AE566" s="117"/>
    </row>
    <row r="567">
      <c r="A567" s="117"/>
      <c r="B567" s="117"/>
      <c r="C567" s="117"/>
      <c r="D567" s="117"/>
      <c r="E567" s="127"/>
      <c r="F567" s="127"/>
      <c r="G567" s="117"/>
      <c r="H567" s="127"/>
      <c r="I567" s="12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  <c r="AB567" s="117"/>
      <c r="AC567" s="117"/>
      <c r="AD567" s="117"/>
      <c r="AE567" s="117"/>
    </row>
    <row r="568">
      <c r="A568" s="117"/>
      <c r="B568" s="117"/>
      <c r="C568" s="117"/>
      <c r="D568" s="117"/>
      <c r="E568" s="127"/>
      <c r="F568" s="127"/>
      <c r="G568" s="117"/>
      <c r="H568" s="127"/>
      <c r="I568" s="12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  <c r="AB568" s="117"/>
      <c r="AC568" s="117"/>
      <c r="AD568" s="117"/>
      <c r="AE568" s="117"/>
    </row>
    <row r="569">
      <c r="A569" s="117"/>
      <c r="B569" s="117"/>
      <c r="C569" s="117"/>
      <c r="D569" s="117"/>
      <c r="E569" s="127"/>
      <c r="F569" s="127"/>
      <c r="G569" s="117"/>
      <c r="H569" s="127"/>
      <c r="I569" s="12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  <c r="AB569" s="117"/>
      <c r="AC569" s="117"/>
      <c r="AD569" s="117"/>
      <c r="AE569" s="117"/>
    </row>
    <row r="570">
      <c r="A570" s="117"/>
      <c r="B570" s="117"/>
      <c r="C570" s="117"/>
      <c r="D570" s="117"/>
      <c r="E570" s="127"/>
      <c r="F570" s="127"/>
      <c r="G570" s="117"/>
      <c r="H570" s="127"/>
      <c r="I570" s="12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  <c r="AB570" s="117"/>
      <c r="AC570" s="117"/>
      <c r="AD570" s="117"/>
      <c r="AE570" s="117"/>
    </row>
    <row r="571">
      <c r="A571" s="117"/>
      <c r="B571" s="117"/>
      <c r="C571" s="117"/>
      <c r="D571" s="117"/>
      <c r="E571" s="127"/>
      <c r="F571" s="127"/>
      <c r="G571" s="117"/>
      <c r="H571" s="127"/>
      <c r="I571" s="12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  <c r="AB571" s="117"/>
      <c r="AC571" s="117"/>
      <c r="AD571" s="117"/>
      <c r="AE571" s="117"/>
    </row>
    <row r="572">
      <c r="A572" s="117"/>
      <c r="B572" s="117"/>
      <c r="C572" s="117"/>
      <c r="D572" s="117"/>
      <c r="E572" s="127"/>
      <c r="F572" s="127"/>
      <c r="G572" s="117"/>
      <c r="H572" s="127"/>
      <c r="I572" s="12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  <c r="AB572" s="117"/>
      <c r="AC572" s="117"/>
      <c r="AD572" s="117"/>
      <c r="AE572" s="117"/>
    </row>
    <row r="573">
      <c r="A573" s="117"/>
      <c r="B573" s="117"/>
      <c r="C573" s="117"/>
      <c r="D573" s="117"/>
      <c r="E573" s="127"/>
      <c r="F573" s="127"/>
      <c r="G573" s="117"/>
      <c r="H573" s="127"/>
      <c r="I573" s="12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  <c r="AB573" s="117"/>
      <c r="AC573" s="117"/>
      <c r="AD573" s="117"/>
      <c r="AE573" s="117"/>
    </row>
    <row r="574">
      <c r="A574" s="117"/>
      <c r="B574" s="117"/>
      <c r="C574" s="117"/>
      <c r="D574" s="117"/>
      <c r="E574" s="127"/>
      <c r="F574" s="127"/>
      <c r="G574" s="117"/>
      <c r="H574" s="127"/>
      <c r="I574" s="12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  <c r="AB574" s="117"/>
      <c r="AC574" s="117"/>
      <c r="AD574" s="117"/>
      <c r="AE574" s="117"/>
    </row>
    <row r="575">
      <c r="A575" s="117"/>
      <c r="B575" s="117"/>
      <c r="C575" s="117"/>
      <c r="D575" s="117"/>
      <c r="E575" s="127"/>
      <c r="F575" s="127"/>
      <c r="G575" s="117"/>
      <c r="H575" s="127"/>
      <c r="I575" s="12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  <c r="AB575" s="117"/>
      <c r="AC575" s="117"/>
      <c r="AD575" s="117"/>
      <c r="AE575" s="117"/>
    </row>
    <row r="576">
      <c r="A576" s="117"/>
      <c r="B576" s="117"/>
      <c r="C576" s="117"/>
      <c r="D576" s="117"/>
      <c r="E576" s="127"/>
      <c r="F576" s="127"/>
      <c r="G576" s="117"/>
      <c r="H576" s="127"/>
      <c r="I576" s="12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  <c r="AB576" s="117"/>
      <c r="AC576" s="117"/>
      <c r="AD576" s="117"/>
      <c r="AE576" s="117"/>
    </row>
    <row r="577">
      <c r="A577" s="117"/>
      <c r="B577" s="117"/>
      <c r="C577" s="117"/>
      <c r="D577" s="117"/>
      <c r="E577" s="127"/>
      <c r="F577" s="127"/>
      <c r="G577" s="117"/>
      <c r="H577" s="127"/>
      <c r="I577" s="12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  <c r="AB577" s="117"/>
      <c r="AC577" s="117"/>
      <c r="AD577" s="117"/>
      <c r="AE577" s="117"/>
    </row>
    <row r="578">
      <c r="A578" s="117"/>
      <c r="B578" s="117"/>
      <c r="C578" s="117"/>
      <c r="D578" s="117"/>
      <c r="E578" s="127"/>
      <c r="F578" s="127"/>
      <c r="G578" s="117"/>
      <c r="H578" s="127"/>
      <c r="I578" s="12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  <c r="AA578" s="117"/>
      <c r="AB578" s="117"/>
      <c r="AC578" s="117"/>
      <c r="AD578" s="117"/>
      <c r="AE578" s="117"/>
    </row>
    <row r="579">
      <c r="A579" s="117"/>
      <c r="B579" s="117"/>
      <c r="C579" s="117"/>
      <c r="D579" s="117"/>
      <c r="E579" s="127"/>
      <c r="F579" s="127"/>
      <c r="G579" s="117"/>
      <c r="H579" s="127"/>
      <c r="I579" s="12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  <c r="AA579" s="117"/>
      <c r="AB579" s="117"/>
      <c r="AC579" s="117"/>
      <c r="AD579" s="117"/>
      <c r="AE579" s="117"/>
    </row>
    <row r="580">
      <c r="A580" s="117"/>
      <c r="B580" s="117"/>
      <c r="C580" s="117"/>
      <c r="D580" s="117"/>
      <c r="E580" s="127"/>
      <c r="F580" s="127"/>
      <c r="G580" s="117"/>
      <c r="H580" s="127"/>
      <c r="I580" s="12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  <c r="AA580" s="117"/>
      <c r="AB580" s="117"/>
      <c r="AC580" s="117"/>
      <c r="AD580" s="117"/>
      <c r="AE580" s="117"/>
    </row>
    <row r="581">
      <c r="A581" s="117"/>
      <c r="B581" s="117"/>
      <c r="C581" s="117"/>
      <c r="D581" s="117"/>
      <c r="E581" s="127"/>
      <c r="F581" s="127"/>
      <c r="G581" s="117"/>
      <c r="H581" s="127"/>
      <c r="I581" s="12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  <c r="AA581" s="117"/>
      <c r="AB581" s="117"/>
      <c r="AC581" s="117"/>
      <c r="AD581" s="117"/>
      <c r="AE581" s="117"/>
    </row>
    <row r="582">
      <c r="A582" s="117"/>
      <c r="B582" s="117"/>
      <c r="C582" s="117"/>
      <c r="D582" s="117"/>
      <c r="E582" s="127"/>
      <c r="F582" s="127"/>
      <c r="G582" s="117"/>
      <c r="H582" s="127"/>
      <c r="I582" s="12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  <c r="AA582" s="117"/>
      <c r="AB582" s="117"/>
      <c r="AC582" s="117"/>
      <c r="AD582" s="117"/>
      <c r="AE582" s="117"/>
    </row>
    <row r="583">
      <c r="A583" s="117"/>
      <c r="B583" s="117"/>
      <c r="C583" s="117"/>
      <c r="D583" s="117"/>
      <c r="E583" s="127"/>
      <c r="F583" s="127"/>
      <c r="G583" s="117"/>
      <c r="H583" s="127"/>
      <c r="I583" s="12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  <c r="AA583" s="117"/>
      <c r="AB583" s="117"/>
      <c r="AC583" s="117"/>
      <c r="AD583" s="117"/>
      <c r="AE583" s="117"/>
    </row>
    <row r="584">
      <c r="A584" s="117"/>
      <c r="B584" s="117"/>
      <c r="C584" s="117"/>
      <c r="D584" s="117"/>
      <c r="E584" s="127"/>
      <c r="F584" s="127"/>
      <c r="G584" s="117"/>
      <c r="H584" s="127"/>
      <c r="I584" s="12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117"/>
      <c r="AB584" s="117"/>
      <c r="AC584" s="117"/>
      <c r="AD584" s="117"/>
      <c r="AE584" s="117"/>
    </row>
    <row r="585">
      <c r="A585" s="117"/>
      <c r="B585" s="117"/>
      <c r="C585" s="117"/>
      <c r="D585" s="117"/>
      <c r="E585" s="127"/>
      <c r="F585" s="127"/>
      <c r="G585" s="117"/>
      <c r="H585" s="127"/>
      <c r="I585" s="12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117"/>
      <c r="AB585" s="117"/>
      <c r="AC585" s="117"/>
      <c r="AD585" s="117"/>
      <c r="AE585" s="117"/>
    </row>
    <row r="586">
      <c r="A586" s="117"/>
      <c r="B586" s="117"/>
      <c r="C586" s="117"/>
      <c r="D586" s="117"/>
      <c r="E586" s="127"/>
      <c r="F586" s="127"/>
      <c r="G586" s="117"/>
      <c r="H586" s="127"/>
      <c r="I586" s="12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  <c r="AB586" s="117"/>
      <c r="AC586" s="117"/>
      <c r="AD586" s="117"/>
      <c r="AE586" s="117"/>
    </row>
    <row r="587">
      <c r="A587" s="117"/>
      <c r="B587" s="117"/>
      <c r="C587" s="117"/>
      <c r="D587" s="117"/>
      <c r="E587" s="127"/>
      <c r="F587" s="127"/>
      <c r="G587" s="117"/>
      <c r="H587" s="127"/>
      <c r="I587" s="12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  <c r="AA587" s="117"/>
      <c r="AB587" s="117"/>
      <c r="AC587" s="117"/>
      <c r="AD587" s="117"/>
      <c r="AE587" s="117"/>
    </row>
    <row r="588">
      <c r="A588" s="117"/>
      <c r="B588" s="117"/>
      <c r="C588" s="117"/>
      <c r="D588" s="117"/>
      <c r="E588" s="127"/>
      <c r="F588" s="127"/>
      <c r="G588" s="117"/>
      <c r="H588" s="127"/>
      <c r="I588" s="12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  <c r="AA588" s="117"/>
      <c r="AB588" s="117"/>
      <c r="AC588" s="117"/>
      <c r="AD588" s="117"/>
      <c r="AE588" s="117"/>
    </row>
    <row r="589">
      <c r="A589" s="117"/>
      <c r="B589" s="117"/>
      <c r="C589" s="117"/>
      <c r="D589" s="117"/>
      <c r="E589" s="127"/>
      <c r="F589" s="127"/>
      <c r="G589" s="117"/>
      <c r="H589" s="127"/>
      <c r="I589" s="12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  <c r="AA589" s="117"/>
      <c r="AB589" s="117"/>
      <c r="AC589" s="117"/>
      <c r="AD589" s="117"/>
      <c r="AE589" s="117"/>
    </row>
    <row r="590">
      <c r="A590" s="117"/>
      <c r="B590" s="117"/>
      <c r="C590" s="117"/>
      <c r="D590" s="117"/>
      <c r="E590" s="127"/>
      <c r="F590" s="127"/>
      <c r="G590" s="117"/>
      <c r="H590" s="127"/>
      <c r="I590" s="12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  <c r="AA590" s="117"/>
      <c r="AB590" s="117"/>
      <c r="AC590" s="117"/>
      <c r="AD590" s="117"/>
      <c r="AE590" s="117"/>
    </row>
    <row r="591">
      <c r="A591" s="117"/>
      <c r="B591" s="117"/>
      <c r="C591" s="117"/>
      <c r="D591" s="117"/>
      <c r="E591" s="127"/>
      <c r="F591" s="127"/>
      <c r="G591" s="117"/>
      <c r="H591" s="127"/>
      <c r="I591" s="12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  <c r="AA591" s="117"/>
      <c r="AB591" s="117"/>
      <c r="AC591" s="117"/>
      <c r="AD591" s="117"/>
      <c r="AE591" s="117"/>
    </row>
    <row r="592">
      <c r="A592" s="117"/>
      <c r="B592" s="117"/>
      <c r="C592" s="117"/>
      <c r="D592" s="117"/>
      <c r="E592" s="127"/>
      <c r="F592" s="127"/>
      <c r="G592" s="117"/>
      <c r="H592" s="127"/>
      <c r="I592" s="12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117"/>
      <c r="AB592" s="117"/>
      <c r="AC592" s="117"/>
      <c r="AD592" s="117"/>
      <c r="AE592" s="117"/>
    </row>
    <row r="593">
      <c r="A593" s="117"/>
      <c r="B593" s="117"/>
      <c r="C593" s="117"/>
      <c r="D593" s="117"/>
      <c r="E593" s="127"/>
      <c r="F593" s="127"/>
      <c r="G593" s="117"/>
      <c r="H593" s="127"/>
      <c r="I593" s="12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  <c r="AA593" s="117"/>
      <c r="AB593" s="117"/>
      <c r="AC593" s="117"/>
      <c r="AD593" s="117"/>
      <c r="AE593" s="117"/>
    </row>
    <row r="594">
      <c r="A594" s="117"/>
      <c r="B594" s="117"/>
      <c r="C594" s="117"/>
      <c r="D594" s="117"/>
      <c r="E594" s="127"/>
      <c r="F594" s="127"/>
      <c r="G594" s="117"/>
      <c r="H594" s="127"/>
      <c r="I594" s="12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  <c r="AA594" s="117"/>
      <c r="AB594" s="117"/>
      <c r="AC594" s="117"/>
      <c r="AD594" s="117"/>
      <c r="AE594" s="117"/>
    </row>
    <row r="595">
      <c r="A595" s="117"/>
      <c r="B595" s="117"/>
      <c r="C595" s="117"/>
      <c r="D595" s="117"/>
      <c r="E595" s="127"/>
      <c r="F595" s="127"/>
      <c r="G595" s="117"/>
      <c r="H595" s="127"/>
      <c r="I595" s="12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  <c r="AA595" s="117"/>
      <c r="AB595" s="117"/>
      <c r="AC595" s="117"/>
      <c r="AD595" s="117"/>
      <c r="AE595" s="117"/>
    </row>
    <row r="596">
      <c r="A596" s="117"/>
      <c r="B596" s="117"/>
      <c r="C596" s="117"/>
      <c r="D596" s="117"/>
      <c r="E596" s="127"/>
      <c r="F596" s="127"/>
      <c r="G596" s="117"/>
      <c r="H596" s="127"/>
      <c r="I596" s="12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  <c r="AA596" s="117"/>
      <c r="AB596" s="117"/>
      <c r="AC596" s="117"/>
      <c r="AD596" s="117"/>
      <c r="AE596" s="117"/>
    </row>
    <row r="597">
      <c r="A597" s="117"/>
      <c r="B597" s="117"/>
      <c r="C597" s="117"/>
      <c r="D597" s="117"/>
      <c r="E597" s="127"/>
      <c r="F597" s="127"/>
      <c r="G597" s="117"/>
      <c r="H597" s="127"/>
      <c r="I597" s="12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  <c r="AA597" s="117"/>
      <c r="AB597" s="117"/>
      <c r="AC597" s="117"/>
      <c r="AD597" s="117"/>
      <c r="AE597" s="117"/>
    </row>
    <row r="598">
      <c r="A598" s="117"/>
      <c r="B598" s="117"/>
      <c r="C598" s="117"/>
      <c r="D598" s="117"/>
      <c r="E598" s="127"/>
      <c r="F598" s="127"/>
      <c r="G598" s="117"/>
      <c r="H598" s="127"/>
      <c r="I598" s="12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  <c r="AA598" s="117"/>
      <c r="AB598" s="117"/>
      <c r="AC598" s="117"/>
      <c r="AD598" s="117"/>
      <c r="AE598" s="117"/>
    </row>
    <row r="599">
      <c r="A599" s="117"/>
      <c r="B599" s="117"/>
      <c r="C599" s="117"/>
      <c r="D599" s="117"/>
      <c r="E599" s="127"/>
      <c r="F599" s="127"/>
      <c r="G599" s="117"/>
      <c r="H599" s="127"/>
      <c r="I599" s="12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  <c r="AA599" s="117"/>
      <c r="AB599" s="117"/>
      <c r="AC599" s="117"/>
      <c r="AD599" s="117"/>
      <c r="AE599" s="117"/>
    </row>
    <row r="600">
      <c r="A600" s="117"/>
      <c r="B600" s="117"/>
      <c r="C600" s="117"/>
      <c r="D600" s="117"/>
      <c r="E600" s="127"/>
      <c r="F600" s="127"/>
      <c r="G600" s="117"/>
      <c r="H600" s="127"/>
      <c r="I600" s="12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  <c r="AA600" s="117"/>
      <c r="AB600" s="117"/>
      <c r="AC600" s="117"/>
      <c r="AD600" s="117"/>
      <c r="AE600" s="117"/>
    </row>
    <row r="601">
      <c r="A601" s="117"/>
      <c r="B601" s="117"/>
      <c r="C601" s="117"/>
      <c r="D601" s="117"/>
      <c r="E601" s="127"/>
      <c r="F601" s="127"/>
      <c r="G601" s="117"/>
      <c r="H601" s="127"/>
      <c r="I601" s="12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  <c r="AA601" s="117"/>
      <c r="AB601" s="117"/>
      <c r="AC601" s="117"/>
      <c r="AD601" s="117"/>
      <c r="AE601" s="117"/>
    </row>
    <row r="602">
      <c r="A602" s="117"/>
      <c r="B602" s="117"/>
      <c r="C602" s="117"/>
      <c r="D602" s="117"/>
      <c r="E602" s="127"/>
      <c r="F602" s="127"/>
      <c r="G602" s="117"/>
      <c r="H602" s="127"/>
      <c r="I602" s="12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  <c r="AA602" s="117"/>
      <c r="AB602" s="117"/>
      <c r="AC602" s="117"/>
      <c r="AD602" s="117"/>
      <c r="AE602" s="117"/>
    </row>
    <row r="603">
      <c r="A603" s="117"/>
      <c r="B603" s="117"/>
      <c r="C603" s="117"/>
      <c r="D603" s="117"/>
      <c r="E603" s="127"/>
      <c r="F603" s="127"/>
      <c r="G603" s="117"/>
      <c r="H603" s="127"/>
      <c r="I603" s="12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  <c r="AA603" s="117"/>
      <c r="AB603" s="117"/>
      <c r="AC603" s="117"/>
      <c r="AD603" s="117"/>
      <c r="AE603" s="117"/>
    </row>
    <row r="604">
      <c r="A604" s="117"/>
      <c r="B604" s="117"/>
      <c r="C604" s="117"/>
      <c r="D604" s="117"/>
      <c r="E604" s="127"/>
      <c r="F604" s="127"/>
      <c r="G604" s="117"/>
      <c r="H604" s="127"/>
      <c r="I604" s="12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  <c r="AA604" s="117"/>
      <c r="AB604" s="117"/>
      <c r="AC604" s="117"/>
      <c r="AD604" s="117"/>
      <c r="AE604" s="117"/>
    </row>
    <row r="605">
      <c r="A605" s="117"/>
      <c r="B605" s="117"/>
      <c r="C605" s="117"/>
      <c r="D605" s="117"/>
      <c r="E605" s="127"/>
      <c r="F605" s="127"/>
      <c r="G605" s="117"/>
      <c r="H605" s="127"/>
      <c r="I605" s="12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  <c r="AA605" s="117"/>
      <c r="AB605" s="117"/>
      <c r="AC605" s="117"/>
      <c r="AD605" s="117"/>
      <c r="AE605" s="117"/>
    </row>
    <row r="606">
      <c r="A606" s="117"/>
      <c r="B606" s="117"/>
      <c r="C606" s="117"/>
      <c r="D606" s="117"/>
      <c r="E606" s="127"/>
      <c r="F606" s="127"/>
      <c r="G606" s="117"/>
      <c r="H606" s="127"/>
      <c r="I606" s="12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  <c r="AA606" s="117"/>
      <c r="AB606" s="117"/>
      <c r="AC606" s="117"/>
      <c r="AD606" s="117"/>
      <c r="AE606" s="117"/>
    </row>
    <row r="607">
      <c r="A607" s="117"/>
      <c r="B607" s="117"/>
      <c r="C607" s="117"/>
      <c r="D607" s="117"/>
      <c r="E607" s="127"/>
      <c r="F607" s="127"/>
      <c r="G607" s="117"/>
      <c r="H607" s="127"/>
      <c r="I607" s="12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  <c r="AA607" s="117"/>
      <c r="AB607" s="117"/>
      <c r="AC607" s="117"/>
      <c r="AD607" s="117"/>
      <c r="AE607" s="117"/>
    </row>
    <row r="608">
      <c r="A608" s="117"/>
      <c r="B608" s="117"/>
      <c r="C608" s="117"/>
      <c r="D608" s="117"/>
      <c r="E608" s="127"/>
      <c r="F608" s="127"/>
      <c r="G608" s="117"/>
      <c r="H608" s="127"/>
      <c r="I608" s="12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  <c r="AA608" s="117"/>
      <c r="AB608" s="117"/>
      <c r="AC608" s="117"/>
      <c r="AD608" s="117"/>
      <c r="AE608" s="117"/>
    </row>
    <row r="609">
      <c r="A609" s="117"/>
      <c r="B609" s="117"/>
      <c r="C609" s="117"/>
      <c r="D609" s="117"/>
      <c r="E609" s="127"/>
      <c r="F609" s="127"/>
      <c r="G609" s="117"/>
      <c r="H609" s="127"/>
      <c r="I609" s="12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  <c r="AA609" s="117"/>
      <c r="AB609" s="117"/>
      <c r="AC609" s="117"/>
      <c r="AD609" s="117"/>
      <c r="AE609" s="117"/>
    </row>
    <row r="610">
      <c r="A610" s="117"/>
      <c r="B610" s="117"/>
      <c r="C610" s="117"/>
      <c r="D610" s="117"/>
      <c r="E610" s="127"/>
      <c r="F610" s="127"/>
      <c r="G610" s="117"/>
      <c r="H610" s="127"/>
      <c r="I610" s="12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  <c r="AA610" s="117"/>
      <c r="AB610" s="117"/>
      <c r="AC610" s="117"/>
      <c r="AD610" s="117"/>
      <c r="AE610" s="117"/>
    </row>
    <row r="611">
      <c r="A611" s="117"/>
      <c r="B611" s="117"/>
      <c r="C611" s="117"/>
      <c r="D611" s="117"/>
      <c r="E611" s="127"/>
      <c r="F611" s="127"/>
      <c r="G611" s="117"/>
      <c r="H611" s="127"/>
      <c r="I611" s="12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  <c r="AA611" s="117"/>
      <c r="AB611" s="117"/>
      <c r="AC611" s="117"/>
      <c r="AD611" s="117"/>
      <c r="AE611" s="117"/>
    </row>
    <row r="612">
      <c r="A612" s="117"/>
      <c r="B612" s="117"/>
      <c r="C612" s="117"/>
      <c r="D612" s="117"/>
      <c r="E612" s="127"/>
      <c r="F612" s="127"/>
      <c r="G612" s="117"/>
      <c r="H612" s="127"/>
      <c r="I612" s="12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  <c r="AA612" s="117"/>
      <c r="AB612" s="117"/>
      <c r="AC612" s="117"/>
      <c r="AD612" s="117"/>
      <c r="AE612" s="117"/>
    </row>
    <row r="613">
      <c r="A613" s="117"/>
      <c r="B613" s="117"/>
      <c r="C613" s="117"/>
      <c r="D613" s="117"/>
      <c r="E613" s="127"/>
      <c r="F613" s="127"/>
      <c r="G613" s="117"/>
      <c r="H613" s="127"/>
      <c r="I613" s="12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  <c r="AA613" s="117"/>
      <c r="AB613" s="117"/>
      <c r="AC613" s="117"/>
      <c r="AD613" s="117"/>
      <c r="AE613" s="117"/>
    </row>
    <row r="614">
      <c r="A614" s="117"/>
      <c r="B614" s="117"/>
      <c r="C614" s="117"/>
      <c r="D614" s="117"/>
      <c r="E614" s="127"/>
      <c r="F614" s="127"/>
      <c r="G614" s="117"/>
      <c r="H614" s="127"/>
      <c r="I614" s="12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  <c r="AA614" s="117"/>
      <c r="AB614" s="117"/>
      <c r="AC614" s="117"/>
      <c r="AD614" s="117"/>
      <c r="AE614" s="117"/>
    </row>
    <row r="615">
      <c r="A615" s="117"/>
      <c r="B615" s="117"/>
      <c r="C615" s="117"/>
      <c r="D615" s="117"/>
      <c r="E615" s="127"/>
      <c r="F615" s="127"/>
      <c r="G615" s="117"/>
      <c r="H615" s="127"/>
      <c r="I615" s="12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  <c r="AA615" s="117"/>
      <c r="AB615" s="117"/>
      <c r="AC615" s="117"/>
      <c r="AD615" s="117"/>
      <c r="AE615" s="117"/>
    </row>
    <row r="616">
      <c r="A616" s="117"/>
      <c r="B616" s="117"/>
      <c r="C616" s="117"/>
      <c r="D616" s="117"/>
      <c r="E616" s="127"/>
      <c r="F616" s="127"/>
      <c r="G616" s="117"/>
      <c r="H616" s="127"/>
      <c r="I616" s="12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  <c r="AA616" s="117"/>
      <c r="AB616" s="117"/>
      <c r="AC616" s="117"/>
      <c r="AD616" s="117"/>
      <c r="AE616" s="117"/>
    </row>
    <row r="617">
      <c r="A617" s="117"/>
      <c r="B617" s="117"/>
      <c r="C617" s="117"/>
      <c r="D617" s="117"/>
      <c r="E617" s="127"/>
      <c r="F617" s="127"/>
      <c r="G617" s="117"/>
      <c r="H617" s="127"/>
      <c r="I617" s="12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  <c r="AA617" s="117"/>
      <c r="AB617" s="117"/>
      <c r="AC617" s="117"/>
      <c r="AD617" s="117"/>
      <c r="AE617" s="117"/>
    </row>
    <row r="618">
      <c r="A618" s="117"/>
      <c r="B618" s="117"/>
      <c r="C618" s="117"/>
      <c r="D618" s="117"/>
      <c r="E618" s="127"/>
      <c r="F618" s="127"/>
      <c r="G618" s="117"/>
      <c r="H618" s="127"/>
      <c r="I618" s="12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  <c r="AA618" s="117"/>
      <c r="AB618" s="117"/>
      <c r="AC618" s="117"/>
      <c r="AD618" s="117"/>
      <c r="AE618" s="117"/>
    </row>
    <row r="619">
      <c r="A619" s="117"/>
      <c r="B619" s="117"/>
      <c r="C619" s="117"/>
      <c r="D619" s="117"/>
      <c r="E619" s="127"/>
      <c r="F619" s="127"/>
      <c r="G619" s="117"/>
      <c r="H619" s="127"/>
      <c r="I619" s="12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  <c r="AA619" s="117"/>
      <c r="AB619" s="117"/>
      <c r="AC619" s="117"/>
      <c r="AD619" s="117"/>
      <c r="AE619" s="117"/>
    </row>
    <row r="620">
      <c r="A620" s="117"/>
      <c r="B620" s="117"/>
      <c r="C620" s="117"/>
      <c r="D620" s="117"/>
      <c r="E620" s="127"/>
      <c r="F620" s="127"/>
      <c r="G620" s="117"/>
      <c r="H620" s="127"/>
      <c r="I620" s="12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  <c r="AA620" s="117"/>
      <c r="AB620" s="117"/>
      <c r="AC620" s="117"/>
      <c r="AD620" s="117"/>
      <c r="AE620" s="117"/>
    </row>
    <row r="621">
      <c r="A621" s="117"/>
      <c r="B621" s="117"/>
      <c r="C621" s="117"/>
      <c r="D621" s="117"/>
      <c r="E621" s="127"/>
      <c r="F621" s="127"/>
      <c r="G621" s="117"/>
      <c r="H621" s="127"/>
      <c r="I621" s="12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  <c r="AA621" s="117"/>
      <c r="AB621" s="117"/>
      <c r="AC621" s="117"/>
      <c r="AD621" s="117"/>
      <c r="AE621" s="117"/>
    </row>
    <row r="622">
      <c r="A622" s="117"/>
      <c r="B622" s="117"/>
      <c r="C622" s="117"/>
      <c r="D622" s="117"/>
      <c r="E622" s="127"/>
      <c r="F622" s="127"/>
      <c r="G622" s="117"/>
      <c r="H622" s="127"/>
      <c r="I622" s="12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  <c r="AA622" s="117"/>
      <c r="AB622" s="117"/>
      <c r="AC622" s="117"/>
      <c r="AD622" s="117"/>
      <c r="AE622" s="117"/>
    </row>
    <row r="623">
      <c r="A623" s="117"/>
      <c r="B623" s="117"/>
      <c r="C623" s="117"/>
      <c r="D623" s="117"/>
      <c r="E623" s="127"/>
      <c r="F623" s="127"/>
      <c r="G623" s="117"/>
      <c r="H623" s="127"/>
      <c r="I623" s="12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  <c r="AA623" s="117"/>
      <c r="AB623" s="117"/>
      <c r="AC623" s="117"/>
      <c r="AD623" s="117"/>
      <c r="AE623" s="117"/>
    </row>
    <row r="624">
      <c r="A624" s="117"/>
      <c r="B624" s="117"/>
      <c r="C624" s="117"/>
      <c r="D624" s="117"/>
      <c r="E624" s="127"/>
      <c r="F624" s="127"/>
      <c r="G624" s="117"/>
      <c r="H624" s="127"/>
      <c r="I624" s="12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  <c r="AA624" s="117"/>
      <c r="AB624" s="117"/>
      <c r="AC624" s="117"/>
      <c r="AD624" s="117"/>
      <c r="AE624" s="117"/>
    </row>
    <row r="625">
      <c r="A625" s="117"/>
      <c r="B625" s="117"/>
      <c r="C625" s="117"/>
      <c r="D625" s="117"/>
      <c r="E625" s="127"/>
      <c r="F625" s="127"/>
      <c r="G625" s="117"/>
      <c r="H625" s="127"/>
      <c r="I625" s="12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  <c r="AA625" s="117"/>
      <c r="AB625" s="117"/>
      <c r="AC625" s="117"/>
      <c r="AD625" s="117"/>
      <c r="AE625" s="117"/>
    </row>
    <row r="626">
      <c r="A626" s="117"/>
      <c r="B626" s="117"/>
      <c r="C626" s="117"/>
      <c r="D626" s="117"/>
      <c r="E626" s="127"/>
      <c r="F626" s="127"/>
      <c r="G626" s="117"/>
      <c r="H626" s="127"/>
      <c r="I626" s="12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  <c r="AA626" s="117"/>
      <c r="AB626" s="117"/>
      <c r="AC626" s="117"/>
      <c r="AD626" s="117"/>
      <c r="AE626" s="117"/>
    </row>
    <row r="627">
      <c r="A627" s="117"/>
      <c r="B627" s="117"/>
      <c r="C627" s="117"/>
      <c r="D627" s="117"/>
      <c r="E627" s="127"/>
      <c r="F627" s="127"/>
      <c r="G627" s="117"/>
      <c r="H627" s="127"/>
      <c r="I627" s="12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  <c r="AA627" s="117"/>
      <c r="AB627" s="117"/>
      <c r="AC627" s="117"/>
      <c r="AD627" s="117"/>
      <c r="AE627" s="117"/>
    </row>
    <row r="628">
      <c r="A628" s="117"/>
      <c r="B628" s="117"/>
      <c r="C628" s="117"/>
      <c r="D628" s="117"/>
      <c r="E628" s="127"/>
      <c r="F628" s="127"/>
      <c r="G628" s="117"/>
      <c r="H628" s="127"/>
      <c r="I628" s="12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  <c r="AA628" s="117"/>
      <c r="AB628" s="117"/>
      <c r="AC628" s="117"/>
      <c r="AD628" s="117"/>
      <c r="AE628" s="117"/>
    </row>
    <row r="629">
      <c r="A629" s="117"/>
      <c r="B629" s="117"/>
      <c r="C629" s="117"/>
      <c r="D629" s="117"/>
      <c r="E629" s="127"/>
      <c r="F629" s="127"/>
      <c r="G629" s="117"/>
      <c r="H629" s="127"/>
      <c r="I629" s="12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  <c r="AA629" s="117"/>
      <c r="AB629" s="117"/>
      <c r="AC629" s="117"/>
      <c r="AD629" s="117"/>
      <c r="AE629" s="117"/>
    </row>
    <row r="630">
      <c r="A630" s="117"/>
      <c r="B630" s="117"/>
      <c r="C630" s="117"/>
      <c r="D630" s="117"/>
      <c r="E630" s="127"/>
      <c r="F630" s="127"/>
      <c r="G630" s="117"/>
      <c r="H630" s="127"/>
      <c r="I630" s="12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117"/>
      <c r="AB630" s="117"/>
      <c r="AC630" s="117"/>
      <c r="AD630" s="117"/>
      <c r="AE630" s="117"/>
    </row>
    <row r="631">
      <c r="A631" s="117"/>
      <c r="B631" s="117"/>
      <c r="C631" s="117"/>
      <c r="D631" s="117"/>
      <c r="E631" s="127"/>
      <c r="F631" s="127"/>
      <c r="G631" s="117"/>
      <c r="H631" s="127"/>
      <c r="I631" s="12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  <c r="AA631" s="117"/>
      <c r="AB631" s="117"/>
      <c r="AC631" s="117"/>
      <c r="AD631" s="117"/>
      <c r="AE631" s="117"/>
    </row>
    <row r="632">
      <c r="A632" s="117"/>
      <c r="B632" s="117"/>
      <c r="C632" s="117"/>
      <c r="D632" s="117"/>
      <c r="E632" s="127"/>
      <c r="F632" s="127"/>
      <c r="G632" s="117"/>
      <c r="H632" s="127"/>
      <c r="I632" s="12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  <c r="AA632" s="117"/>
      <c r="AB632" s="117"/>
      <c r="AC632" s="117"/>
      <c r="AD632" s="117"/>
      <c r="AE632" s="117"/>
    </row>
    <row r="633">
      <c r="A633" s="117"/>
      <c r="B633" s="117"/>
      <c r="C633" s="117"/>
      <c r="D633" s="117"/>
      <c r="E633" s="127"/>
      <c r="F633" s="127"/>
      <c r="G633" s="117"/>
      <c r="H633" s="127"/>
      <c r="I633" s="12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  <c r="AA633" s="117"/>
      <c r="AB633" s="117"/>
      <c r="AC633" s="117"/>
      <c r="AD633" s="117"/>
      <c r="AE633" s="117"/>
    </row>
    <row r="634">
      <c r="A634" s="117"/>
      <c r="B634" s="117"/>
      <c r="C634" s="117"/>
      <c r="D634" s="117"/>
      <c r="E634" s="127"/>
      <c r="F634" s="127"/>
      <c r="G634" s="117"/>
      <c r="H634" s="127"/>
      <c r="I634" s="12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  <c r="AA634" s="117"/>
      <c r="AB634" s="117"/>
      <c r="AC634" s="117"/>
      <c r="AD634" s="117"/>
      <c r="AE634" s="117"/>
    </row>
    <row r="635">
      <c r="A635" s="117"/>
      <c r="B635" s="117"/>
      <c r="C635" s="117"/>
      <c r="D635" s="117"/>
      <c r="E635" s="127"/>
      <c r="F635" s="127"/>
      <c r="G635" s="117"/>
      <c r="H635" s="127"/>
      <c r="I635" s="12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  <c r="AA635" s="117"/>
      <c r="AB635" s="117"/>
      <c r="AC635" s="117"/>
      <c r="AD635" s="117"/>
      <c r="AE635" s="117"/>
    </row>
    <row r="636">
      <c r="A636" s="117"/>
      <c r="B636" s="117"/>
      <c r="C636" s="117"/>
      <c r="D636" s="117"/>
      <c r="E636" s="127"/>
      <c r="F636" s="127"/>
      <c r="G636" s="117"/>
      <c r="H636" s="127"/>
      <c r="I636" s="12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  <c r="AA636" s="117"/>
      <c r="AB636" s="117"/>
      <c r="AC636" s="117"/>
      <c r="AD636" s="117"/>
      <c r="AE636" s="117"/>
    </row>
    <row r="637">
      <c r="A637" s="117"/>
      <c r="B637" s="117"/>
      <c r="C637" s="117"/>
      <c r="D637" s="117"/>
      <c r="E637" s="127"/>
      <c r="F637" s="127"/>
      <c r="G637" s="117"/>
      <c r="H637" s="127"/>
      <c r="I637" s="12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  <c r="AA637" s="117"/>
      <c r="AB637" s="117"/>
      <c r="AC637" s="117"/>
      <c r="AD637" s="117"/>
      <c r="AE637" s="117"/>
    </row>
    <row r="638">
      <c r="A638" s="117"/>
      <c r="B638" s="117"/>
      <c r="C638" s="117"/>
      <c r="D638" s="117"/>
      <c r="E638" s="127"/>
      <c r="F638" s="127"/>
      <c r="G638" s="117"/>
      <c r="H638" s="127"/>
      <c r="I638" s="12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  <c r="AA638" s="117"/>
      <c r="AB638" s="117"/>
      <c r="AC638" s="117"/>
      <c r="AD638" s="117"/>
      <c r="AE638" s="117"/>
    </row>
    <row r="639">
      <c r="A639" s="117"/>
      <c r="B639" s="117"/>
      <c r="C639" s="117"/>
      <c r="D639" s="117"/>
      <c r="E639" s="127"/>
      <c r="F639" s="127"/>
      <c r="G639" s="117"/>
      <c r="H639" s="127"/>
      <c r="I639" s="12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  <c r="AA639" s="117"/>
      <c r="AB639" s="117"/>
      <c r="AC639" s="117"/>
      <c r="AD639" s="117"/>
      <c r="AE639" s="117"/>
    </row>
    <row r="640">
      <c r="A640" s="117"/>
      <c r="B640" s="117"/>
      <c r="C640" s="117"/>
      <c r="D640" s="117"/>
      <c r="E640" s="127"/>
      <c r="F640" s="127"/>
      <c r="G640" s="117"/>
      <c r="H640" s="127"/>
      <c r="I640" s="12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  <c r="AA640" s="117"/>
      <c r="AB640" s="117"/>
      <c r="AC640" s="117"/>
      <c r="AD640" s="117"/>
      <c r="AE640" s="117"/>
    </row>
    <row r="641">
      <c r="A641" s="117"/>
      <c r="B641" s="117"/>
      <c r="C641" s="117"/>
      <c r="D641" s="117"/>
      <c r="E641" s="127"/>
      <c r="F641" s="127"/>
      <c r="G641" s="117"/>
      <c r="H641" s="127"/>
      <c r="I641" s="12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  <c r="AA641" s="117"/>
      <c r="AB641" s="117"/>
      <c r="AC641" s="117"/>
      <c r="AD641" s="117"/>
      <c r="AE641" s="117"/>
    </row>
    <row r="642">
      <c r="A642" s="117"/>
      <c r="B642" s="117"/>
      <c r="C642" s="117"/>
      <c r="D642" s="117"/>
      <c r="E642" s="127"/>
      <c r="F642" s="127"/>
      <c r="G642" s="117"/>
      <c r="H642" s="127"/>
      <c r="I642" s="12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  <c r="AA642" s="117"/>
      <c r="AB642" s="117"/>
      <c r="AC642" s="117"/>
      <c r="AD642" s="117"/>
      <c r="AE642" s="117"/>
    </row>
    <row r="643">
      <c r="A643" s="117"/>
      <c r="B643" s="117"/>
      <c r="C643" s="117"/>
      <c r="D643" s="117"/>
      <c r="E643" s="127"/>
      <c r="F643" s="127"/>
      <c r="G643" s="117"/>
      <c r="H643" s="127"/>
      <c r="I643" s="12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117"/>
      <c r="AB643" s="117"/>
      <c r="AC643" s="117"/>
      <c r="AD643" s="117"/>
      <c r="AE643" s="117"/>
    </row>
    <row r="644">
      <c r="A644" s="117"/>
      <c r="B644" s="117"/>
      <c r="C644" s="117"/>
      <c r="D644" s="117"/>
      <c r="E644" s="127"/>
      <c r="F644" s="127"/>
      <c r="G644" s="117"/>
      <c r="H644" s="127"/>
      <c r="I644" s="12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117"/>
      <c r="AB644" s="117"/>
      <c r="AC644" s="117"/>
      <c r="AD644" s="117"/>
      <c r="AE644" s="117"/>
    </row>
    <row r="645">
      <c r="A645" s="117"/>
      <c r="B645" s="117"/>
      <c r="C645" s="117"/>
      <c r="D645" s="117"/>
      <c r="E645" s="127"/>
      <c r="F645" s="127"/>
      <c r="G645" s="117"/>
      <c r="H645" s="127"/>
      <c r="I645" s="12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  <c r="AA645" s="117"/>
      <c r="AB645" s="117"/>
      <c r="AC645" s="117"/>
      <c r="AD645" s="117"/>
      <c r="AE645" s="117"/>
    </row>
    <row r="646">
      <c r="A646" s="117"/>
      <c r="B646" s="117"/>
      <c r="C646" s="117"/>
      <c r="D646" s="117"/>
      <c r="E646" s="127"/>
      <c r="F646" s="127"/>
      <c r="G646" s="117"/>
      <c r="H646" s="127"/>
      <c r="I646" s="12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  <c r="AA646" s="117"/>
      <c r="AB646" s="117"/>
      <c r="AC646" s="117"/>
      <c r="AD646" s="117"/>
      <c r="AE646" s="117"/>
    </row>
    <row r="647">
      <c r="A647" s="117"/>
      <c r="B647" s="117"/>
      <c r="C647" s="117"/>
      <c r="D647" s="117"/>
      <c r="E647" s="127"/>
      <c r="F647" s="127"/>
      <c r="G647" s="117"/>
      <c r="H647" s="127"/>
      <c r="I647" s="12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  <c r="AA647" s="117"/>
      <c r="AB647" s="117"/>
      <c r="AC647" s="117"/>
      <c r="AD647" s="117"/>
      <c r="AE647" s="117"/>
    </row>
    <row r="648">
      <c r="A648" s="117"/>
      <c r="B648" s="117"/>
      <c r="C648" s="117"/>
      <c r="D648" s="117"/>
      <c r="E648" s="127"/>
      <c r="F648" s="127"/>
      <c r="G648" s="117"/>
      <c r="H648" s="127"/>
      <c r="I648" s="12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  <c r="AA648" s="117"/>
      <c r="AB648" s="117"/>
      <c r="AC648" s="117"/>
      <c r="AD648" s="117"/>
      <c r="AE648" s="117"/>
    </row>
    <row r="649">
      <c r="A649" s="117"/>
      <c r="B649" s="117"/>
      <c r="C649" s="117"/>
      <c r="D649" s="117"/>
      <c r="E649" s="127"/>
      <c r="F649" s="127"/>
      <c r="G649" s="117"/>
      <c r="H649" s="127"/>
      <c r="I649" s="12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  <c r="AA649" s="117"/>
      <c r="AB649" s="117"/>
      <c r="AC649" s="117"/>
      <c r="AD649" s="117"/>
      <c r="AE649" s="117"/>
    </row>
    <row r="650">
      <c r="A650" s="117"/>
      <c r="B650" s="117"/>
      <c r="C650" s="117"/>
      <c r="D650" s="117"/>
      <c r="E650" s="127"/>
      <c r="F650" s="127"/>
      <c r="G650" s="117"/>
      <c r="H650" s="127"/>
      <c r="I650" s="12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  <c r="AA650" s="117"/>
      <c r="AB650" s="117"/>
      <c r="AC650" s="117"/>
      <c r="AD650" s="117"/>
      <c r="AE650" s="117"/>
    </row>
    <row r="651">
      <c r="A651" s="117"/>
      <c r="B651" s="117"/>
      <c r="C651" s="117"/>
      <c r="D651" s="117"/>
      <c r="E651" s="127"/>
      <c r="F651" s="127"/>
      <c r="G651" s="117"/>
      <c r="H651" s="127"/>
      <c r="I651" s="12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  <c r="AA651" s="117"/>
      <c r="AB651" s="117"/>
      <c r="AC651" s="117"/>
      <c r="AD651" s="117"/>
      <c r="AE651" s="117"/>
    </row>
    <row r="652">
      <c r="A652" s="117"/>
      <c r="B652" s="117"/>
      <c r="C652" s="117"/>
      <c r="D652" s="117"/>
      <c r="E652" s="127"/>
      <c r="F652" s="127"/>
      <c r="G652" s="117"/>
      <c r="H652" s="127"/>
      <c r="I652" s="12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  <c r="AA652" s="117"/>
      <c r="AB652" s="117"/>
      <c r="AC652" s="117"/>
      <c r="AD652" s="117"/>
      <c r="AE652" s="117"/>
    </row>
    <row r="653">
      <c r="A653" s="117"/>
      <c r="B653" s="117"/>
      <c r="C653" s="117"/>
      <c r="D653" s="117"/>
      <c r="E653" s="127"/>
      <c r="F653" s="127"/>
      <c r="G653" s="117"/>
      <c r="H653" s="127"/>
      <c r="I653" s="12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  <c r="AA653" s="117"/>
      <c r="AB653" s="117"/>
      <c r="AC653" s="117"/>
      <c r="AD653" s="117"/>
      <c r="AE653" s="117"/>
    </row>
    <row r="654">
      <c r="A654" s="117"/>
      <c r="B654" s="117"/>
      <c r="C654" s="117"/>
      <c r="D654" s="117"/>
      <c r="E654" s="127"/>
      <c r="F654" s="127"/>
      <c r="G654" s="117"/>
      <c r="H654" s="127"/>
      <c r="I654" s="12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  <c r="AA654" s="117"/>
      <c r="AB654" s="117"/>
      <c r="AC654" s="117"/>
      <c r="AD654" s="117"/>
      <c r="AE654" s="117"/>
    </row>
    <row r="655">
      <c r="A655" s="117"/>
      <c r="B655" s="117"/>
      <c r="C655" s="117"/>
      <c r="D655" s="117"/>
      <c r="E655" s="127"/>
      <c r="F655" s="127"/>
      <c r="G655" s="117"/>
      <c r="H655" s="127"/>
      <c r="I655" s="12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  <c r="AA655" s="117"/>
      <c r="AB655" s="117"/>
      <c r="AC655" s="117"/>
      <c r="AD655" s="117"/>
      <c r="AE655" s="117"/>
    </row>
    <row r="656">
      <c r="A656" s="117"/>
      <c r="B656" s="117"/>
      <c r="C656" s="117"/>
      <c r="D656" s="117"/>
      <c r="E656" s="127"/>
      <c r="F656" s="127"/>
      <c r="G656" s="117"/>
      <c r="H656" s="127"/>
      <c r="I656" s="12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  <c r="AA656" s="117"/>
      <c r="AB656" s="117"/>
      <c r="AC656" s="117"/>
      <c r="AD656" s="117"/>
      <c r="AE656" s="117"/>
    </row>
    <row r="657">
      <c r="A657" s="117"/>
      <c r="B657" s="117"/>
      <c r="C657" s="117"/>
      <c r="D657" s="117"/>
      <c r="E657" s="127"/>
      <c r="F657" s="127"/>
      <c r="G657" s="117"/>
      <c r="H657" s="127"/>
      <c r="I657" s="12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  <c r="AA657" s="117"/>
      <c r="AB657" s="117"/>
      <c r="AC657" s="117"/>
      <c r="AD657" s="117"/>
      <c r="AE657" s="117"/>
    </row>
    <row r="658">
      <c r="A658" s="117"/>
      <c r="B658" s="117"/>
      <c r="C658" s="117"/>
      <c r="D658" s="117"/>
      <c r="E658" s="127"/>
      <c r="F658" s="127"/>
      <c r="G658" s="117"/>
      <c r="H658" s="127"/>
      <c r="I658" s="12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  <c r="AA658" s="117"/>
      <c r="AB658" s="117"/>
      <c r="AC658" s="117"/>
      <c r="AD658" s="117"/>
      <c r="AE658" s="117"/>
    </row>
    <row r="659">
      <c r="A659" s="117"/>
      <c r="B659" s="117"/>
      <c r="C659" s="117"/>
      <c r="D659" s="117"/>
      <c r="E659" s="127"/>
      <c r="F659" s="127"/>
      <c r="G659" s="117"/>
      <c r="H659" s="127"/>
      <c r="I659" s="12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  <c r="AA659" s="117"/>
      <c r="AB659" s="117"/>
      <c r="AC659" s="117"/>
      <c r="AD659" s="117"/>
      <c r="AE659" s="117"/>
    </row>
    <row r="660">
      <c r="A660" s="117"/>
      <c r="B660" s="117"/>
      <c r="C660" s="117"/>
      <c r="D660" s="117"/>
      <c r="E660" s="127"/>
      <c r="F660" s="127"/>
      <c r="G660" s="117"/>
      <c r="H660" s="127"/>
      <c r="I660" s="12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  <c r="AA660" s="117"/>
      <c r="AB660" s="117"/>
      <c r="AC660" s="117"/>
      <c r="AD660" s="117"/>
      <c r="AE660" s="117"/>
    </row>
    <row r="661">
      <c r="A661" s="117"/>
      <c r="B661" s="117"/>
      <c r="C661" s="117"/>
      <c r="D661" s="117"/>
      <c r="E661" s="127"/>
      <c r="F661" s="127"/>
      <c r="G661" s="117"/>
      <c r="H661" s="127"/>
      <c r="I661" s="12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  <c r="AA661" s="117"/>
      <c r="AB661" s="117"/>
      <c r="AC661" s="117"/>
      <c r="AD661" s="117"/>
      <c r="AE661" s="117"/>
    </row>
    <row r="662">
      <c r="A662" s="117"/>
      <c r="B662" s="117"/>
      <c r="C662" s="117"/>
      <c r="D662" s="117"/>
      <c r="E662" s="127"/>
      <c r="F662" s="127"/>
      <c r="G662" s="117"/>
      <c r="H662" s="127"/>
      <c r="I662" s="12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  <c r="AA662" s="117"/>
      <c r="AB662" s="117"/>
      <c r="AC662" s="117"/>
      <c r="AD662" s="117"/>
      <c r="AE662" s="117"/>
    </row>
    <row r="663">
      <c r="A663" s="117"/>
      <c r="B663" s="117"/>
      <c r="C663" s="117"/>
      <c r="D663" s="117"/>
      <c r="E663" s="127"/>
      <c r="F663" s="127"/>
      <c r="G663" s="117"/>
      <c r="H663" s="127"/>
      <c r="I663" s="12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  <c r="AA663" s="117"/>
      <c r="AB663" s="117"/>
      <c r="AC663" s="117"/>
      <c r="AD663" s="117"/>
      <c r="AE663" s="117"/>
    </row>
    <row r="664">
      <c r="A664" s="117"/>
      <c r="B664" s="117"/>
      <c r="C664" s="117"/>
      <c r="D664" s="117"/>
      <c r="E664" s="127"/>
      <c r="F664" s="127"/>
      <c r="G664" s="117"/>
      <c r="H664" s="127"/>
      <c r="I664" s="12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  <c r="AA664" s="117"/>
      <c r="AB664" s="117"/>
      <c r="AC664" s="117"/>
      <c r="AD664" s="117"/>
      <c r="AE664" s="117"/>
    </row>
    <row r="665">
      <c r="A665" s="117"/>
      <c r="B665" s="117"/>
      <c r="C665" s="117"/>
      <c r="D665" s="117"/>
      <c r="E665" s="127"/>
      <c r="F665" s="127"/>
      <c r="G665" s="117"/>
      <c r="H665" s="127"/>
      <c r="I665" s="12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  <c r="AA665" s="117"/>
      <c r="AB665" s="117"/>
      <c r="AC665" s="117"/>
      <c r="AD665" s="117"/>
      <c r="AE665" s="117"/>
    </row>
    <row r="666">
      <c r="A666" s="117"/>
      <c r="B666" s="117"/>
      <c r="C666" s="117"/>
      <c r="D666" s="117"/>
      <c r="E666" s="127"/>
      <c r="F666" s="127"/>
      <c r="G666" s="117"/>
      <c r="H666" s="127"/>
      <c r="I666" s="12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  <c r="AA666" s="117"/>
      <c r="AB666" s="117"/>
      <c r="AC666" s="117"/>
      <c r="AD666" s="117"/>
      <c r="AE666" s="117"/>
    </row>
    <row r="667">
      <c r="A667" s="117"/>
      <c r="B667" s="117"/>
      <c r="C667" s="117"/>
      <c r="D667" s="117"/>
      <c r="E667" s="127"/>
      <c r="F667" s="127"/>
      <c r="G667" s="117"/>
      <c r="H667" s="127"/>
      <c r="I667" s="12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  <c r="AA667" s="117"/>
      <c r="AB667" s="117"/>
      <c r="AC667" s="117"/>
      <c r="AD667" s="117"/>
      <c r="AE667" s="117"/>
    </row>
    <row r="668">
      <c r="A668" s="117"/>
      <c r="B668" s="117"/>
      <c r="C668" s="117"/>
      <c r="D668" s="117"/>
      <c r="E668" s="127"/>
      <c r="F668" s="127"/>
      <c r="G668" s="117"/>
      <c r="H668" s="127"/>
      <c r="I668" s="12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117"/>
      <c r="AB668" s="117"/>
      <c r="AC668" s="117"/>
      <c r="AD668" s="117"/>
      <c r="AE668" s="117"/>
    </row>
    <row r="669">
      <c r="A669" s="117"/>
      <c r="B669" s="117"/>
      <c r="C669" s="117"/>
      <c r="D669" s="117"/>
      <c r="E669" s="127"/>
      <c r="F669" s="127"/>
      <c r="G669" s="117"/>
      <c r="H669" s="127"/>
      <c r="I669" s="12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  <c r="AA669" s="117"/>
      <c r="AB669" s="117"/>
      <c r="AC669" s="117"/>
      <c r="AD669" s="117"/>
      <c r="AE669" s="117"/>
    </row>
    <row r="670">
      <c r="A670" s="117"/>
      <c r="B670" s="117"/>
      <c r="C670" s="117"/>
      <c r="D670" s="117"/>
      <c r="E670" s="127"/>
      <c r="F670" s="127"/>
      <c r="G670" s="117"/>
      <c r="H670" s="127"/>
      <c r="I670" s="12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  <c r="AA670" s="117"/>
      <c r="AB670" s="117"/>
      <c r="AC670" s="117"/>
      <c r="AD670" s="117"/>
      <c r="AE670" s="117"/>
    </row>
    <row r="671">
      <c r="A671" s="117"/>
      <c r="B671" s="117"/>
      <c r="C671" s="117"/>
      <c r="D671" s="117"/>
      <c r="E671" s="127"/>
      <c r="F671" s="127"/>
      <c r="G671" s="117"/>
      <c r="H671" s="127"/>
      <c r="I671" s="12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  <c r="AA671" s="117"/>
      <c r="AB671" s="117"/>
      <c r="AC671" s="117"/>
      <c r="AD671" s="117"/>
      <c r="AE671" s="117"/>
    </row>
    <row r="672">
      <c r="A672" s="117"/>
      <c r="B672" s="117"/>
      <c r="C672" s="117"/>
      <c r="D672" s="117"/>
      <c r="E672" s="127"/>
      <c r="F672" s="127"/>
      <c r="G672" s="117"/>
      <c r="H672" s="127"/>
      <c r="I672" s="12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  <c r="AA672" s="117"/>
      <c r="AB672" s="117"/>
      <c r="AC672" s="117"/>
      <c r="AD672" s="117"/>
      <c r="AE672" s="117"/>
    </row>
    <row r="673">
      <c r="A673" s="117"/>
      <c r="B673" s="117"/>
      <c r="C673" s="117"/>
      <c r="D673" s="117"/>
      <c r="E673" s="127"/>
      <c r="F673" s="127"/>
      <c r="G673" s="117"/>
      <c r="H673" s="127"/>
      <c r="I673" s="12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  <c r="AA673" s="117"/>
      <c r="AB673" s="117"/>
      <c r="AC673" s="117"/>
      <c r="AD673" s="117"/>
      <c r="AE673" s="117"/>
    </row>
    <row r="674">
      <c r="A674" s="117"/>
      <c r="B674" s="117"/>
      <c r="C674" s="117"/>
      <c r="D674" s="117"/>
      <c r="E674" s="127"/>
      <c r="F674" s="127"/>
      <c r="G674" s="117"/>
      <c r="H674" s="127"/>
      <c r="I674" s="12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  <c r="AA674" s="117"/>
      <c r="AB674" s="117"/>
      <c r="AC674" s="117"/>
      <c r="AD674" s="117"/>
      <c r="AE674" s="117"/>
    </row>
    <row r="675">
      <c r="A675" s="117"/>
      <c r="B675" s="117"/>
      <c r="C675" s="117"/>
      <c r="D675" s="117"/>
      <c r="E675" s="127"/>
      <c r="F675" s="127"/>
      <c r="G675" s="117"/>
      <c r="H675" s="127"/>
      <c r="I675" s="12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  <c r="AA675" s="117"/>
      <c r="AB675" s="117"/>
      <c r="AC675" s="117"/>
      <c r="AD675" s="117"/>
      <c r="AE675" s="117"/>
    </row>
    <row r="676">
      <c r="A676" s="117"/>
      <c r="B676" s="117"/>
      <c r="C676" s="117"/>
      <c r="D676" s="117"/>
      <c r="E676" s="127"/>
      <c r="F676" s="127"/>
      <c r="G676" s="117"/>
      <c r="H676" s="127"/>
      <c r="I676" s="12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  <c r="AA676" s="117"/>
      <c r="AB676" s="117"/>
      <c r="AC676" s="117"/>
      <c r="AD676" s="117"/>
      <c r="AE676" s="117"/>
    </row>
    <row r="677">
      <c r="A677" s="117"/>
      <c r="B677" s="117"/>
      <c r="C677" s="117"/>
      <c r="D677" s="117"/>
      <c r="E677" s="127"/>
      <c r="F677" s="127"/>
      <c r="G677" s="117"/>
      <c r="H677" s="127"/>
      <c r="I677" s="12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  <c r="AA677" s="117"/>
      <c r="AB677" s="117"/>
      <c r="AC677" s="117"/>
      <c r="AD677" s="117"/>
      <c r="AE677" s="117"/>
    </row>
    <row r="678">
      <c r="A678" s="117"/>
      <c r="B678" s="117"/>
      <c r="C678" s="117"/>
      <c r="D678" s="117"/>
      <c r="E678" s="127"/>
      <c r="F678" s="127"/>
      <c r="G678" s="117"/>
      <c r="H678" s="127"/>
      <c r="I678" s="12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  <c r="AA678" s="117"/>
      <c r="AB678" s="117"/>
      <c r="AC678" s="117"/>
      <c r="AD678" s="117"/>
      <c r="AE678" s="117"/>
    </row>
    <row r="679">
      <c r="A679" s="117"/>
      <c r="B679" s="117"/>
      <c r="C679" s="117"/>
      <c r="D679" s="117"/>
      <c r="E679" s="127"/>
      <c r="F679" s="127"/>
      <c r="G679" s="117"/>
      <c r="H679" s="127"/>
      <c r="I679" s="12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  <c r="AA679" s="117"/>
      <c r="AB679" s="117"/>
      <c r="AC679" s="117"/>
      <c r="AD679" s="117"/>
      <c r="AE679" s="117"/>
    </row>
    <row r="680">
      <c r="A680" s="117"/>
      <c r="B680" s="117"/>
      <c r="C680" s="117"/>
      <c r="D680" s="117"/>
      <c r="E680" s="127"/>
      <c r="F680" s="127"/>
      <c r="G680" s="117"/>
      <c r="H680" s="127"/>
      <c r="I680" s="12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  <c r="AA680" s="117"/>
      <c r="AB680" s="117"/>
      <c r="AC680" s="117"/>
      <c r="AD680" s="117"/>
      <c r="AE680" s="117"/>
    </row>
    <row r="681">
      <c r="A681" s="117"/>
      <c r="B681" s="117"/>
      <c r="C681" s="117"/>
      <c r="D681" s="117"/>
      <c r="E681" s="127"/>
      <c r="F681" s="127"/>
      <c r="G681" s="117"/>
      <c r="H681" s="127"/>
      <c r="I681" s="12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  <c r="AA681" s="117"/>
      <c r="AB681" s="117"/>
      <c r="AC681" s="117"/>
      <c r="AD681" s="117"/>
      <c r="AE681" s="117"/>
    </row>
    <row r="682">
      <c r="A682" s="117"/>
      <c r="B682" s="117"/>
      <c r="C682" s="117"/>
      <c r="D682" s="117"/>
      <c r="E682" s="127"/>
      <c r="F682" s="127"/>
      <c r="G682" s="117"/>
      <c r="H682" s="127"/>
      <c r="I682" s="12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  <c r="AA682" s="117"/>
      <c r="AB682" s="117"/>
      <c r="AC682" s="117"/>
      <c r="AD682" s="117"/>
      <c r="AE682" s="117"/>
    </row>
    <row r="683">
      <c r="A683" s="117"/>
      <c r="B683" s="117"/>
      <c r="C683" s="117"/>
      <c r="D683" s="117"/>
      <c r="E683" s="127"/>
      <c r="F683" s="127"/>
      <c r="G683" s="117"/>
      <c r="H683" s="127"/>
      <c r="I683" s="12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  <c r="AA683" s="117"/>
      <c r="AB683" s="117"/>
      <c r="AC683" s="117"/>
      <c r="AD683" s="117"/>
      <c r="AE683" s="117"/>
    </row>
    <row r="684">
      <c r="A684" s="117"/>
      <c r="B684" s="117"/>
      <c r="C684" s="117"/>
      <c r="D684" s="117"/>
      <c r="E684" s="127"/>
      <c r="F684" s="127"/>
      <c r="G684" s="117"/>
      <c r="H684" s="127"/>
      <c r="I684" s="12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  <c r="AA684" s="117"/>
      <c r="AB684" s="117"/>
      <c r="AC684" s="117"/>
      <c r="AD684" s="117"/>
      <c r="AE684" s="117"/>
    </row>
    <row r="685">
      <c r="A685" s="117"/>
      <c r="B685" s="117"/>
      <c r="C685" s="117"/>
      <c r="D685" s="117"/>
      <c r="E685" s="127"/>
      <c r="F685" s="127"/>
      <c r="G685" s="117"/>
      <c r="H685" s="127"/>
      <c r="I685" s="12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  <c r="AA685" s="117"/>
      <c r="AB685" s="117"/>
      <c r="AC685" s="117"/>
      <c r="AD685" s="117"/>
      <c r="AE685" s="117"/>
    </row>
    <row r="686">
      <c r="A686" s="117"/>
      <c r="B686" s="117"/>
      <c r="C686" s="117"/>
      <c r="D686" s="117"/>
      <c r="E686" s="127"/>
      <c r="F686" s="127"/>
      <c r="G686" s="117"/>
      <c r="H686" s="127"/>
      <c r="I686" s="12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  <c r="AA686" s="117"/>
      <c r="AB686" s="117"/>
      <c r="AC686" s="117"/>
      <c r="AD686" s="117"/>
      <c r="AE686" s="117"/>
    </row>
    <row r="687">
      <c r="A687" s="117"/>
      <c r="B687" s="117"/>
      <c r="C687" s="117"/>
      <c r="D687" s="117"/>
      <c r="E687" s="127"/>
      <c r="F687" s="127"/>
      <c r="G687" s="117"/>
      <c r="H687" s="127"/>
      <c r="I687" s="12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  <c r="AA687" s="117"/>
      <c r="AB687" s="117"/>
      <c r="AC687" s="117"/>
      <c r="AD687" s="117"/>
      <c r="AE687" s="117"/>
    </row>
    <row r="688">
      <c r="A688" s="117"/>
      <c r="B688" s="117"/>
      <c r="C688" s="117"/>
      <c r="D688" s="117"/>
      <c r="E688" s="127"/>
      <c r="F688" s="127"/>
      <c r="G688" s="117"/>
      <c r="H688" s="127"/>
      <c r="I688" s="12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  <c r="AA688" s="117"/>
      <c r="AB688" s="117"/>
      <c r="AC688" s="117"/>
      <c r="AD688" s="117"/>
      <c r="AE688" s="117"/>
    </row>
    <row r="689">
      <c r="A689" s="117"/>
      <c r="B689" s="117"/>
      <c r="C689" s="117"/>
      <c r="D689" s="117"/>
      <c r="E689" s="127"/>
      <c r="F689" s="127"/>
      <c r="G689" s="117"/>
      <c r="H689" s="127"/>
      <c r="I689" s="12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  <c r="AA689" s="117"/>
      <c r="AB689" s="117"/>
      <c r="AC689" s="117"/>
      <c r="AD689" s="117"/>
      <c r="AE689" s="117"/>
    </row>
    <row r="690">
      <c r="A690" s="117"/>
      <c r="B690" s="117"/>
      <c r="C690" s="117"/>
      <c r="D690" s="117"/>
      <c r="E690" s="127"/>
      <c r="F690" s="127"/>
      <c r="G690" s="117"/>
      <c r="H690" s="127"/>
      <c r="I690" s="12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  <c r="AA690" s="117"/>
      <c r="AB690" s="117"/>
      <c r="AC690" s="117"/>
      <c r="AD690" s="117"/>
      <c r="AE690" s="117"/>
    </row>
    <row r="691">
      <c r="A691" s="117"/>
      <c r="B691" s="117"/>
      <c r="C691" s="117"/>
      <c r="D691" s="117"/>
      <c r="E691" s="127"/>
      <c r="F691" s="127"/>
      <c r="G691" s="117"/>
      <c r="H691" s="127"/>
      <c r="I691" s="12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  <c r="AA691" s="117"/>
      <c r="AB691" s="117"/>
      <c r="AC691" s="117"/>
      <c r="AD691" s="117"/>
      <c r="AE691" s="117"/>
    </row>
    <row r="692">
      <c r="A692" s="117"/>
      <c r="B692" s="117"/>
      <c r="C692" s="117"/>
      <c r="D692" s="117"/>
      <c r="E692" s="127"/>
      <c r="F692" s="127"/>
      <c r="G692" s="117"/>
      <c r="H692" s="127"/>
      <c r="I692" s="12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  <c r="AA692" s="117"/>
      <c r="AB692" s="117"/>
      <c r="AC692" s="117"/>
      <c r="AD692" s="117"/>
      <c r="AE692" s="117"/>
    </row>
    <row r="693">
      <c r="A693" s="117"/>
      <c r="B693" s="117"/>
      <c r="C693" s="117"/>
      <c r="D693" s="117"/>
      <c r="E693" s="127"/>
      <c r="F693" s="127"/>
      <c r="G693" s="117"/>
      <c r="H693" s="127"/>
      <c r="I693" s="12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  <c r="AA693" s="117"/>
      <c r="AB693" s="117"/>
      <c r="AC693" s="117"/>
      <c r="AD693" s="117"/>
      <c r="AE693" s="117"/>
    </row>
    <row r="694">
      <c r="A694" s="117"/>
      <c r="B694" s="117"/>
      <c r="C694" s="117"/>
      <c r="D694" s="117"/>
      <c r="E694" s="127"/>
      <c r="F694" s="127"/>
      <c r="G694" s="117"/>
      <c r="H694" s="127"/>
      <c r="I694" s="12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  <c r="AA694" s="117"/>
      <c r="AB694" s="117"/>
      <c r="AC694" s="117"/>
      <c r="AD694" s="117"/>
      <c r="AE694" s="117"/>
    </row>
    <row r="695">
      <c r="A695" s="117"/>
      <c r="B695" s="117"/>
      <c r="C695" s="117"/>
      <c r="D695" s="117"/>
      <c r="E695" s="127"/>
      <c r="F695" s="127"/>
      <c r="G695" s="117"/>
      <c r="H695" s="127"/>
      <c r="I695" s="12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  <c r="AA695" s="117"/>
      <c r="AB695" s="117"/>
      <c r="AC695" s="117"/>
      <c r="AD695" s="117"/>
      <c r="AE695" s="117"/>
    </row>
    <row r="696">
      <c r="A696" s="117"/>
      <c r="B696" s="117"/>
      <c r="C696" s="117"/>
      <c r="D696" s="117"/>
      <c r="E696" s="127"/>
      <c r="F696" s="127"/>
      <c r="G696" s="117"/>
      <c r="H696" s="127"/>
      <c r="I696" s="12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  <c r="AA696" s="117"/>
      <c r="AB696" s="117"/>
      <c r="AC696" s="117"/>
      <c r="AD696" s="117"/>
      <c r="AE696" s="117"/>
    </row>
    <row r="697">
      <c r="A697" s="117"/>
      <c r="B697" s="117"/>
      <c r="C697" s="117"/>
      <c r="D697" s="117"/>
      <c r="E697" s="127"/>
      <c r="F697" s="127"/>
      <c r="G697" s="117"/>
      <c r="H697" s="127"/>
      <c r="I697" s="12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  <c r="AA697" s="117"/>
      <c r="AB697" s="117"/>
      <c r="AC697" s="117"/>
      <c r="AD697" s="117"/>
      <c r="AE697" s="117"/>
    </row>
    <row r="698">
      <c r="A698" s="117"/>
      <c r="B698" s="117"/>
      <c r="C698" s="117"/>
      <c r="D698" s="117"/>
      <c r="E698" s="127"/>
      <c r="F698" s="127"/>
      <c r="G698" s="117"/>
      <c r="H698" s="127"/>
      <c r="I698" s="12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  <c r="AA698" s="117"/>
      <c r="AB698" s="117"/>
      <c r="AC698" s="117"/>
      <c r="AD698" s="117"/>
      <c r="AE698" s="117"/>
    </row>
    <row r="699">
      <c r="A699" s="117"/>
      <c r="B699" s="117"/>
      <c r="C699" s="117"/>
      <c r="D699" s="117"/>
      <c r="E699" s="127"/>
      <c r="F699" s="127"/>
      <c r="G699" s="117"/>
      <c r="H699" s="127"/>
      <c r="I699" s="12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  <c r="AA699" s="117"/>
      <c r="AB699" s="117"/>
      <c r="AC699" s="117"/>
      <c r="AD699" s="117"/>
      <c r="AE699" s="117"/>
    </row>
    <row r="700">
      <c r="A700" s="117"/>
      <c r="B700" s="117"/>
      <c r="C700" s="117"/>
      <c r="D700" s="117"/>
      <c r="E700" s="127"/>
      <c r="F700" s="127"/>
      <c r="G700" s="117"/>
      <c r="H700" s="127"/>
      <c r="I700" s="12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  <c r="AA700" s="117"/>
      <c r="AB700" s="117"/>
      <c r="AC700" s="117"/>
      <c r="AD700" s="117"/>
      <c r="AE700" s="117"/>
    </row>
    <row r="701">
      <c r="A701" s="117"/>
      <c r="B701" s="117"/>
      <c r="C701" s="117"/>
      <c r="D701" s="117"/>
      <c r="E701" s="127"/>
      <c r="F701" s="127"/>
      <c r="G701" s="117"/>
      <c r="H701" s="127"/>
      <c r="I701" s="12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  <c r="AA701" s="117"/>
      <c r="AB701" s="117"/>
      <c r="AC701" s="117"/>
      <c r="AD701" s="117"/>
      <c r="AE701" s="117"/>
    </row>
    <row r="702">
      <c r="A702" s="117"/>
      <c r="B702" s="117"/>
      <c r="C702" s="117"/>
      <c r="D702" s="117"/>
      <c r="E702" s="127"/>
      <c r="F702" s="127"/>
      <c r="G702" s="117"/>
      <c r="H702" s="127"/>
      <c r="I702" s="12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  <c r="AA702" s="117"/>
      <c r="AB702" s="117"/>
      <c r="AC702" s="117"/>
      <c r="AD702" s="117"/>
      <c r="AE702" s="117"/>
    </row>
    <row r="703">
      <c r="A703" s="117"/>
      <c r="B703" s="117"/>
      <c r="C703" s="117"/>
      <c r="D703" s="117"/>
      <c r="E703" s="127"/>
      <c r="F703" s="127"/>
      <c r="G703" s="117"/>
      <c r="H703" s="127"/>
      <c r="I703" s="12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  <c r="AA703" s="117"/>
      <c r="AB703" s="117"/>
      <c r="AC703" s="117"/>
      <c r="AD703" s="117"/>
      <c r="AE703" s="117"/>
    </row>
    <row r="704">
      <c r="A704" s="117"/>
      <c r="B704" s="117"/>
      <c r="C704" s="117"/>
      <c r="D704" s="117"/>
      <c r="E704" s="127"/>
      <c r="F704" s="127"/>
      <c r="G704" s="117"/>
      <c r="H704" s="127"/>
      <c r="I704" s="12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  <c r="AA704" s="117"/>
      <c r="AB704" s="117"/>
      <c r="AC704" s="117"/>
      <c r="AD704" s="117"/>
      <c r="AE704" s="117"/>
    </row>
    <row r="705">
      <c r="A705" s="117"/>
      <c r="B705" s="117"/>
      <c r="C705" s="117"/>
      <c r="D705" s="117"/>
      <c r="E705" s="127"/>
      <c r="F705" s="127"/>
      <c r="G705" s="117"/>
      <c r="H705" s="127"/>
      <c r="I705" s="12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  <c r="AA705" s="117"/>
      <c r="AB705" s="117"/>
      <c r="AC705" s="117"/>
      <c r="AD705" s="117"/>
      <c r="AE705" s="117"/>
    </row>
    <row r="706">
      <c r="A706" s="117"/>
      <c r="B706" s="117"/>
      <c r="C706" s="117"/>
      <c r="D706" s="117"/>
      <c r="E706" s="127"/>
      <c r="F706" s="127"/>
      <c r="G706" s="117"/>
      <c r="H706" s="127"/>
      <c r="I706" s="12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117"/>
      <c r="AB706" s="117"/>
      <c r="AC706" s="117"/>
      <c r="AD706" s="117"/>
      <c r="AE706" s="117"/>
    </row>
    <row r="707">
      <c r="A707" s="117"/>
      <c r="B707" s="117"/>
      <c r="C707" s="117"/>
      <c r="D707" s="117"/>
      <c r="E707" s="127"/>
      <c r="F707" s="127"/>
      <c r="G707" s="117"/>
      <c r="H707" s="127"/>
      <c r="I707" s="12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  <c r="AA707" s="117"/>
      <c r="AB707" s="117"/>
      <c r="AC707" s="117"/>
      <c r="AD707" s="117"/>
      <c r="AE707" s="117"/>
    </row>
    <row r="708">
      <c r="A708" s="117"/>
      <c r="B708" s="117"/>
      <c r="C708" s="117"/>
      <c r="D708" s="117"/>
      <c r="E708" s="127"/>
      <c r="F708" s="127"/>
      <c r="G708" s="117"/>
      <c r="H708" s="127"/>
      <c r="I708" s="12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  <c r="AA708" s="117"/>
      <c r="AB708" s="117"/>
      <c r="AC708" s="117"/>
      <c r="AD708" s="117"/>
      <c r="AE708" s="117"/>
    </row>
    <row r="709">
      <c r="A709" s="117"/>
      <c r="B709" s="117"/>
      <c r="C709" s="117"/>
      <c r="D709" s="117"/>
      <c r="E709" s="127"/>
      <c r="F709" s="127"/>
      <c r="G709" s="117"/>
      <c r="H709" s="127"/>
      <c r="I709" s="12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  <c r="AA709" s="117"/>
      <c r="AB709" s="117"/>
      <c r="AC709" s="117"/>
      <c r="AD709" s="117"/>
      <c r="AE709" s="117"/>
    </row>
    <row r="710">
      <c r="A710" s="117"/>
      <c r="B710" s="117"/>
      <c r="C710" s="117"/>
      <c r="D710" s="117"/>
      <c r="E710" s="127"/>
      <c r="F710" s="127"/>
      <c r="G710" s="117"/>
      <c r="H710" s="127"/>
      <c r="I710" s="12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  <c r="AA710" s="117"/>
      <c r="AB710" s="117"/>
      <c r="AC710" s="117"/>
      <c r="AD710" s="117"/>
      <c r="AE710" s="117"/>
    </row>
    <row r="711">
      <c r="A711" s="117"/>
      <c r="B711" s="117"/>
      <c r="C711" s="117"/>
      <c r="D711" s="117"/>
      <c r="E711" s="127"/>
      <c r="F711" s="127"/>
      <c r="G711" s="117"/>
      <c r="H711" s="127"/>
      <c r="I711" s="12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  <c r="AA711" s="117"/>
      <c r="AB711" s="117"/>
      <c r="AC711" s="117"/>
      <c r="AD711" s="117"/>
      <c r="AE711" s="117"/>
    </row>
    <row r="712">
      <c r="A712" s="117"/>
      <c r="B712" s="117"/>
      <c r="C712" s="117"/>
      <c r="D712" s="117"/>
      <c r="E712" s="127"/>
      <c r="F712" s="127"/>
      <c r="G712" s="117"/>
      <c r="H712" s="127"/>
      <c r="I712" s="12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  <c r="AA712" s="117"/>
      <c r="AB712" s="117"/>
      <c r="AC712" s="117"/>
      <c r="AD712" s="117"/>
      <c r="AE712" s="117"/>
    </row>
    <row r="713">
      <c r="A713" s="117"/>
      <c r="B713" s="117"/>
      <c r="C713" s="117"/>
      <c r="D713" s="117"/>
      <c r="E713" s="127"/>
      <c r="F713" s="127"/>
      <c r="G713" s="117"/>
      <c r="H713" s="127"/>
      <c r="I713" s="12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  <c r="AA713" s="117"/>
      <c r="AB713" s="117"/>
      <c r="AC713" s="117"/>
      <c r="AD713" s="117"/>
      <c r="AE713" s="117"/>
    </row>
    <row r="714">
      <c r="A714" s="117"/>
      <c r="B714" s="117"/>
      <c r="C714" s="117"/>
      <c r="D714" s="117"/>
      <c r="E714" s="127"/>
      <c r="F714" s="127"/>
      <c r="G714" s="117"/>
      <c r="H714" s="127"/>
      <c r="I714" s="12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  <c r="AA714" s="117"/>
      <c r="AB714" s="117"/>
      <c r="AC714" s="117"/>
      <c r="AD714" s="117"/>
      <c r="AE714" s="117"/>
    </row>
    <row r="715">
      <c r="A715" s="117"/>
      <c r="B715" s="117"/>
      <c r="C715" s="117"/>
      <c r="D715" s="117"/>
      <c r="E715" s="127"/>
      <c r="F715" s="127"/>
      <c r="G715" s="117"/>
      <c r="H715" s="127"/>
      <c r="I715" s="12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  <c r="AA715" s="117"/>
      <c r="AB715" s="117"/>
      <c r="AC715" s="117"/>
      <c r="AD715" s="117"/>
      <c r="AE715" s="117"/>
    </row>
    <row r="716">
      <c r="A716" s="117"/>
      <c r="B716" s="117"/>
      <c r="C716" s="117"/>
      <c r="D716" s="117"/>
      <c r="E716" s="127"/>
      <c r="F716" s="127"/>
      <c r="G716" s="117"/>
      <c r="H716" s="127"/>
      <c r="I716" s="12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  <c r="AA716" s="117"/>
      <c r="AB716" s="117"/>
      <c r="AC716" s="117"/>
      <c r="AD716" s="117"/>
      <c r="AE716" s="117"/>
    </row>
    <row r="717">
      <c r="A717" s="117"/>
      <c r="B717" s="117"/>
      <c r="C717" s="117"/>
      <c r="D717" s="117"/>
      <c r="E717" s="127"/>
      <c r="F717" s="127"/>
      <c r="G717" s="117"/>
      <c r="H717" s="127"/>
      <c r="I717" s="12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  <c r="AA717" s="117"/>
      <c r="AB717" s="117"/>
      <c r="AC717" s="117"/>
      <c r="AD717" s="117"/>
      <c r="AE717" s="117"/>
    </row>
    <row r="718">
      <c r="A718" s="117"/>
      <c r="B718" s="117"/>
      <c r="C718" s="117"/>
      <c r="D718" s="117"/>
      <c r="E718" s="127"/>
      <c r="F718" s="127"/>
      <c r="G718" s="117"/>
      <c r="H718" s="127"/>
      <c r="I718" s="12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  <c r="AA718" s="117"/>
      <c r="AB718" s="117"/>
      <c r="AC718" s="117"/>
      <c r="AD718" s="117"/>
      <c r="AE718" s="117"/>
    </row>
    <row r="719">
      <c r="A719" s="117"/>
      <c r="B719" s="117"/>
      <c r="C719" s="117"/>
      <c r="D719" s="117"/>
      <c r="E719" s="127"/>
      <c r="F719" s="127"/>
      <c r="G719" s="117"/>
      <c r="H719" s="127"/>
      <c r="I719" s="12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  <c r="AA719" s="117"/>
      <c r="AB719" s="117"/>
      <c r="AC719" s="117"/>
      <c r="AD719" s="117"/>
      <c r="AE719" s="117"/>
    </row>
    <row r="720">
      <c r="A720" s="117"/>
      <c r="B720" s="117"/>
      <c r="C720" s="117"/>
      <c r="D720" s="117"/>
      <c r="E720" s="127"/>
      <c r="F720" s="127"/>
      <c r="G720" s="117"/>
      <c r="H720" s="127"/>
      <c r="I720" s="12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  <c r="AA720" s="117"/>
      <c r="AB720" s="117"/>
      <c r="AC720" s="117"/>
      <c r="AD720" s="117"/>
      <c r="AE720" s="117"/>
    </row>
    <row r="721">
      <c r="A721" s="117"/>
      <c r="B721" s="117"/>
      <c r="C721" s="117"/>
      <c r="D721" s="117"/>
      <c r="E721" s="127"/>
      <c r="F721" s="127"/>
      <c r="G721" s="117"/>
      <c r="H721" s="127"/>
      <c r="I721" s="12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  <c r="AA721" s="117"/>
      <c r="AB721" s="117"/>
      <c r="AC721" s="117"/>
      <c r="AD721" s="117"/>
      <c r="AE721" s="117"/>
    </row>
    <row r="722">
      <c r="A722" s="117"/>
      <c r="B722" s="117"/>
      <c r="C722" s="117"/>
      <c r="D722" s="117"/>
      <c r="E722" s="127"/>
      <c r="F722" s="127"/>
      <c r="G722" s="117"/>
      <c r="H722" s="127"/>
      <c r="I722" s="12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  <c r="AA722" s="117"/>
      <c r="AB722" s="117"/>
      <c r="AC722" s="117"/>
      <c r="AD722" s="117"/>
      <c r="AE722" s="117"/>
    </row>
    <row r="723">
      <c r="A723" s="117"/>
      <c r="B723" s="117"/>
      <c r="C723" s="117"/>
      <c r="D723" s="117"/>
      <c r="E723" s="127"/>
      <c r="F723" s="127"/>
      <c r="G723" s="117"/>
      <c r="H723" s="127"/>
      <c r="I723" s="12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  <c r="AA723" s="117"/>
      <c r="AB723" s="117"/>
      <c r="AC723" s="117"/>
      <c r="AD723" s="117"/>
      <c r="AE723" s="117"/>
    </row>
    <row r="724">
      <c r="A724" s="117"/>
      <c r="B724" s="117"/>
      <c r="C724" s="117"/>
      <c r="D724" s="117"/>
      <c r="E724" s="127"/>
      <c r="F724" s="127"/>
      <c r="G724" s="117"/>
      <c r="H724" s="127"/>
      <c r="I724" s="12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  <c r="AA724" s="117"/>
      <c r="AB724" s="117"/>
      <c r="AC724" s="117"/>
      <c r="AD724" s="117"/>
      <c r="AE724" s="117"/>
    </row>
    <row r="725">
      <c r="A725" s="117"/>
      <c r="B725" s="117"/>
      <c r="C725" s="117"/>
      <c r="D725" s="117"/>
      <c r="E725" s="127"/>
      <c r="F725" s="127"/>
      <c r="G725" s="117"/>
      <c r="H725" s="127"/>
      <c r="I725" s="12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  <c r="AA725" s="117"/>
      <c r="AB725" s="117"/>
      <c r="AC725" s="117"/>
      <c r="AD725" s="117"/>
      <c r="AE725" s="117"/>
    </row>
    <row r="726">
      <c r="A726" s="117"/>
      <c r="B726" s="117"/>
      <c r="C726" s="117"/>
      <c r="D726" s="117"/>
      <c r="E726" s="127"/>
      <c r="F726" s="127"/>
      <c r="G726" s="117"/>
      <c r="H726" s="127"/>
      <c r="I726" s="12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  <c r="AA726" s="117"/>
      <c r="AB726" s="117"/>
      <c r="AC726" s="117"/>
      <c r="AD726" s="117"/>
      <c r="AE726" s="117"/>
    </row>
    <row r="727">
      <c r="A727" s="117"/>
      <c r="B727" s="117"/>
      <c r="C727" s="117"/>
      <c r="D727" s="117"/>
      <c r="E727" s="127"/>
      <c r="F727" s="127"/>
      <c r="G727" s="117"/>
      <c r="H727" s="127"/>
      <c r="I727" s="12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  <c r="AA727" s="117"/>
      <c r="AB727" s="117"/>
      <c r="AC727" s="117"/>
      <c r="AD727" s="117"/>
      <c r="AE727" s="117"/>
    </row>
    <row r="728">
      <c r="A728" s="117"/>
      <c r="B728" s="117"/>
      <c r="C728" s="117"/>
      <c r="D728" s="117"/>
      <c r="E728" s="127"/>
      <c r="F728" s="127"/>
      <c r="G728" s="117"/>
      <c r="H728" s="127"/>
      <c r="I728" s="12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  <c r="AA728" s="117"/>
      <c r="AB728" s="117"/>
      <c r="AC728" s="117"/>
      <c r="AD728" s="117"/>
      <c r="AE728" s="117"/>
    </row>
    <row r="729">
      <c r="A729" s="117"/>
      <c r="B729" s="117"/>
      <c r="C729" s="117"/>
      <c r="D729" s="117"/>
      <c r="E729" s="127"/>
      <c r="F729" s="127"/>
      <c r="G729" s="117"/>
      <c r="H729" s="127"/>
      <c r="I729" s="12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  <c r="AA729" s="117"/>
      <c r="AB729" s="117"/>
      <c r="AC729" s="117"/>
      <c r="AD729" s="117"/>
      <c r="AE729" s="117"/>
    </row>
    <row r="730">
      <c r="A730" s="117"/>
      <c r="B730" s="117"/>
      <c r="C730" s="117"/>
      <c r="D730" s="117"/>
      <c r="E730" s="127"/>
      <c r="F730" s="127"/>
      <c r="G730" s="117"/>
      <c r="H730" s="127"/>
      <c r="I730" s="12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  <c r="AA730" s="117"/>
      <c r="AB730" s="117"/>
      <c r="AC730" s="117"/>
      <c r="AD730" s="117"/>
      <c r="AE730" s="117"/>
    </row>
    <row r="731">
      <c r="A731" s="117"/>
      <c r="B731" s="117"/>
      <c r="C731" s="117"/>
      <c r="D731" s="117"/>
      <c r="E731" s="127"/>
      <c r="F731" s="127"/>
      <c r="G731" s="117"/>
      <c r="H731" s="127"/>
      <c r="I731" s="12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  <c r="AA731" s="117"/>
      <c r="AB731" s="117"/>
      <c r="AC731" s="117"/>
      <c r="AD731" s="117"/>
      <c r="AE731" s="117"/>
    </row>
    <row r="732">
      <c r="A732" s="117"/>
      <c r="B732" s="117"/>
      <c r="C732" s="117"/>
      <c r="D732" s="117"/>
      <c r="E732" s="127"/>
      <c r="F732" s="127"/>
      <c r="G732" s="117"/>
      <c r="H732" s="127"/>
      <c r="I732" s="12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  <c r="AA732" s="117"/>
      <c r="AB732" s="117"/>
      <c r="AC732" s="117"/>
      <c r="AD732" s="117"/>
      <c r="AE732" s="117"/>
    </row>
    <row r="733">
      <c r="A733" s="117"/>
      <c r="B733" s="117"/>
      <c r="C733" s="117"/>
      <c r="D733" s="117"/>
      <c r="E733" s="127"/>
      <c r="F733" s="127"/>
      <c r="G733" s="117"/>
      <c r="H733" s="127"/>
      <c r="I733" s="12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  <c r="AA733" s="117"/>
      <c r="AB733" s="117"/>
      <c r="AC733" s="117"/>
      <c r="AD733" s="117"/>
      <c r="AE733" s="117"/>
    </row>
    <row r="734">
      <c r="A734" s="117"/>
      <c r="B734" s="117"/>
      <c r="C734" s="117"/>
      <c r="D734" s="117"/>
      <c r="E734" s="127"/>
      <c r="F734" s="127"/>
      <c r="G734" s="117"/>
      <c r="H734" s="127"/>
      <c r="I734" s="12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  <c r="AA734" s="117"/>
      <c r="AB734" s="117"/>
      <c r="AC734" s="117"/>
      <c r="AD734" s="117"/>
      <c r="AE734" s="117"/>
    </row>
    <row r="735">
      <c r="A735" s="117"/>
      <c r="B735" s="117"/>
      <c r="C735" s="117"/>
      <c r="D735" s="117"/>
      <c r="E735" s="127"/>
      <c r="F735" s="127"/>
      <c r="G735" s="117"/>
      <c r="H735" s="127"/>
      <c r="I735" s="12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  <c r="AA735" s="117"/>
      <c r="AB735" s="117"/>
      <c r="AC735" s="117"/>
      <c r="AD735" s="117"/>
      <c r="AE735" s="117"/>
    </row>
    <row r="736">
      <c r="A736" s="117"/>
      <c r="B736" s="117"/>
      <c r="C736" s="117"/>
      <c r="D736" s="117"/>
      <c r="E736" s="127"/>
      <c r="F736" s="127"/>
      <c r="G736" s="117"/>
      <c r="H736" s="127"/>
      <c r="I736" s="12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  <c r="AA736" s="117"/>
      <c r="AB736" s="117"/>
      <c r="AC736" s="117"/>
      <c r="AD736" s="117"/>
      <c r="AE736" s="117"/>
    </row>
    <row r="737">
      <c r="A737" s="117"/>
      <c r="B737" s="117"/>
      <c r="C737" s="117"/>
      <c r="D737" s="117"/>
      <c r="E737" s="127"/>
      <c r="F737" s="127"/>
      <c r="G737" s="117"/>
      <c r="H737" s="127"/>
      <c r="I737" s="12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  <c r="AA737" s="117"/>
      <c r="AB737" s="117"/>
      <c r="AC737" s="117"/>
      <c r="AD737" s="117"/>
      <c r="AE737" s="117"/>
    </row>
    <row r="738">
      <c r="A738" s="117"/>
      <c r="B738" s="117"/>
      <c r="C738" s="117"/>
      <c r="D738" s="117"/>
      <c r="E738" s="127"/>
      <c r="F738" s="127"/>
      <c r="G738" s="117"/>
      <c r="H738" s="127"/>
      <c r="I738" s="12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  <c r="AA738" s="117"/>
      <c r="AB738" s="117"/>
      <c r="AC738" s="117"/>
      <c r="AD738" s="117"/>
      <c r="AE738" s="117"/>
    </row>
    <row r="739">
      <c r="A739" s="117"/>
      <c r="B739" s="117"/>
      <c r="C739" s="117"/>
      <c r="D739" s="117"/>
      <c r="E739" s="127"/>
      <c r="F739" s="127"/>
      <c r="G739" s="117"/>
      <c r="H739" s="127"/>
      <c r="I739" s="12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  <c r="AA739" s="117"/>
      <c r="AB739" s="117"/>
      <c r="AC739" s="117"/>
      <c r="AD739" s="117"/>
      <c r="AE739" s="117"/>
    </row>
    <row r="740">
      <c r="A740" s="117"/>
      <c r="B740" s="117"/>
      <c r="C740" s="117"/>
      <c r="D740" s="117"/>
      <c r="E740" s="127"/>
      <c r="F740" s="127"/>
      <c r="G740" s="117"/>
      <c r="H740" s="127"/>
      <c r="I740" s="12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  <c r="AA740" s="117"/>
      <c r="AB740" s="117"/>
      <c r="AC740" s="117"/>
      <c r="AD740" s="117"/>
      <c r="AE740" s="117"/>
    </row>
    <row r="741">
      <c r="A741" s="117"/>
      <c r="B741" s="117"/>
      <c r="C741" s="117"/>
      <c r="D741" s="117"/>
      <c r="E741" s="127"/>
      <c r="F741" s="127"/>
      <c r="G741" s="117"/>
      <c r="H741" s="127"/>
      <c r="I741" s="12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  <c r="AA741" s="117"/>
      <c r="AB741" s="117"/>
      <c r="AC741" s="117"/>
      <c r="AD741" s="117"/>
      <c r="AE741" s="117"/>
    </row>
    <row r="742">
      <c r="A742" s="117"/>
      <c r="B742" s="117"/>
      <c r="C742" s="117"/>
      <c r="D742" s="117"/>
      <c r="E742" s="127"/>
      <c r="F742" s="127"/>
      <c r="G742" s="117"/>
      <c r="H742" s="127"/>
      <c r="I742" s="12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  <c r="AA742" s="117"/>
      <c r="AB742" s="117"/>
      <c r="AC742" s="117"/>
      <c r="AD742" s="117"/>
      <c r="AE742" s="117"/>
    </row>
    <row r="743">
      <c r="A743" s="117"/>
      <c r="B743" s="117"/>
      <c r="C743" s="117"/>
      <c r="D743" s="117"/>
      <c r="E743" s="127"/>
      <c r="F743" s="127"/>
      <c r="G743" s="117"/>
      <c r="H743" s="127"/>
      <c r="I743" s="12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  <c r="AA743" s="117"/>
      <c r="AB743" s="117"/>
      <c r="AC743" s="117"/>
      <c r="AD743" s="117"/>
      <c r="AE743" s="117"/>
    </row>
    <row r="744">
      <c r="A744" s="117"/>
      <c r="B744" s="117"/>
      <c r="C744" s="117"/>
      <c r="D744" s="117"/>
      <c r="E744" s="127"/>
      <c r="F744" s="127"/>
      <c r="G744" s="117"/>
      <c r="H744" s="127"/>
      <c r="I744" s="12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117"/>
      <c r="AB744" s="117"/>
      <c r="AC744" s="117"/>
      <c r="AD744" s="117"/>
      <c r="AE744" s="117"/>
    </row>
    <row r="745">
      <c r="A745" s="117"/>
      <c r="B745" s="117"/>
      <c r="C745" s="117"/>
      <c r="D745" s="117"/>
      <c r="E745" s="127"/>
      <c r="F745" s="127"/>
      <c r="G745" s="117"/>
      <c r="H745" s="127"/>
      <c r="I745" s="12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  <c r="AA745" s="117"/>
      <c r="AB745" s="117"/>
      <c r="AC745" s="117"/>
      <c r="AD745" s="117"/>
      <c r="AE745" s="117"/>
    </row>
    <row r="746">
      <c r="A746" s="117"/>
      <c r="B746" s="117"/>
      <c r="C746" s="117"/>
      <c r="D746" s="117"/>
      <c r="E746" s="127"/>
      <c r="F746" s="127"/>
      <c r="G746" s="117"/>
      <c r="H746" s="127"/>
      <c r="I746" s="12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  <c r="AA746" s="117"/>
      <c r="AB746" s="117"/>
      <c r="AC746" s="117"/>
      <c r="AD746" s="117"/>
      <c r="AE746" s="117"/>
    </row>
    <row r="747">
      <c r="A747" s="117"/>
      <c r="B747" s="117"/>
      <c r="C747" s="117"/>
      <c r="D747" s="117"/>
      <c r="E747" s="127"/>
      <c r="F747" s="127"/>
      <c r="G747" s="117"/>
      <c r="H747" s="127"/>
      <c r="I747" s="12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  <c r="AA747" s="117"/>
      <c r="AB747" s="117"/>
      <c r="AC747" s="117"/>
      <c r="AD747" s="117"/>
      <c r="AE747" s="117"/>
    </row>
    <row r="748">
      <c r="A748" s="117"/>
      <c r="B748" s="117"/>
      <c r="C748" s="117"/>
      <c r="D748" s="117"/>
      <c r="E748" s="127"/>
      <c r="F748" s="127"/>
      <c r="G748" s="117"/>
      <c r="H748" s="127"/>
      <c r="I748" s="12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  <c r="AA748" s="117"/>
      <c r="AB748" s="117"/>
      <c r="AC748" s="117"/>
      <c r="AD748" s="117"/>
      <c r="AE748" s="117"/>
    </row>
    <row r="749">
      <c r="A749" s="117"/>
      <c r="B749" s="117"/>
      <c r="C749" s="117"/>
      <c r="D749" s="117"/>
      <c r="E749" s="127"/>
      <c r="F749" s="127"/>
      <c r="G749" s="117"/>
      <c r="H749" s="127"/>
      <c r="I749" s="12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  <c r="AA749" s="117"/>
      <c r="AB749" s="117"/>
      <c r="AC749" s="117"/>
      <c r="AD749" s="117"/>
      <c r="AE749" s="117"/>
    </row>
    <row r="750">
      <c r="A750" s="117"/>
      <c r="B750" s="117"/>
      <c r="C750" s="117"/>
      <c r="D750" s="117"/>
      <c r="E750" s="127"/>
      <c r="F750" s="127"/>
      <c r="G750" s="117"/>
      <c r="H750" s="127"/>
      <c r="I750" s="12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  <c r="AA750" s="117"/>
      <c r="AB750" s="117"/>
      <c r="AC750" s="117"/>
      <c r="AD750" s="117"/>
      <c r="AE750" s="117"/>
    </row>
    <row r="751">
      <c r="A751" s="117"/>
      <c r="B751" s="117"/>
      <c r="C751" s="117"/>
      <c r="D751" s="117"/>
      <c r="E751" s="127"/>
      <c r="F751" s="127"/>
      <c r="G751" s="117"/>
      <c r="H751" s="127"/>
      <c r="I751" s="12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  <c r="AA751" s="117"/>
      <c r="AB751" s="117"/>
      <c r="AC751" s="117"/>
      <c r="AD751" s="117"/>
      <c r="AE751" s="117"/>
    </row>
    <row r="752">
      <c r="A752" s="117"/>
      <c r="B752" s="117"/>
      <c r="C752" s="117"/>
      <c r="D752" s="117"/>
      <c r="E752" s="127"/>
      <c r="F752" s="127"/>
      <c r="G752" s="117"/>
      <c r="H752" s="127"/>
      <c r="I752" s="12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  <c r="AA752" s="117"/>
      <c r="AB752" s="117"/>
      <c r="AC752" s="117"/>
      <c r="AD752" s="117"/>
      <c r="AE752" s="117"/>
    </row>
    <row r="753">
      <c r="A753" s="117"/>
      <c r="B753" s="117"/>
      <c r="C753" s="117"/>
      <c r="D753" s="117"/>
      <c r="E753" s="127"/>
      <c r="F753" s="127"/>
      <c r="G753" s="117"/>
      <c r="H753" s="127"/>
      <c r="I753" s="12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  <c r="AA753" s="117"/>
      <c r="AB753" s="117"/>
      <c r="AC753" s="117"/>
      <c r="AD753" s="117"/>
      <c r="AE753" s="117"/>
    </row>
    <row r="754">
      <c r="A754" s="117"/>
      <c r="B754" s="117"/>
      <c r="C754" s="117"/>
      <c r="D754" s="117"/>
      <c r="E754" s="127"/>
      <c r="F754" s="127"/>
      <c r="G754" s="117"/>
      <c r="H754" s="127"/>
      <c r="I754" s="12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  <c r="AA754" s="117"/>
      <c r="AB754" s="117"/>
      <c r="AC754" s="117"/>
      <c r="AD754" s="117"/>
      <c r="AE754" s="117"/>
    </row>
    <row r="755">
      <c r="A755" s="117"/>
      <c r="B755" s="117"/>
      <c r="C755" s="117"/>
      <c r="D755" s="117"/>
      <c r="E755" s="127"/>
      <c r="F755" s="127"/>
      <c r="G755" s="117"/>
      <c r="H755" s="127"/>
      <c r="I755" s="12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  <c r="AA755" s="117"/>
      <c r="AB755" s="117"/>
      <c r="AC755" s="117"/>
      <c r="AD755" s="117"/>
      <c r="AE755" s="117"/>
    </row>
    <row r="756">
      <c r="A756" s="117"/>
      <c r="B756" s="117"/>
      <c r="C756" s="117"/>
      <c r="D756" s="117"/>
      <c r="E756" s="127"/>
      <c r="F756" s="127"/>
      <c r="G756" s="117"/>
      <c r="H756" s="127"/>
      <c r="I756" s="12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  <c r="AA756" s="117"/>
      <c r="AB756" s="117"/>
      <c r="AC756" s="117"/>
      <c r="AD756" s="117"/>
      <c r="AE756" s="117"/>
    </row>
    <row r="757">
      <c r="A757" s="117"/>
      <c r="B757" s="117"/>
      <c r="C757" s="117"/>
      <c r="D757" s="117"/>
      <c r="E757" s="127"/>
      <c r="F757" s="127"/>
      <c r="G757" s="117"/>
      <c r="H757" s="127"/>
      <c r="I757" s="12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  <c r="AA757" s="117"/>
      <c r="AB757" s="117"/>
      <c r="AC757" s="117"/>
      <c r="AD757" s="117"/>
      <c r="AE757" s="117"/>
    </row>
    <row r="758">
      <c r="A758" s="117"/>
      <c r="B758" s="117"/>
      <c r="C758" s="117"/>
      <c r="D758" s="117"/>
      <c r="E758" s="127"/>
      <c r="F758" s="127"/>
      <c r="G758" s="117"/>
      <c r="H758" s="127"/>
      <c r="I758" s="12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  <c r="AA758" s="117"/>
      <c r="AB758" s="117"/>
      <c r="AC758" s="117"/>
      <c r="AD758" s="117"/>
      <c r="AE758" s="117"/>
    </row>
    <row r="759">
      <c r="A759" s="117"/>
      <c r="B759" s="117"/>
      <c r="C759" s="117"/>
      <c r="D759" s="117"/>
      <c r="E759" s="127"/>
      <c r="F759" s="127"/>
      <c r="G759" s="117"/>
      <c r="H759" s="127"/>
      <c r="I759" s="12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  <c r="AA759" s="117"/>
      <c r="AB759" s="117"/>
      <c r="AC759" s="117"/>
      <c r="AD759" s="117"/>
      <c r="AE759" s="117"/>
    </row>
    <row r="760">
      <c r="A760" s="117"/>
      <c r="B760" s="117"/>
      <c r="C760" s="117"/>
      <c r="D760" s="117"/>
      <c r="E760" s="127"/>
      <c r="F760" s="127"/>
      <c r="G760" s="117"/>
      <c r="H760" s="127"/>
      <c r="I760" s="12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  <c r="AA760" s="117"/>
      <c r="AB760" s="117"/>
      <c r="AC760" s="117"/>
      <c r="AD760" s="117"/>
      <c r="AE760" s="117"/>
    </row>
    <row r="761">
      <c r="A761" s="117"/>
      <c r="B761" s="117"/>
      <c r="C761" s="117"/>
      <c r="D761" s="117"/>
      <c r="E761" s="127"/>
      <c r="F761" s="127"/>
      <c r="G761" s="117"/>
      <c r="H761" s="127"/>
      <c r="I761" s="12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  <c r="AA761" s="117"/>
      <c r="AB761" s="117"/>
      <c r="AC761" s="117"/>
      <c r="AD761" s="117"/>
      <c r="AE761" s="117"/>
    </row>
    <row r="762">
      <c r="A762" s="117"/>
      <c r="B762" s="117"/>
      <c r="C762" s="117"/>
      <c r="D762" s="117"/>
      <c r="E762" s="127"/>
      <c r="F762" s="127"/>
      <c r="G762" s="117"/>
      <c r="H762" s="127"/>
      <c r="I762" s="12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  <c r="AA762" s="117"/>
      <c r="AB762" s="117"/>
      <c r="AC762" s="117"/>
      <c r="AD762" s="117"/>
      <c r="AE762" s="117"/>
    </row>
    <row r="763">
      <c r="A763" s="117"/>
      <c r="B763" s="117"/>
      <c r="C763" s="117"/>
      <c r="D763" s="117"/>
      <c r="E763" s="127"/>
      <c r="F763" s="127"/>
      <c r="G763" s="117"/>
      <c r="H763" s="127"/>
      <c r="I763" s="12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  <c r="AA763" s="117"/>
      <c r="AB763" s="117"/>
      <c r="AC763" s="117"/>
      <c r="AD763" s="117"/>
      <c r="AE763" s="117"/>
    </row>
    <row r="764">
      <c r="A764" s="117"/>
      <c r="B764" s="117"/>
      <c r="C764" s="117"/>
      <c r="D764" s="117"/>
      <c r="E764" s="127"/>
      <c r="F764" s="127"/>
      <c r="G764" s="117"/>
      <c r="H764" s="127"/>
      <c r="I764" s="12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  <c r="AA764" s="117"/>
      <c r="AB764" s="117"/>
      <c r="AC764" s="117"/>
      <c r="AD764" s="117"/>
      <c r="AE764" s="117"/>
    </row>
    <row r="765">
      <c r="A765" s="117"/>
      <c r="B765" s="117"/>
      <c r="C765" s="117"/>
      <c r="D765" s="117"/>
      <c r="E765" s="127"/>
      <c r="F765" s="127"/>
      <c r="G765" s="117"/>
      <c r="H765" s="127"/>
      <c r="I765" s="12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  <c r="AA765" s="117"/>
      <c r="AB765" s="117"/>
      <c r="AC765" s="117"/>
      <c r="AD765" s="117"/>
      <c r="AE765" s="117"/>
    </row>
    <row r="766">
      <c r="A766" s="117"/>
      <c r="B766" s="117"/>
      <c r="C766" s="117"/>
      <c r="D766" s="117"/>
      <c r="E766" s="127"/>
      <c r="F766" s="127"/>
      <c r="G766" s="117"/>
      <c r="H766" s="127"/>
      <c r="I766" s="12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  <c r="AA766" s="117"/>
      <c r="AB766" s="117"/>
      <c r="AC766" s="117"/>
      <c r="AD766" s="117"/>
      <c r="AE766" s="117"/>
    </row>
    <row r="767">
      <c r="A767" s="117"/>
      <c r="B767" s="117"/>
      <c r="C767" s="117"/>
      <c r="D767" s="117"/>
      <c r="E767" s="127"/>
      <c r="F767" s="127"/>
      <c r="G767" s="117"/>
      <c r="H767" s="127"/>
      <c r="I767" s="12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  <c r="AA767" s="117"/>
      <c r="AB767" s="117"/>
      <c r="AC767" s="117"/>
      <c r="AD767" s="117"/>
      <c r="AE767" s="117"/>
    </row>
    <row r="768">
      <c r="A768" s="117"/>
      <c r="B768" s="117"/>
      <c r="C768" s="117"/>
      <c r="D768" s="117"/>
      <c r="E768" s="127"/>
      <c r="F768" s="127"/>
      <c r="G768" s="117"/>
      <c r="H768" s="127"/>
      <c r="I768" s="12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  <c r="AA768" s="117"/>
      <c r="AB768" s="117"/>
      <c r="AC768" s="117"/>
      <c r="AD768" s="117"/>
      <c r="AE768" s="117"/>
    </row>
    <row r="769">
      <c r="A769" s="117"/>
      <c r="B769" s="117"/>
      <c r="C769" s="117"/>
      <c r="D769" s="117"/>
      <c r="E769" s="127"/>
      <c r="F769" s="127"/>
      <c r="G769" s="117"/>
      <c r="H769" s="127"/>
      <c r="I769" s="12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  <c r="AA769" s="117"/>
      <c r="AB769" s="117"/>
      <c r="AC769" s="117"/>
      <c r="AD769" s="117"/>
      <c r="AE769" s="117"/>
    </row>
    <row r="770">
      <c r="A770" s="117"/>
      <c r="B770" s="117"/>
      <c r="C770" s="117"/>
      <c r="D770" s="117"/>
      <c r="E770" s="127"/>
      <c r="F770" s="127"/>
      <c r="G770" s="117"/>
      <c r="H770" s="127"/>
      <c r="I770" s="12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  <c r="AA770" s="117"/>
      <c r="AB770" s="117"/>
      <c r="AC770" s="117"/>
      <c r="AD770" s="117"/>
      <c r="AE770" s="117"/>
    </row>
    <row r="771">
      <c r="A771" s="117"/>
      <c r="B771" s="117"/>
      <c r="C771" s="117"/>
      <c r="D771" s="117"/>
      <c r="E771" s="127"/>
      <c r="F771" s="127"/>
      <c r="G771" s="117"/>
      <c r="H771" s="127"/>
      <c r="I771" s="12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  <c r="AA771" s="117"/>
      <c r="AB771" s="117"/>
      <c r="AC771" s="117"/>
      <c r="AD771" s="117"/>
      <c r="AE771" s="117"/>
    </row>
    <row r="772">
      <c r="A772" s="117"/>
      <c r="B772" s="117"/>
      <c r="C772" s="117"/>
      <c r="D772" s="117"/>
      <c r="E772" s="127"/>
      <c r="F772" s="127"/>
      <c r="G772" s="117"/>
      <c r="H772" s="127"/>
      <c r="I772" s="12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  <c r="AA772" s="117"/>
      <c r="AB772" s="117"/>
      <c r="AC772" s="117"/>
      <c r="AD772" s="117"/>
      <c r="AE772" s="117"/>
    </row>
    <row r="773">
      <c r="A773" s="117"/>
      <c r="B773" s="117"/>
      <c r="C773" s="117"/>
      <c r="D773" s="117"/>
      <c r="E773" s="127"/>
      <c r="F773" s="127"/>
      <c r="G773" s="117"/>
      <c r="H773" s="127"/>
      <c r="I773" s="12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  <c r="AA773" s="117"/>
      <c r="AB773" s="117"/>
      <c r="AC773" s="117"/>
      <c r="AD773" s="117"/>
      <c r="AE773" s="117"/>
    </row>
    <row r="774">
      <c r="A774" s="117"/>
      <c r="B774" s="117"/>
      <c r="C774" s="117"/>
      <c r="D774" s="117"/>
      <c r="E774" s="127"/>
      <c r="F774" s="127"/>
      <c r="G774" s="117"/>
      <c r="H774" s="127"/>
      <c r="I774" s="12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  <c r="AA774" s="117"/>
      <c r="AB774" s="117"/>
      <c r="AC774" s="117"/>
      <c r="AD774" s="117"/>
      <c r="AE774" s="117"/>
    </row>
    <row r="775">
      <c r="A775" s="117"/>
      <c r="B775" s="117"/>
      <c r="C775" s="117"/>
      <c r="D775" s="117"/>
      <c r="E775" s="127"/>
      <c r="F775" s="127"/>
      <c r="G775" s="117"/>
      <c r="H775" s="127"/>
      <c r="I775" s="12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  <c r="AA775" s="117"/>
      <c r="AB775" s="117"/>
      <c r="AC775" s="117"/>
      <c r="AD775" s="117"/>
      <c r="AE775" s="117"/>
    </row>
    <row r="776">
      <c r="A776" s="117"/>
      <c r="B776" s="117"/>
      <c r="C776" s="117"/>
      <c r="D776" s="117"/>
      <c r="E776" s="127"/>
      <c r="F776" s="127"/>
      <c r="G776" s="117"/>
      <c r="H776" s="127"/>
      <c r="I776" s="12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  <c r="AA776" s="117"/>
      <c r="AB776" s="117"/>
      <c r="AC776" s="117"/>
      <c r="AD776" s="117"/>
      <c r="AE776" s="117"/>
    </row>
    <row r="777">
      <c r="A777" s="117"/>
      <c r="B777" s="117"/>
      <c r="C777" s="117"/>
      <c r="D777" s="117"/>
      <c r="E777" s="127"/>
      <c r="F777" s="127"/>
      <c r="G777" s="117"/>
      <c r="H777" s="127"/>
      <c r="I777" s="12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  <c r="AA777" s="117"/>
      <c r="AB777" s="117"/>
      <c r="AC777" s="117"/>
      <c r="AD777" s="117"/>
      <c r="AE777" s="117"/>
    </row>
    <row r="778">
      <c r="A778" s="117"/>
      <c r="B778" s="117"/>
      <c r="C778" s="117"/>
      <c r="D778" s="117"/>
      <c r="E778" s="127"/>
      <c r="F778" s="127"/>
      <c r="G778" s="117"/>
      <c r="H778" s="127"/>
      <c r="I778" s="12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  <c r="AA778" s="117"/>
      <c r="AB778" s="117"/>
      <c r="AC778" s="117"/>
      <c r="AD778" s="117"/>
      <c r="AE778" s="117"/>
    </row>
    <row r="779">
      <c r="A779" s="117"/>
      <c r="B779" s="117"/>
      <c r="C779" s="117"/>
      <c r="D779" s="117"/>
      <c r="E779" s="127"/>
      <c r="F779" s="127"/>
      <c r="G779" s="117"/>
      <c r="H779" s="127"/>
      <c r="I779" s="12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  <c r="AA779" s="117"/>
      <c r="AB779" s="117"/>
      <c r="AC779" s="117"/>
      <c r="AD779" s="117"/>
      <c r="AE779" s="117"/>
    </row>
    <row r="780">
      <c r="A780" s="117"/>
      <c r="B780" s="117"/>
      <c r="C780" s="117"/>
      <c r="D780" s="117"/>
      <c r="E780" s="127"/>
      <c r="F780" s="127"/>
      <c r="G780" s="117"/>
      <c r="H780" s="127"/>
      <c r="I780" s="12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  <c r="AA780" s="117"/>
      <c r="AB780" s="117"/>
      <c r="AC780" s="117"/>
      <c r="AD780" s="117"/>
      <c r="AE780" s="117"/>
    </row>
    <row r="781">
      <c r="A781" s="117"/>
      <c r="B781" s="117"/>
      <c r="C781" s="117"/>
      <c r="D781" s="117"/>
      <c r="E781" s="127"/>
      <c r="F781" s="127"/>
      <c r="G781" s="117"/>
      <c r="H781" s="127"/>
      <c r="I781" s="12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  <c r="AA781" s="117"/>
      <c r="AB781" s="117"/>
      <c r="AC781" s="117"/>
      <c r="AD781" s="117"/>
      <c r="AE781" s="117"/>
    </row>
    <row r="782">
      <c r="A782" s="117"/>
      <c r="B782" s="117"/>
      <c r="C782" s="117"/>
      <c r="D782" s="117"/>
      <c r="E782" s="127"/>
      <c r="F782" s="127"/>
      <c r="G782" s="117"/>
      <c r="H782" s="127"/>
      <c r="I782" s="12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117"/>
      <c r="AB782" s="117"/>
      <c r="AC782" s="117"/>
      <c r="AD782" s="117"/>
      <c r="AE782" s="117"/>
    </row>
    <row r="783">
      <c r="A783" s="117"/>
      <c r="B783" s="117"/>
      <c r="C783" s="117"/>
      <c r="D783" s="117"/>
      <c r="E783" s="127"/>
      <c r="F783" s="127"/>
      <c r="G783" s="117"/>
      <c r="H783" s="127"/>
      <c r="I783" s="12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  <c r="AA783" s="117"/>
      <c r="AB783" s="117"/>
      <c r="AC783" s="117"/>
      <c r="AD783" s="117"/>
      <c r="AE783" s="117"/>
    </row>
    <row r="784">
      <c r="A784" s="117"/>
      <c r="B784" s="117"/>
      <c r="C784" s="117"/>
      <c r="D784" s="117"/>
      <c r="E784" s="127"/>
      <c r="F784" s="127"/>
      <c r="G784" s="117"/>
      <c r="H784" s="127"/>
      <c r="I784" s="12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  <c r="AA784" s="117"/>
      <c r="AB784" s="117"/>
      <c r="AC784" s="117"/>
      <c r="AD784" s="117"/>
      <c r="AE784" s="117"/>
    </row>
    <row r="785">
      <c r="A785" s="117"/>
      <c r="B785" s="117"/>
      <c r="C785" s="117"/>
      <c r="D785" s="117"/>
      <c r="E785" s="127"/>
      <c r="F785" s="127"/>
      <c r="G785" s="117"/>
      <c r="H785" s="127"/>
      <c r="I785" s="12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  <c r="AA785" s="117"/>
      <c r="AB785" s="117"/>
      <c r="AC785" s="117"/>
      <c r="AD785" s="117"/>
      <c r="AE785" s="117"/>
    </row>
    <row r="786">
      <c r="A786" s="117"/>
      <c r="B786" s="117"/>
      <c r="C786" s="117"/>
      <c r="D786" s="117"/>
      <c r="E786" s="127"/>
      <c r="F786" s="127"/>
      <c r="G786" s="117"/>
      <c r="H786" s="127"/>
      <c r="I786" s="12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  <c r="AA786" s="117"/>
      <c r="AB786" s="117"/>
      <c r="AC786" s="117"/>
      <c r="AD786" s="117"/>
      <c r="AE786" s="117"/>
    </row>
    <row r="787">
      <c r="A787" s="117"/>
      <c r="B787" s="117"/>
      <c r="C787" s="117"/>
      <c r="D787" s="117"/>
      <c r="E787" s="127"/>
      <c r="F787" s="127"/>
      <c r="G787" s="117"/>
      <c r="H787" s="127"/>
      <c r="I787" s="12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  <c r="AA787" s="117"/>
      <c r="AB787" s="117"/>
      <c r="AC787" s="117"/>
      <c r="AD787" s="117"/>
      <c r="AE787" s="117"/>
    </row>
    <row r="788">
      <c r="A788" s="117"/>
      <c r="B788" s="117"/>
      <c r="C788" s="117"/>
      <c r="D788" s="117"/>
      <c r="E788" s="127"/>
      <c r="F788" s="127"/>
      <c r="G788" s="117"/>
      <c r="H788" s="127"/>
      <c r="I788" s="12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  <c r="AA788" s="117"/>
      <c r="AB788" s="117"/>
      <c r="AC788" s="117"/>
      <c r="AD788" s="117"/>
      <c r="AE788" s="117"/>
    </row>
    <row r="789">
      <c r="A789" s="117"/>
      <c r="B789" s="117"/>
      <c r="C789" s="117"/>
      <c r="D789" s="117"/>
      <c r="E789" s="127"/>
      <c r="F789" s="127"/>
      <c r="G789" s="117"/>
      <c r="H789" s="127"/>
      <c r="I789" s="12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  <c r="AA789" s="117"/>
      <c r="AB789" s="117"/>
      <c r="AC789" s="117"/>
      <c r="AD789" s="117"/>
      <c r="AE789" s="117"/>
    </row>
    <row r="790">
      <c r="A790" s="117"/>
      <c r="B790" s="117"/>
      <c r="C790" s="117"/>
      <c r="D790" s="117"/>
      <c r="E790" s="127"/>
      <c r="F790" s="127"/>
      <c r="G790" s="117"/>
      <c r="H790" s="127"/>
      <c r="I790" s="12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  <c r="AA790" s="117"/>
      <c r="AB790" s="117"/>
      <c r="AC790" s="117"/>
      <c r="AD790" s="117"/>
      <c r="AE790" s="117"/>
    </row>
    <row r="791">
      <c r="A791" s="117"/>
      <c r="B791" s="117"/>
      <c r="C791" s="117"/>
      <c r="D791" s="117"/>
      <c r="E791" s="127"/>
      <c r="F791" s="127"/>
      <c r="G791" s="117"/>
      <c r="H791" s="127"/>
      <c r="I791" s="12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  <c r="AA791" s="117"/>
      <c r="AB791" s="117"/>
      <c r="AC791" s="117"/>
      <c r="AD791" s="117"/>
      <c r="AE791" s="117"/>
    </row>
    <row r="792">
      <c r="A792" s="117"/>
      <c r="B792" s="117"/>
      <c r="C792" s="117"/>
      <c r="D792" s="117"/>
      <c r="E792" s="127"/>
      <c r="F792" s="127"/>
      <c r="G792" s="117"/>
      <c r="H792" s="127"/>
      <c r="I792" s="12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  <c r="AA792" s="117"/>
      <c r="AB792" s="117"/>
      <c r="AC792" s="117"/>
      <c r="AD792" s="117"/>
      <c r="AE792" s="117"/>
    </row>
    <row r="793">
      <c r="A793" s="117"/>
      <c r="B793" s="117"/>
      <c r="C793" s="117"/>
      <c r="D793" s="117"/>
      <c r="E793" s="127"/>
      <c r="F793" s="127"/>
      <c r="G793" s="117"/>
      <c r="H793" s="127"/>
      <c r="I793" s="12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  <c r="AA793" s="117"/>
      <c r="AB793" s="117"/>
      <c r="AC793" s="117"/>
      <c r="AD793" s="117"/>
      <c r="AE793" s="117"/>
    </row>
    <row r="794">
      <c r="A794" s="117"/>
      <c r="B794" s="117"/>
      <c r="C794" s="117"/>
      <c r="D794" s="117"/>
      <c r="E794" s="127"/>
      <c r="F794" s="127"/>
      <c r="G794" s="117"/>
      <c r="H794" s="127"/>
      <c r="I794" s="12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  <c r="AA794" s="117"/>
      <c r="AB794" s="117"/>
      <c r="AC794" s="117"/>
      <c r="AD794" s="117"/>
      <c r="AE794" s="117"/>
    </row>
    <row r="795">
      <c r="A795" s="117"/>
      <c r="B795" s="117"/>
      <c r="C795" s="117"/>
      <c r="D795" s="117"/>
      <c r="E795" s="127"/>
      <c r="F795" s="127"/>
      <c r="G795" s="117"/>
      <c r="H795" s="127"/>
      <c r="I795" s="12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  <c r="AA795" s="117"/>
      <c r="AB795" s="117"/>
      <c r="AC795" s="117"/>
      <c r="AD795" s="117"/>
      <c r="AE795" s="117"/>
    </row>
    <row r="796">
      <c r="A796" s="117"/>
      <c r="B796" s="117"/>
      <c r="C796" s="117"/>
      <c r="D796" s="117"/>
      <c r="E796" s="127"/>
      <c r="F796" s="127"/>
      <c r="G796" s="117"/>
      <c r="H796" s="127"/>
      <c r="I796" s="12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  <c r="AA796" s="117"/>
      <c r="AB796" s="117"/>
      <c r="AC796" s="117"/>
      <c r="AD796" s="117"/>
      <c r="AE796" s="117"/>
    </row>
    <row r="797">
      <c r="A797" s="117"/>
      <c r="B797" s="117"/>
      <c r="C797" s="117"/>
      <c r="D797" s="117"/>
      <c r="E797" s="127"/>
      <c r="F797" s="127"/>
      <c r="G797" s="117"/>
      <c r="H797" s="127"/>
      <c r="I797" s="12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  <c r="AA797" s="117"/>
      <c r="AB797" s="117"/>
      <c r="AC797" s="117"/>
      <c r="AD797" s="117"/>
      <c r="AE797" s="117"/>
    </row>
    <row r="798">
      <c r="A798" s="117"/>
      <c r="B798" s="117"/>
      <c r="C798" s="117"/>
      <c r="D798" s="117"/>
      <c r="E798" s="127"/>
      <c r="F798" s="127"/>
      <c r="G798" s="117"/>
      <c r="H798" s="127"/>
      <c r="I798" s="12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  <c r="AA798" s="117"/>
      <c r="AB798" s="117"/>
      <c r="AC798" s="117"/>
      <c r="AD798" s="117"/>
      <c r="AE798" s="117"/>
    </row>
    <row r="799">
      <c r="A799" s="117"/>
      <c r="B799" s="117"/>
      <c r="C799" s="117"/>
      <c r="D799" s="117"/>
      <c r="E799" s="127"/>
      <c r="F799" s="127"/>
      <c r="G799" s="117"/>
      <c r="H799" s="127"/>
      <c r="I799" s="12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  <c r="AA799" s="117"/>
      <c r="AB799" s="117"/>
      <c r="AC799" s="117"/>
      <c r="AD799" s="117"/>
      <c r="AE799" s="117"/>
    </row>
    <row r="800">
      <c r="A800" s="117"/>
      <c r="B800" s="117"/>
      <c r="C800" s="117"/>
      <c r="D800" s="117"/>
      <c r="E800" s="127"/>
      <c r="F800" s="127"/>
      <c r="G800" s="117"/>
      <c r="H800" s="127"/>
      <c r="I800" s="12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  <c r="AA800" s="117"/>
      <c r="AB800" s="117"/>
      <c r="AC800" s="117"/>
      <c r="AD800" s="117"/>
      <c r="AE800" s="117"/>
    </row>
    <row r="801">
      <c r="A801" s="117"/>
      <c r="B801" s="117"/>
      <c r="C801" s="117"/>
      <c r="D801" s="117"/>
      <c r="E801" s="127"/>
      <c r="F801" s="127"/>
      <c r="G801" s="117"/>
      <c r="H801" s="127"/>
      <c r="I801" s="12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  <c r="AA801" s="117"/>
      <c r="AB801" s="117"/>
      <c r="AC801" s="117"/>
      <c r="AD801" s="117"/>
      <c r="AE801" s="117"/>
    </row>
    <row r="802">
      <c r="A802" s="117"/>
      <c r="B802" s="117"/>
      <c r="C802" s="117"/>
      <c r="D802" s="117"/>
      <c r="E802" s="127"/>
      <c r="F802" s="127"/>
      <c r="G802" s="117"/>
      <c r="H802" s="127"/>
      <c r="I802" s="12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  <c r="AA802" s="117"/>
      <c r="AB802" s="117"/>
      <c r="AC802" s="117"/>
      <c r="AD802" s="117"/>
      <c r="AE802" s="117"/>
    </row>
    <row r="803">
      <c r="A803" s="117"/>
      <c r="B803" s="117"/>
      <c r="C803" s="117"/>
      <c r="D803" s="117"/>
      <c r="E803" s="127"/>
      <c r="F803" s="127"/>
      <c r="G803" s="117"/>
      <c r="H803" s="127"/>
      <c r="I803" s="12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  <c r="AA803" s="117"/>
      <c r="AB803" s="117"/>
      <c r="AC803" s="117"/>
      <c r="AD803" s="117"/>
      <c r="AE803" s="117"/>
    </row>
    <row r="804">
      <c r="A804" s="117"/>
      <c r="B804" s="117"/>
      <c r="C804" s="117"/>
      <c r="D804" s="117"/>
      <c r="E804" s="127"/>
      <c r="F804" s="127"/>
      <c r="G804" s="117"/>
      <c r="H804" s="127"/>
      <c r="I804" s="12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  <c r="AA804" s="117"/>
      <c r="AB804" s="117"/>
      <c r="AC804" s="117"/>
      <c r="AD804" s="117"/>
      <c r="AE804" s="117"/>
    </row>
    <row r="805">
      <c r="A805" s="117"/>
      <c r="B805" s="117"/>
      <c r="C805" s="117"/>
      <c r="D805" s="117"/>
      <c r="E805" s="127"/>
      <c r="F805" s="127"/>
      <c r="G805" s="117"/>
      <c r="H805" s="127"/>
      <c r="I805" s="12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  <c r="AA805" s="117"/>
      <c r="AB805" s="117"/>
      <c r="AC805" s="117"/>
      <c r="AD805" s="117"/>
      <c r="AE805" s="117"/>
    </row>
    <row r="806">
      <c r="A806" s="117"/>
      <c r="B806" s="117"/>
      <c r="C806" s="117"/>
      <c r="D806" s="117"/>
      <c r="E806" s="127"/>
      <c r="F806" s="127"/>
      <c r="G806" s="117"/>
      <c r="H806" s="127"/>
      <c r="I806" s="12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  <c r="AA806" s="117"/>
      <c r="AB806" s="117"/>
      <c r="AC806" s="117"/>
      <c r="AD806" s="117"/>
      <c r="AE806" s="117"/>
    </row>
    <row r="807">
      <c r="A807" s="117"/>
      <c r="B807" s="117"/>
      <c r="C807" s="117"/>
      <c r="D807" s="117"/>
      <c r="E807" s="127"/>
      <c r="F807" s="127"/>
      <c r="G807" s="117"/>
      <c r="H807" s="127"/>
      <c r="I807" s="12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  <c r="AA807" s="117"/>
      <c r="AB807" s="117"/>
      <c r="AC807" s="117"/>
      <c r="AD807" s="117"/>
      <c r="AE807" s="117"/>
    </row>
    <row r="808">
      <c r="A808" s="117"/>
      <c r="B808" s="117"/>
      <c r="C808" s="117"/>
      <c r="D808" s="117"/>
      <c r="E808" s="127"/>
      <c r="F808" s="127"/>
      <c r="G808" s="117"/>
      <c r="H808" s="127"/>
      <c r="I808" s="12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  <c r="AA808" s="117"/>
      <c r="AB808" s="117"/>
      <c r="AC808" s="117"/>
      <c r="AD808" s="117"/>
      <c r="AE808" s="117"/>
    </row>
    <row r="809">
      <c r="A809" s="117"/>
      <c r="B809" s="117"/>
      <c r="C809" s="117"/>
      <c r="D809" s="117"/>
      <c r="E809" s="127"/>
      <c r="F809" s="127"/>
      <c r="G809" s="117"/>
      <c r="H809" s="127"/>
      <c r="I809" s="12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  <c r="AA809" s="117"/>
      <c r="AB809" s="117"/>
      <c r="AC809" s="117"/>
      <c r="AD809" s="117"/>
      <c r="AE809" s="117"/>
    </row>
    <row r="810">
      <c r="A810" s="117"/>
      <c r="B810" s="117"/>
      <c r="C810" s="117"/>
      <c r="D810" s="117"/>
      <c r="E810" s="127"/>
      <c r="F810" s="127"/>
      <c r="G810" s="117"/>
      <c r="H810" s="127"/>
      <c r="I810" s="12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  <c r="AA810" s="117"/>
      <c r="AB810" s="117"/>
      <c r="AC810" s="117"/>
      <c r="AD810" s="117"/>
      <c r="AE810" s="117"/>
    </row>
    <row r="811">
      <c r="A811" s="117"/>
      <c r="B811" s="117"/>
      <c r="C811" s="117"/>
      <c r="D811" s="117"/>
      <c r="E811" s="127"/>
      <c r="F811" s="127"/>
      <c r="G811" s="117"/>
      <c r="H811" s="127"/>
      <c r="I811" s="12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  <c r="AA811" s="117"/>
      <c r="AB811" s="117"/>
      <c r="AC811" s="117"/>
      <c r="AD811" s="117"/>
      <c r="AE811" s="117"/>
    </row>
    <row r="812">
      <c r="A812" s="117"/>
      <c r="B812" s="117"/>
      <c r="C812" s="117"/>
      <c r="D812" s="117"/>
      <c r="E812" s="127"/>
      <c r="F812" s="127"/>
      <c r="G812" s="117"/>
      <c r="H812" s="127"/>
      <c r="I812" s="12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  <c r="AA812" s="117"/>
      <c r="AB812" s="117"/>
      <c r="AC812" s="117"/>
      <c r="AD812" s="117"/>
      <c r="AE812" s="117"/>
    </row>
    <row r="813">
      <c r="A813" s="117"/>
      <c r="B813" s="117"/>
      <c r="C813" s="117"/>
      <c r="D813" s="117"/>
      <c r="E813" s="127"/>
      <c r="F813" s="127"/>
      <c r="G813" s="117"/>
      <c r="H813" s="127"/>
      <c r="I813" s="12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  <c r="AA813" s="117"/>
      <c r="AB813" s="117"/>
      <c r="AC813" s="117"/>
      <c r="AD813" s="117"/>
      <c r="AE813" s="117"/>
    </row>
    <row r="814">
      <c r="A814" s="117"/>
      <c r="B814" s="117"/>
      <c r="C814" s="117"/>
      <c r="D814" s="117"/>
      <c r="E814" s="127"/>
      <c r="F814" s="127"/>
      <c r="G814" s="117"/>
      <c r="H814" s="127"/>
      <c r="I814" s="12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  <c r="AA814" s="117"/>
      <c r="AB814" s="117"/>
      <c r="AC814" s="117"/>
      <c r="AD814" s="117"/>
      <c r="AE814" s="117"/>
    </row>
    <row r="815">
      <c r="A815" s="117"/>
      <c r="B815" s="117"/>
      <c r="C815" s="117"/>
      <c r="D815" s="117"/>
      <c r="E815" s="127"/>
      <c r="F815" s="127"/>
      <c r="G815" s="117"/>
      <c r="H815" s="127"/>
      <c r="I815" s="12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  <c r="AA815" s="117"/>
      <c r="AB815" s="117"/>
      <c r="AC815" s="117"/>
      <c r="AD815" s="117"/>
      <c r="AE815" s="117"/>
    </row>
    <row r="816">
      <c r="A816" s="117"/>
      <c r="B816" s="117"/>
      <c r="C816" s="117"/>
      <c r="D816" s="117"/>
      <c r="E816" s="127"/>
      <c r="F816" s="127"/>
      <c r="G816" s="117"/>
      <c r="H816" s="127"/>
      <c r="I816" s="12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  <c r="AA816" s="117"/>
      <c r="AB816" s="117"/>
      <c r="AC816" s="117"/>
      <c r="AD816" s="117"/>
      <c r="AE816" s="117"/>
    </row>
    <row r="817">
      <c r="A817" s="117"/>
      <c r="B817" s="117"/>
      <c r="C817" s="117"/>
      <c r="D817" s="117"/>
      <c r="E817" s="127"/>
      <c r="F817" s="127"/>
      <c r="G817" s="117"/>
      <c r="H817" s="127"/>
      <c r="I817" s="12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  <c r="AA817" s="117"/>
      <c r="AB817" s="117"/>
      <c r="AC817" s="117"/>
      <c r="AD817" s="117"/>
      <c r="AE817" s="117"/>
    </row>
    <row r="818">
      <c r="A818" s="117"/>
      <c r="B818" s="117"/>
      <c r="C818" s="117"/>
      <c r="D818" s="117"/>
      <c r="E818" s="127"/>
      <c r="F818" s="127"/>
      <c r="G818" s="117"/>
      <c r="H818" s="127"/>
      <c r="I818" s="12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  <c r="AA818" s="117"/>
      <c r="AB818" s="117"/>
      <c r="AC818" s="117"/>
      <c r="AD818" s="117"/>
      <c r="AE818" s="117"/>
    </row>
    <row r="819">
      <c r="A819" s="117"/>
      <c r="B819" s="117"/>
      <c r="C819" s="117"/>
      <c r="D819" s="117"/>
      <c r="E819" s="127"/>
      <c r="F819" s="127"/>
      <c r="G819" s="117"/>
      <c r="H819" s="127"/>
      <c r="I819" s="12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  <c r="AA819" s="117"/>
      <c r="AB819" s="117"/>
      <c r="AC819" s="117"/>
      <c r="AD819" s="117"/>
      <c r="AE819" s="117"/>
    </row>
    <row r="820">
      <c r="A820" s="117"/>
      <c r="B820" s="117"/>
      <c r="C820" s="117"/>
      <c r="D820" s="117"/>
      <c r="E820" s="127"/>
      <c r="F820" s="127"/>
      <c r="G820" s="117"/>
      <c r="H820" s="127"/>
      <c r="I820" s="12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117"/>
      <c r="AB820" s="117"/>
      <c r="AC820" s="117"/>
      <c r="AD820" s="117"/>
      <c r="AE820" s="117"/>
    </row>
    <row r="821">
      <c r="A821" s="117"/>
      <c r="B821" s="117"/>
      <c r="C821" s="117"/>
      <c r="D821" s="117"/>
      <c r="E821" s="127"/>
      <c r="F821" s="127"/>
      <c r="G821" s="117"/>
      <c r="H821" s="127"/>
      <c r="I821" s="12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  <c r="AA821" s="117"/>
      <c r="AB821" s="117"/>
      <c r="AC821" s="117"/>
      <c r="AD821" s="117"/>
      <c r="AE821" s="117"/>
    </row>
    <row r="822">
      <c r="A822" s="117"/>
      <c r="B822" s="117"/>
      <c r="C822" s="117"/>
      <c r="D822" s="117"/>
      <c r="E822" s="127"/>
      <c r="F822" s="127"/>
      <c r="G822" s="117"/>
      <c r="H822" s="127"/>
      <c r="I822" s="12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  <c r="AA822" s="117"/>
      <c r="AB822" s="117"/>
      <c r="AC822" s="117"/>
      <c r="AD822" s="117"/>
      <c r="AE822" s="117"/>
    </row>
    <row r="823">
      <c r="A823" s="117"/>
      <c r="B823" s="117"/>
      <c r="C823" s="117"/>
      <c r="D823" s="117"/>
      <c r="E823" s="127"/>
      <c r="F823" s="127"/>
      <c r="G823" s="117"/>
      <c r="H823" s="127"/>
      <c r="I823" s="12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  <c r="AA823" s="117"/>
      <c r="AB823" s="117"/>
      <c r="AC823" s="117"/>
      <c r="AD823" s="117"/>
      <c r="AE823" s="117"/>
    </row>
    <row r="824">
      <c r="A824" s="117"/>
      <c r="B824" s="117"/>
      <c r="C824" s="117"/>
      <c r="D824" s="117"/>
      <c r="E824" s="127"/>
      <c r="F824" s="127"/>
      <c r="G824" s="117"/>
      <c r="H824" s="127"/>
      <c r="I824" s="12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  <c r="AA824" s="117"/>
      <c r="AB824" s="117"/>
      <c r="AC824" s="117"/>
      <c r="AD824" s="117"/>
      <c r="AE824" s="117"/>
    </row>
    <row r="825">
      <c r="A825" s="117"/>
      <c r="B825" s="117"/>
      <c r="C825" s="117"/>
      <c r="D825" s="117"/>
      <c r="E825" s="127"/>
      <c r="F825" s="127"/>
      <c r="G825" s="117"/>
      <c r="H825" s="127"/>
      <c r="I825" s="12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  <c r="AA825" s="117"/>
      <c r="AB825" s="117"/>
      <c r="AC825" s="117"/>
      <c r="AD825" s="117"/>
      <c r="AE825" s="117"/>
    </row>
    <row r="826">
      <c r="A826" s="117"/>
      <c r="B826" s="117"/>
      <c r="C826" s="117"/>
      <c r="D826" s="117"/>
      <c r="E826" s="127"/>
      <c r="F826" s="127"/>
      <c r="G826" s="117"/>
      <c r="H826" s="127"/>
      <c r="I826" s="12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  <c r="AA826" s="117"/>
      <c r="AB826" s="117"/>
      <c r="AC826" s="117"/>
      <c r="AD826" s="117"/>
      <c r="AE826" s="117"/>
    </row>
    <row r="827">
      <c r="A827" s="117"/>
      <c r="B827" s="117"/>
      <c r="C827" s="117"/>
      <c r="D827" s="117"/>
      <c r="E827" s="127"/>
      <c r="F827" s="127"/>
      <c r="G827" s="117"/>
      <c r="H827" s="127"/>
      <c r="I827" s="12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  <c r="AA827" s="117"/>
      <c r="AB827" s="117"/>
      <c r="AC827" s="117"/>
      <c r="AD827" s="117"/>
      <c r="AE827" s="117"/>
    </row>
    <row r="828">
      <c r="A828" s="117"/>
      <c r="B828" s="117"/>
      <c r="C828" s="117"/>
      <c r="D828" s="117"/>
      <c r="E828" s="127"/>
      <c r="F828" s="127"/>
      <c r="G828" s="117"/>
      <c r="H828" s="127"/>
      <c r="I828" s="12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  <c r="AA828" s="117"/>
      <c r="AB828" s="117"/>
      <c r="AC828" s="117"/>
      <c r="AD828" s="117"/>
      <c r="AE828" s="117"/>
    </row>
    <row r="829">
      <c r="A829" s="117"/>
      <c r="B829" s="117"/>
      <c r="C829" s="117"/>
      <c r="D829" s="117"/>
      <c r="E829" s="127"/>
      <c r="F829" s="127"/>
      <c r="G829" s="117"/>
      <c r="H829" s="127"/>
      <c r="I829" s="12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  <c r="AA829" s="117"/>
      <c r="AB829" s="117"/>
      <c r="AC829" s="117"/>
      <c r="AD829" s="117"/>
      <c r="AE829" s="117"/>
    </row>
    <row r="830">
      <c r="A830" s="117"/>
      <c r="B830" s="117"/>
      <c r="C830" s="117"/>
      <c r="D830" s="117"/>
      <c r="E830" s="127"/>
      <c r="F830" s="127"/>
      <c r="G830" s="117"/>
      <c r="H830" s="127"/>
      <c r="I830" s="12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  <c r="AA830" s="117"/>
      <c r="AB830" s="117"/>
      <c r="AC830" s="117"/>
      <c r="AD830" s="117"/>
      <c r="AE830" s="117"/>
    </row>
    <row r="831">
      <c r="A831" s="117"/>
      <c r="B831" s="117"/>
      <c r="C831" s="117"/>
      <c r="D831" s="117"/>
      <c r="E831" s="127"/>
      <c r="F831" s="127"/>
      <c r="G831" s="117"/>
      <c r="H831" s="127"/>
      <c r="I831" s="12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  <c r="AA831" s="117"/>
      <c r="AB831" s="117"/>
      <c r="AC831" s="117"/>
      <c r="AD831" s="117"/>
      <c r="AE831" s="117"/>
    </row>
    <row r="832">
      <c r="A832" s="117"/>
      <c r="B832" s="117"/>
      <c r="C832" s="117"/>
      <c r="D832" s="117"/>
      <c r="E832" s="127"/>
      <c r="F832" s="127"/>
      <c r="G832" s="117"/>
      <c r="H832" s="127"/>
      <c r="I832" s="12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  <c r="AA832" s="117"/>
      <c r="AB832" s="117"/>
      <c r="AC832" s="117"/>
      <c r="AD832" s="117"/>
      <c r="AE832" s="117"/>
    </row>
    <row r="833">
      <c r="A833" s="117"/>
      <c r="B833" s="117"/>
      <c r="C833" s="117"/>
      <c r="D833" s="117"/>
      <c r="E833" s="127"/>
      <c r="F833" s="127"/>
      <c r="G833" s="117"/>
      <c r="H833" s="127"/>
      <c r="I833" s="12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  <c r="AA833" s="117"/>
      <c r="AB833" s="117"/>
      <c r="AC833" s="117"/>
      <c r="AD833" s="117"/>
      <c r="AE833" s="117"/>
    </row>
    <row r="834">
      <c r="A834" s="117"/>
      <c r="B834" s="117"/>
      <c r="C834" s="117"/>
      <c r="D834" s="117"/>
      <c r="E834" s="127"/>
      <c r="F834" s="127"/>
      <c r="G834" s="117"/>
      <c r="H834" s="127"/>
      <c r="I834" s="12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  <c r="AA834" s="117"/>
      <c r="AB834" s="117"/>
      <c r="AC834" s="117"/>
      <c r="AD834" s="117"/>
      <c r="AE834" s="117"/>
    </row>
    <row r="835">
      <c r="A835" s="117"/>
      <c r="B835" s="117"/>
      <c r="C835" s="117"/>
      <c r="D835" s="117"/>
      <c r="E835" s="127"/>
      <c r="F835" s="127"/>
      <c r="G835" s="117"/>
      <c r="H835" s="127"/>
      <c r="I835" s="12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  <c r="AA835" s="117"/>
      <c r="AB835" s="117"/>
      <c r="AC835" s="117"/>
      <c r="AD835" s="117"/>
      <c r="AE835" s="117"/>
    </row>
    <row r="836">
      <c r="A836" s="117"/>
      <c r="B836" s="117"/>
      <c r="C836" s="117"/>
      <c r="D836" s="117"/>
      <c r="E836" s="127"/>
      <c r="F836" s="127"/>
      <c r="G836" s="117"/>
      <c r="H836" s="127"/>
      <c r="I836" s="12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  <c r="AA836" s="117"/>
      <c r="AB836" s="117"/>
      <c r="AC836" s="117"/>
      <c r="AD836" s="117"/>
      <c r="AE836" s="117"/>
    </row>
    <row r="837">
      <c r="A837" s="117"/>
      <c r="B837" s="117"/>
      <c r="C837" s="117"/>
      <c r="D837" s="117"/>
      <c r="E837" s="127"/>
      <c r="F837" s="127"/>
      <c r="G837" s="117"/>
      <c r="H837" s="127"/>
      <c r="I837" s="12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  <c r="AA837" s="117"/>
      <c r="AB837" s="117"/>
      <c r="AC837" s="117"/>
      <c r="AD837" s="117"/>
      <c r="AE837" s="117"/>
    </row>
    <row r="838">
      <c r="A838" s="117"/>
      <c r="B838" s="117"/>
      <c r="C838" s="117"/>
      <c r="D838" s="117"/>
      <c r="E838" s="127"/>
      <c r="F838" s="127"/>
      <c r="G838" s="117"/>
      <c r="H838" s="127"/>
      <c r="I838" s="12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  <c r="AA838" s="117"/>
      <c r="AB838" s="117"/>
      <c r="AC838" s="117"/>
      <c r="AD838" s="117"/>
      <c r="AE838" s="117"/>
    </row>
    <row r="839">
      <c r="A839" s="117"/>
      <c r="B839" s="117"/>
      <c r="C839" s="117"/>
      <c r="D839" s="117"/>
      <c r="E839" s="127"/>
      <c r="F839" s="127"/>
      <c r="G839" s="117"/>
      <c r="H839" s="127"/>
      <c r="I839" s="12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  <c r="AA839" s="117"/>
      <c r="AB839" s="117"/>
      <c r="AC839" s="117"/>
      <c r="AD839" s="117"/>
      <c r="AE839" s="117"/>
    </row>
    <row r="840">
      <c r="A840" s="117"/>
      <c r="B840" s="117"/>
      <c r="C840" s="117"/>
      <c r="D840" s="117"/>
      <c r="E840" s="127"/>
      <c r="F840" s="127"/>
      <c r="G840" s="117"/>
      <c r="H840" s="127"/>
      <c r="I840" s="12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  <c r="AA840" s="117"/>
      <c r="AB840" s="117"/>
      <c r="AC840" s="117"/>
      <c r="AD840" s="117"/>
      <c r="AE840" s="117"/>
    </row>
    <row r="841">
      <c r="A841" s="117"/>
      <c r="B841" s="117"/>
      <c r="C841" s="117"/>
      <c r="D841" s="117"/>
      <c r="E841" s="127"/>
      <c r="F841" s="127"/>
      <c r="G841" s="117"/>
      <c r="H841" s="127"/>
      <c r="I841" s="12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  <c r="AA841" s="117"/>
      <c r="AB841" s="117"/>
      <c r="AC841" s="117"/>
      <c r="AD841" s="117"/>
      <c r="AE841" s="117"/>
    </row>
    <row r="842">
      <c r="A842" s="117"/>
      <c r="B842" s="117"/>
      <c r="C842" s="117"/>
      <c r="D842" s="117"/>
      <c r="E842" s="127"/>
      <c r="F842" s="127"/>
      <c r="G842" s="117"/>
      <c r="H842" s="127"/>
      <c r="I842" s="12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  <c r="AA842" s="117"/>
      <c r="AB842" s="117"/>
      <c r="AC842" s="117"/>
      <c r="AD842" s="117"/>
      <c r="AE842" s="117"/>
    </row>
    <row r="843">
      <c r="A843" s="117"/>
      <c r="B843" s="117"/>
      <c r="C843" s="117"/>
      <c r="D843" s="117"/>
      <c r="E843" s="127"/>
      <c r="F843" s="127"/>
      <c r="G843" s="117"/>
      <c r="H843" s="127"/>
      <c r="I843" s="12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  <c r="AA843" s="117"/>
      <c r="AB843" s="117"/>
      <c r="AC843" s="117"/>
      <c r="AD843" s="117"/>
      <c r="AE843" s="117"/>
    </row>
    <row r="844">
      <c r="A844" s="117"/>
      <c r="B844" s="117"/>
      <c r="C844" s="117"/>
      <c r="D844" s="117"/>
      <c r="E844" s="127"/>
      <c r="F844" s="127"/>
      <c r="G844" s="117"/>
      <c r="H844" s="127"/>
      <c r="I844" s="12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  <c r="AA844" s="117"/>
      <c r="AB844" s="117"/>
      <c r="AC844" s="117"/>
      <c r="AD844" s="117"/>
      <c r="AE844" s="117"/>
    </row>
    <row r="845">
      <c r="A845" s="117"/>
      <c r="B845" s="117"/>
      <c r="C845" s="117"/>
      <c r="D845" s="117"/>
      <c r="E845" s="127"/>
      <c r="F845" s="127"/>
      <c r="G845" s="117"/>
      <c r="H845" s="127"/>
      <c r="I845" s="12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  <c r="AA845" s="117"/>
      <c r="AB845" s="117"/>
      <c r="AC845" s="117"/>
      <c r="AD845" s="117"/>
      <c r="AE845" s="117"/>
    </row>
    <row r="846">
      <c r="A846" s="117"/>
      <c r="B846" s="117"/>
      <c r="C846" s="117"/>
      <c r="D846" s="117"/>
      <c r="E846" s="127"/>
      <c r="F846" s="127"/>
      <c r="G846" s="117"/>
      <c r="H846" s="127"/>
      <c r="I846" s="12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  <c r="AA846" s="117"/>
      <c r="AB846" s="117"/>
      <c r="AC846" s="117"/>
      <c r="AD846" s="117"/>
      <c r="AE846" s="117"/>
    </row>
    <row r="847">
      <c r="A847" s="117"/>
      <c r="B847" s="117"/>
      <c r="C847" s="117"/>
      <c r="D847" s="117"/>
      <c r="E847" s="127"/>
      <c r="F847" s="127"/>
      <c r="G847" s="117"/>
      <c r="H847" s="127"/>
      <c r="I847" s="12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  <c r="AA847" s="117"/>
      <c r="AB847" s="117"/>
      <c r="AC847" s="117"/>
      <c r="AD847" s="117"/>
      <c r="AE847" s="117"/>
    </row>
    <row r="848">
      <c r="A848" s="117"/>
      <c r="B848" s="117"/>
      <c r="C848" s="117"/>
      <c r="D848" s="117"/>
      <c r="E848" s="127"/>
      <c r="F848" s="127"/>
      <c r="G848" s="117"/>
      <c r="H848" s="127"/>
      <c r="I848" s="12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  <c r="AA848" s="117"/>
      <c r="AB848" s="117"/>
      <c r="AC848" s="117"/>
      <c r="AD848" s="117"/>
      <c r="AE848" s="117"/>
    </row>
    <row r="849">
      <c r="A849" s="117"/>
      <c r="B849" s="117"/>
      <c r="C849" s="117"/>
      <c r="D849" s="117"/>
      <c r="E849" s="127"/>
      <c r="F849" s="127"/>
      <c r="G849" s="117"/>
      <c r="H849" s="127"/>
      <c r="I849" s="12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  <c r="AA849" s="117"/>
      <c r="AB849" s="117"/>
      <c r="AC849" s="117"/>
      <c r="AD849" s="117"/>
      <c r="AE849" s="117"/>
    </row>
    <row r="850">
      <c r="A850" s="117"/>
      <c r="B850" s="117"/>
      <c r="C850" s="117"/>
      <c r="D850" s="117"/>
      <c r="E850" s="127"/>
      <c r="F850" s="127"/>
      <c r="G850" s="117"/>
      <c r="H850" s="127"/>
      <c r="I850" s="12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  <c r="AA850" s="117"/>
      <c r="AB850" s="117"/>
      <c r="AC850" s="117"/>
      <c r="AD850" s="117"/>
      <c r="AE850" s="117"/>
    </row>
    <row r="851">
      <c r="A851" s="117"/>
      <c r="B851" s="117"/>
      <c r="C851" s="117"/>
      <c r="D851" s="117"/>
      <c r="E851" s="127"/>
      <c r="F851" s="127"/>
      <c r="G851" s="117"/>
      <c r="H851" s="127"/>
      <c r="I851" s="12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  <c r="AA851" s="117"/>
      <c r="AB851" s="117"/>
      <c r="AC851" s="117"/>
      <c r="AD851" s="117"/>
      <c r="AE851" s="117"/>
    </row>
    <row r="852">
      <c r="A852" s="117"/>
      <c r="B852" s="117"/>
      <c r="C852" s="117"/>
      <c r="D852" s="117"/>
      <c r="E852" s="127"/>
      <c r="F852" s="127"/>
      <c r="G852" s="117"/>
      <c r="H852" s="127"/>
      <c r="I852" s="12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  <c r="AA852" s="117"/>
      <c r="AB852" s="117"/>
      <c r="AC852" s="117"/>
      <c r="AD852" s="117"/>
      <c r="AE852" s="117"/>
    </row>
    <row r="853">
      <c r="A853" s="117"/>
      <c r="B853" s="117"/>
      <c r="C853" s="117"/>
      <c r="D853" s="117"/>
      <c r="E853" s="127"/>
      <c r="F853" s="127"/>
      <c r="G853" s="117"/>
      <c r="H853" s="127"/>
      <c r="I853" s="12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  <c r="AA853" s="117"/>
      <c r="AB853" s="117"/>
      <c r="AC853" s="117"/>
      <c r="AD853" s="117"/>
      <c r="AE853" s="117"/>
    </row>
    <row r="854">
      <c r="A854" s="117"/>
      <c r="B854" s="117"/>
      <c r="C854" s="117"/>
      <c r="D854" s="117"/>
      <c r="E854" s="127"/>
      <c r="F854" s="127"/>
      <c r="G854" s="117"/>
      <c r="H854" s="127"/>
      <c r="I854" s="12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  <c r="AA854" s="117"/>
      <c r="AB854" s="117"/>
      <c r="AC854" s="117"/>
      <c r="AD854" s="117"/>
      <c r="AE854" s="117"/>
    </row>
    <row r="855">
      <c r="A855" s="117"/>
      <c r="B855" s="117"/>
      <c r="C855" s="117"/>
      <c r="D855" s="117"/>
      <c r="E855" s="127"/>
      <c r="F855" s="127"/>
      <c r="G855" s="117"/>
      <c r="H855" s="127"/>
      <c r="I855" s="12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  <c r="AA855" s="117"/>
      <c r="AB855" s="117"/>
      <c r="AC855" s="117"/>
      <c r="AD855" s="117"/>
      <c r="AE855" s="117"/>
    </row>
    <row r="856">
      <c r="A856" s="117"/>
      <c r="B856" s="117"/>
      <c r="C856" s="117"/>
      <c r="D856" s="117"/>
      <c r="E856" s="127"/>
      <c r="F856" s="127"/>
      <c r="G856" s="117"/>
      <c r="H856" s="127"/>
      <c r="I856" s="12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  <c r="AA856" s="117"/>
      <c r="AB856" s="117"/>
      <c r="AC856" s="117"/>
      <c r="AD856" s="117"/>
      <c r="AE856" s="117"/>
    </row>
    <row r="857">
      <c r="A857" s="117"/>
      <c r="B857" s="117"/>
      <c r="C857" s="117"/>
      <c r="D857" s="117"/>
      <c r="E857" s="127"/>
      <c r="F857" s="127"/>
      <c r="G857" s="117"/>
      <c r="H857" s="127"/>
      <c r="I857" s="12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  <c r="AA857" s="117"/>
      <c r="AB857" s="117"/>
      <c r="AC857" s="117"/>
      <c r="AD857" s="117"/>
      <c r="AE857" s="117"/>
    </row>
    <row r="858">
      <c r="A858" s="117"/>
      <c r="B858" s="117"/>
      <c r="C858" s="117"/>
      <c r="D858" s="117"/>
      <c r="E858" s="127"/>
      <c r="F858" s="127"/>
      <c r="G858" s="117"/>
      <c r="H858" s="127"/>
      <c r="I858" s="12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117"/>
      <c r="AB858" s="117"/>
      <c r="AC858" s="117"/>
      <c r="AD858" s="117"/>
      <c r="AE858" s="117"/>
    </row>
    <row r="859">
      <c r="A859" s="117"/>
      <c r="B859" s="117"/>
      <c r="C859" s="117"/>
      <c r="D859" s="117"/>
      <c r="E859" s="127"/>
      <c r="F859" s="127"/>
      <c r="G859" s="117"/>
      <c r="H859" s="127"/>
      <c r="I859" s="12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  <c r="AA859" s="117"/>
      <c r="AB859" s="117"/>
      <c r="AC859" s="117"/>
      <c r="AD859" s="117"/>
      <c r="AE859" s="117"/>
    </row>
    <row r="860">
      <c r="A860" s="117"/>
      <c r="B860" s="117"/>
      <c r="C860" s="117"/>
      <c r="D860" s="117"/>
      <c r="E860" s="127"/>
      <c r="F860" s="127"/>
      <c r="G860" s="117"/>
      <c r="H860" s="127"/>
      <c r="I860" s="12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  <c r="AA860" s="117"/>
      <c r="AB860" s="117"/>
      <c r="AC860" s="117"/>
      <c r="AD860" s="117"/>
      <c r="AE860" s="117"/>
    </row>
    <row r="861">
      <c r="A861" s="117"/>
      <c r="B861" s="117"/>
      <c r="C861" s="117"/>
      <c r="D861" s="117"/>
      <c r="E861" s="127"/>
      <c r="F861" s="127"/>
      <c r="G861" s="117"/>
      <c r="H861" s="127"/>
      <c r="I861" s="12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  <c r="AA861" s="117"/>
      <c r="AB861" s="117"/>
      <c r="AC861" s="117"/>
      <c r="AD861" s="117"/>
      <c r="AE861" s="117"/>
    </row>
    <row r="862">
      <c r="A862" s="117"/>
      <c r="B862" s="117"/>
      <c r="C862" s="117"/>
      <c r="D862" s="117"/>
      <c r="E862" s="127"/>
      <c r="F862" s="127"/>
      <c r="G862" s="117"/>
      <c r="H862" s="127"/>
      <c r="I862" s="12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  <c r="AA862" s="117"/>
      <c r="AB862" s="117"/>
      <c r="AC862" s="117"/>
      <c r="AD862" s="117"/>
      <c r="AE862" s="117"/>
    </row>
    <row r="863">
      <c r="A863" s="117"/>
      <c r="B863" s="117"/>
      <c r="C863" s="117"/>
      <c r="D863" s="117"/>
      <c r="E863" s="127"/>
      <c r="F863" s="127"/>
      <c r="G863" s="117"/>
      <c r="H863" s="127"/>
      <c r="I863" s="12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  <c r="AA863" s="117"/>
      <c r="AB863" s="117"/>
      <c r="AC863" s="117"/>
      <c r="AD863" s="117"/>
      <c r="AE863" s="117"/>
    </row>
    <row r="864">
      <c r="A864" s="117"/>
      <c r="B864" s="117"/>
      <c r="C864" s="117"/>
      <c r="D864" s="117"/>
      <c r="E864" s="127"/>
      <c r="F864" s="127"/>
      <c r="G864" s="117"/>
      <c r="H864" s="127"/>
      <c r="I864" s="12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  <c r="AA864" s="117"/>
      <c r="AB864" s="117"/>
      <c r="AC864" s="117"/>
      <c r="AD864" s="117"/>
      <c r="AE864" s="117"/>
    </row>
    <row r="865">
      <c r="A865" s="117"/>
      <c r="B865" s="117"/>
      <c r="C865" s="117"/>
      <c r="D865" s="117"/>
      <c r="E865" s="127"/>
      <c r="F865" s="127"/>
      <c r="G865" s="117"/>
      <c r="H865" s="127"/>
      <c r="I865" s="12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  <c r="AA865" s="117"/>
      <c r="AB865" s="117"/>
      <c r="AC865" s="117"/>
      <c r="AD865" s="117"/>
      <c r="AE865" s="117"/>
    </row>
    <row r="866">
      <c r="A866" s="117"/>
      <c r="B866" s="117"/>
      <c r="C866" s="117"/>
      <c r="D866" s="117"/>
      <c r="E866" s="127"/>
      <c r="F866" s="127"/>
      <c r="G866" s="117"/>
      <c r="H866" s="127"/>
      <c r="I866" s="12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  <c r="AA866" s="117"/>
      <c r="AB866" s="117"/>
      <c r="AC866" s="117"/>
      <c r="AD866" s="117"/>
      <c r="AE866" s="117"/>
    </row>
    <row r="867">
      <c r="A867" s="117"/>
      <c r="B867" s="117"/>
      <c r="C867" s="117"/>
      <c r="D867" s="117"/>
      <c r="E867" s="127"/>
      <c r="F867" s="127"/>
      <c r="G867" s="117"/>
      <c r="H867" s="127"/>
      <c r="I867" s="12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  <c r="AA867" s="117"/>
      <c r="AB867" s="117"/>
      <c r="AC867" s="117"/>
      <c r="AD867" s="117"/>
      <c r="AE867" s="117"/>
    </row>
    <row r="868">
      <c r="A868" s="117"/>
      <c r="B868" s="117"/>
      <c r="C868" s="117"/>
      <c r="D868" s="117"/>
      <c r="E868" s="127"/>
      <c r="F868" s="127"/>
      <c r="G868" s="117"/>
      <c r="H868" s="127"/>
      <c r="I868" s="12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  <c r="AA868" s="117"/>
      <c r="AB868" s="117"/>
      <c r="AC868" s="117"/>
      <c r="AD868" s="117"/>
      <c r="AE868" s="117"/>
    </row>
    <row r="869">
      <c r="A869" s="117"/>
      <c r="B869" s="117"/>
      <c r="C869" s="117"/>
      <c r="D869" s="117"/>
      <c r="E869" s="127"/>
      <c r="F869" s="127"/>
      <c r="G869" s="117"/>
      <c r="H869" s="127"/>
      <c r="I869" s="12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  <c r="AA869" s="117"/>
      <c r="AB869" s="117"/>
      <c r="AC869" s="117"/>
      <c r="AD869" s="117"/>
      <c r="AE869" s="117"/>
    </row>
    <row r="870">
      <c r="A870" s="117"/>
      <c r="B870" s="117"/>
      <c r="C870" s="117"/>
      <c r="D870" s="117"/>
      <c r="E870" s="127"/>
      <c r="F870" s="127"/>
      <c r="G870" s="117"/>
      <c r="H870" s="127"/>
      <c r="I870" s="12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  <c r="AA870" s="117"/>
      <c r="AB870" s="117"/>
      <c r="AC870" s="117"/>
      <c r="AD870" s="117"/>
      <c r="AE870" s="117"/>
    </row>
    <row r="871">
      <c r="A871" s="117"/>
      <c r="B871" s="117"/>
      <c r="C871" s="117"/>
      <c r="D871" s="117"/>
      <c r="E871" s="127"/>
      <c r="F871" s="127"/>
      <c r="G871" s="117"/>
      <c r="H871" s="127"/>
      <c r="I871" s="12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  <c r="AA871" s="117"/>
      <c r="AB871" s="117"/>
      <c r="AC871" s="117"/>
      <c r="AD871" s="117"/>
      <c r="AE871" s="117"/>
    </row>
    <row r="872">
      <c r="A872" s="117"/>
      <c r="B872" s="117"/>
      <c r="C872" s="117"/>
      <c r="D872" s="117"/>
      <c r="E872" s="127"/>
      <c r="F872" s="127"/>
      <c r="G872" s="117"/>
      <c r="H872" s="127"/>
      <c r="I872" s="12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  <c r="AA872" s="117"/>
      <c r="AB872" s="117"/>
      <c r="AC872" s="117"/>
      <c r="AD872" s="117"/>
      <c r="AE872" s="117"/>
    </row>
    <row r="873">
      <c r="A873" s="117"/>
      <c r="B873" s="117"/>
      <c r="C873" s="117"/>
      <c r="D873" s="117"/>
      <c r="E873" s="127"/>
      <c r="F873" s="127"/>
      <c r="G873" s="117"/>
      <c r="H873" s="127"/>
      <c r="I873" s="12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  <c r="AA873" s="117"/>
      <c r="AB873" s="117"/>
      <c r="AC873" s="117"/>
      <c r="AD873" s="117"/>
      <c r="AE873" s="117"/>
    </row>
    <row r="874">
      <c r="A874" s="117"/>
      <c r="B874" s="117"/>
      <c r="C874" s="117"/>
      <c r="D874" s="117"/>
      <c r="E874" s="127"/>
      <c r="F874" s="127"/>
      <c r="G874" s="117"/>
      <c r="H874" s="127"/>
      <c r="I874" s="12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  <c r="AA874" s="117"/>
      <c r="AB874" s="117"/>
      <c r="AC874" s="117"/>
      <c r="AD874" s="117"/>
      <c r="AE874" s="117"/>
    </row>
    <row r="875">
      <c r="A875" s="117"/>
      <c r="B875" s="117"/>
      <c r="C875" s="117"/>
      <c r="D875" s="117"/>
      <c r="E875" s="127"/>
      <c r="F875" s="127"/>
      <c r="G875" s="117"/>
      <c r="H875" s="127"/>
      <c r="I875" s="12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  <c r="AA875" s="117"/>
      <c r="AB875" s="117"/>
      <c r="AC875" s="117"/>
      <c r="AD875" s="117"/>
      <c r="AE875" s="117"/>
    </row>
    <row r="876">
      <c r="A876" s="117"/>
      <c r="B876" s="117"/>
      <c r="C876" s="117"/>
      <c r="D876" s="117"/>
      <c r="E876" s="127"/>
      <c r="F876" s="127"/>
      <c r="G876" s="117"/>
      <c r="H876" s="127"/>
      <c r="I876" s="12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  <c r="AA876" s="117"/>
      <c r="AB876" s="117"/>
      <c r="AC876" s="117"/>
      <c r="AD876" s="117"/>
      <c r="AE876" s="117"/>
    </row>
    <row r="877">
      <c r="A877" s="117"/>
      <c r="B877" s="117"/>
      <c r="C877" s="117"/>
      <c r="D877" s="117"/>
      <c r="E877" s="127"/>
      <c r="F877" s="127"/>
      <c r="G877" s="117"/>
      <c r="H877" s="127"/>
      <c r="I877" s="12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  <c r="AA877" s="117"/>
      <c r="AB877" s="117"/>
      <c r="AC877" s="117"/>
      <c r="AD877" s="117"/>
      <c r="AE877" s="117"/>
    </row>
    <row r="878">
      <c r="A878" s="117"/>
      <c r="B878" s="117"/>
      <c r="C878" s="117"/>
      <c r="D878" s="117"/>
      <c r="E878" s="127"/>
      <c r="F878" s="127"/>
      <c r="G878" s="117"/>
      <c r="H878" s="127"/>
      <c r="I878" s="12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  <c r="AA878" s="117"/>
      <c r="AB878" s="117"/>
      <c r="AC878" s="117"/>
      <c r="AD878" s="117"/>
      <c r="AE878" s="117"/>
    </row>
    <row r="879">
      <c r="A879" s="117"/>
      <c r="B879" s="117"/>
      <c r="C879" s="117"/>
      <c r="D879" s="117"/>
      <c r="E879" s="127"/>
      <c r="F879" s="127"/>
      <c r="G879" s="117"/>
      <c r="H879" s="127"/>
      <c r="I879" s="12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  <c r="AA879" s="117"/>
      <c r="AB879" s="117"/>
      <c r="AC879" s="117"/>
      <c r="AD879" s="117"/>
      <c r="AE879" s="117"/>
    </row>
    <row r="880">
      <c r="A880" s="117"/>
      <c r="B880" s="117"/>
      <c r="C880" s="117"/>
      <c r="D880" s="117"/>
      <c r="E880" s="127"/>
      <c r="F880" s="127"/>
      <c r="G880" s="117"/>
      <c r="H880" s="127"/>
      <c r="I880" s="12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  <c r="AA880" s="117"/>
      <c r="AB880" s="117"/>
      <c r="AC880" s="117"/>
      <c r="AD880" s="117"/>
      <c r="AE880" s="117"/>
    </row>
    <row r="881">
      <c r="A881" s="117"/>
      <c r="B881" s="117"/>
      <c r="C881" s="117"/>
      <c r="D881" s="117"/>
      <c r="E881" s="127"/>
      <c r="F881" s="127"/>
      <c r="G881" s="117"/>
      <c r="H881" s="127"/>
      <c r="I881" s="12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  <c r="AA881" s="117"/>
      <c r="AB881" s="117"/>
      <c r="AC881" s="117"/>
      <c r="AD881" s="117"/>
      <c r="AE881" s="117"/>
    </row>
    <row r="882">
      <c r="A882" s="117"/>
      <c r="B882" s="117"/>
      <c r="C882" s="117"/>
      <c r="D882" s="117"/>
      <c r="E882" s="127"/>
      <c r="F882" s="127"/>
      <c r="G882" s="117"/>
      <c r="H882" s="127"/>
      <c r="I882" s="12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  <c r="AA882" s="117"/>
      <c r="AB882" s="117"/>
      <c r="AC882" s="117"/>
      <c r="AD882" s="117"/>
      <c r="AE882" s="117"/>
    </row>
    <row r="883">
      <c r="A883" s="117"/>
      <c r="B883" s="117"/>
      <c r="C883" s="117"/>
      <c r="D883" s="117"/>
      <c r="E883" s="127"/>
      <c r="F883" s="127"/>
      <c r="G883" s="117"/>
      <c r="H883" s="127"/>
      <c r="I883" s="12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  <c r="AA883" s="117"/>
      <c r="AB883" s="117"/>
      <c r="AC883" s="117"/>
      <c r="AD883" s="117"/>
      <c r="AE883" s="117"/>
    </row>
    <row r="884">
      <c r="A884" s="117"/>
      <c r="B884" s="117"/>
      <c r="C884" s="117"/>
      <c r="D884" s="117"/>
      <c r="E884" s="127"/>
      <c r="F884" s="127"/>
      <c r="G884" s="117"/>
      <c r="H884" s="127"/>
      <c r="I884" s="12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  <c r="AA884" s="117"/>
      <c r="AB884" s="117"/>
      <c r="AC884" s="117"/>
      <c r="AD884" s="117"/>
      <c r="AE884" s="117"/>
    </row>
    <row r="885">
      <c r="A885" s="117"/>
      <c r="B885" s="117"/>
      <c r="C885" s="117"/>
      <c r="D885" s="117"/>
      <c r="E885" s="127"/>
      <c r="F885" s="127"/>
      <c r="G885" s="117"/>
      <c r="H885" s="127"/>
      <c r="I885" s="12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  <c r="AA885" s="117"/>
      <c r="AB885" s="117"/>
      <c r="AC885" s="117"/>
      <c r="AD885" s="117"/>
      <c r="AE885" s="117"/>
    </row>
    <row r="886">
      <c r="A886" s="117"/>
      <c r="B886" s="117"/>
      <c r="C886" s="117"/>
      <c r="D886" s="117"/>
      <c r="E886" s="127"/>
      <c r="F886" s="127"/>
      <c r="G886" s="117"/>
      <c r="H886" s="127"/>
      <c r="I886" s="12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  <c r="AA886" s="117"/>
      <c r="AB886" s="117"/>
      <c r="AC886" s="117"/>
      <c r="AD886" s="117"/>
      <c r="AE886" s="117"/>
    </row>
    <row r="887">
      <c r="A887" s="117"/>
      <c r="B887" s="117"/>
      <c r="C887" s="117"/>
      <c r="D887" s="117"/>
      <c r="E887" s="127"/>
      <c r="F887" s="127"/>
      <c r="G887" s="117"/>
      <c r="H887" s="127"/>
      <c r="I887" s="12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  <c r="AA887" s="117"/>
      <c r="AB887" s="117"/>
      <c r="AC887" s="117"/>
      <c r="AD887" s="117"/>
      <c r="AE887" s="117"/>
    </row>
    <row r="888">
      <c r="A888" s="117"/>
      <c r="B888" s="117"/>
      <c r="C888" s="117"/>
      <c r="D888" s="117"/>
      <c r="E888" s="127"/>
      <c r="F888" s="127"/>
      <c r="G888" s="117"/>
      <c r="H888" s="127"/>
      <c r="I888" s="12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  <c r="AA888" s="117"/>
      <c r="AB888" s="117"/>
      <c r="AC888" s="117"/>
      <c r="AD888" s="117"/>
      <c r="AE888" s="117"/>
    </row>
    <row r="889">
      <c r="A889" s="117"/>
      <c r="B889" s="117"/>
      <c r="C889" s="117"/>
      <c r="D889" s="117"/>
      <c r="E889" s="127"/>
      <c r="F889" s="127"/>
      <c r="G889" s="117"/>
      <c r="H889" s="127"/>
      <c r="I889" s="12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  <c r="AA889" s="117"/>
      <c r="AB889" s="117"/>
      <c r="AC889" s="117"/>
      <c r="AD889" s="117"/>
      <c r="AE889" s="117"/>
    </row>
    <row r="890">
      <c r="A890" s="117"/>
      <c r="B890" s="117"/>
      <c r="C890" s="117"/>
      <c r="D890" s="117"/>
      <c r="E890" s="127"/>
      <c r="F890" s="127"/>
      <c r="G890" s="117"/>
      <c r="H890" s="127"/>
      <c r="I890" s="12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  <c r="AA890" s="117"/>
      <c r="AB890" s="117"/>
      <c r="AC890" s="117"/>
      <c r="AD890" s="117"/>
      <c r="AE890" s="117"/>
    </row>
    <row r="891">
      <c r="A891" s="117"/>
      <c r="B891" s="117"/>
      <c r="C891" s="117"/>
      <c r="D891" s="117"/>
      <c r="E891" s="127"/>
      <c r="F891" s="127"/>
      <c r="G891" s="117"/>
      <c r="H891" s="127"/>
      <c r="I891" s="12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  <c r="AA891" s="117"/>
      <c r="AB891" s="117"/>
      <c r="AC891" s="117"/>
      <c r="AD891" s="117"/>
      <c r="AE891" s="117"/>
    </row>
    <row r="892">
      <c r="A892" s="117"/>
      <c r="B892" s="117"/>
      <c r="C892" s="117"/>
      <c r="D892" s="117"/>
      <c r="E892" s="127"/>
      <c r="F892" s="127"/>
      <c r="G892" s="117"/>
      <c r="H892" s="127"/>
      <c r="I892" s="12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  <c r="AA892" s="117"/>
      <c r="AB892" s="117"/>
      <c r="AC892" s="117"/>
      <c r="AD892" s="117"/>
      <c r="AE892" s="117"/>
    </row>
    <row r="893">
      <c r="A893" s="117"/>
      <c r="B893" s="117"/>
      <c r="C893" s="117"/>
      <c r="D893" s="117"/>
      <c r="E893" s="127"/>
      <c r="F893" s="127"/>
      <c r="G893" s="117"/>
      <c r="H893" s="127"/>
      <c r="I893" s="12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  <c r="AA893" s="117"/>
      <c r="AB893" s="117"/>
      <c r="AC893" s="117"/>
      <c r="AD893" s="117"/>
      <c r="AE893" s="117"/>
    </row>
    <row r="894">
      <c r="A894" s="117"/>
      <c r="B894" s="117"/>
      <c r="C894" s="117"/>
      <c r="D894" s="117"/>
      <c r="E894" s="127"/>
      <c r="F894" s="127"/>
      <c r="G894" s="117"/>
      <c r="H894" s="127"/>
      <c r="I894" s="12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  <c r="AA894" s="117"/>
      <c r="AB894" s="117"/>
      <c r="AC894" s="117"/>
      <c r="AD894" s="117"/>
      <c r="AE894" s="117"/>
    </row>
    <row r="895">
      <c r="A895" s="117"/>
      <c r="B895" s="117"/>
      <c r="C895" s="117"/>
      <c r="D895" s="117"/>
      <c r="E895" s="127"/>
      <c r="F895" s="127"/>
      <c r="G895" s="117"/>
      <c r="H895" s="127"/>
      <c r="I895" s="12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  <c r="AA895" s="117"/>
      <c r="AB895" s="117"/>
      <c r="AC895" s="117"/>
      <c r="AD895" s="117"/>
      <c r="AE895" s="117"/>
    </row>
    <row r="896">
      <c r="A896" s="117"/>
      <c r="B896" s="117"/>
      <c r="C896" s="117"/>
      <c r="D896" s="117"/>
      <c r="E896" s="127"/>
      <c r="F896" s="127"/>
      <c r="G896" s="117"/>
      <c r="H896" s="127"/>
      <c r="I896" s="12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117"/>
      <c r="AB896" s="117"/>
      <c r="AC896" s="117"/>
      <c r="AD896" s="117"/>
      <c r="AE896" s="117"/>
    </row>
    <row r="897">
      <c r="A897" s="117"/>
      <c r="B897" s="117"/>
      <c r="C897" s="117"/>
      <c r="D897" s="117"/>
      <c r="E897" s="127"/>
      <c r="F897" s="127"/>
      <c r="G897" s="117"/>
      <c r="H897" s="127"/>
      <c r="I897" s="12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  <c r="AA897" s="117"/>
      <c r="AB897" s="117"/>
      <c r="AC897" s="117"/>
      <c r="AD897" s="117"/>
      <c r="AE897" s="117"/>
    </row>
    <row r="898">
      <c r="A898" s="117"/>
      <c r="B898" s="117"/>
      <c r="C898" s="117"/>
      <c r="D898" s="117"/>
      <c r="E898" s="127"/>
      <c r="F898" s="127"/>
      <c r="G898" s="117"/>
      <c r="H898" s="127"/>
      <c r="I898" s="12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  <c r="AA898" s="117"/>
      <c r="AB898" s="117"/>
      <c r="AC898" s="117"/>
      <c r="AD898" s="117"/>
      <c r="AE898" s="117"/>
    </row>
    <row r="899">
      <c r="A899" s="117"/>
      <c r="B899" s="117"/>
      <c r="C899" s="117"/>
      <c r="D899" s="117"/>
      <c r="E899" s="127"/>
      <c r="F899" s="127"/>
      <c r="G899" s="117"/>
      <c r="H899" s="127"/>
      <c r="I899" s="12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  <c r="AA899" s="117"/>
      <c r="AB899" s="117"/>
      <c r="AC899" s="117"/>
      <c r="AD899" s="117"/>
      <c r="AE899" s="117"/>
    </row>
    <row r="900">
      <c r="A900" s="117"/>
      <c r="B900" s="117"/>
      <c r="C900" s="117"/>
      <c r="D900" s="117"/>
      <c r="E900" s="127"/>
      <c r="F900" s="127"/>
      <c r="G900" s="117"/>
      <c r="H900" s="127"/>
      <c r="I900" s="12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  <c r="AA900" s="117"/>
      <c r="AB900" s="117"/>
      <c r="AC900" s="117"/>
      <c r="AD900" s="117"/>
      <c r="AE900" s="117"/>
    </row>
    <row r="901">
      <c r="A901" s="117"/>
      <c r="B901" s="117"/>
      <c r="C901" s="117"/>
      <c r="D901" s="117"/>
      <c r="E901" s="127"/>
      <c r="F901" s="127"/>
      <c r="G901" s="117"/>
      <c r="H901" s="127"/>
      <c r="I901" s="12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  <c r="AA901" s="117"/>
      <c r="AB901" s="117"/>
      <c r="AC901" s="117"/>
      <c r="AD901" s="117"/>
      <c r="AE901" s="117"/>
    </row>
    <row r="902">
      <c r="A902" s="117"/>
      <c r="B902" s="117"/>
      <c r="C902" s="117"/>
      <c r="D902" s="117"/>
      <c r="E902" s="127"/>
      <c r="F902" s="127"/>
      <c r="G902" s="117"/>
      <c r="H902" s="127"/>
      <c r="I902" s="12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  <c r="AA902" s="117"/>
      <c r="AB902" s="117"/>
      <c r="AC902" s="117"/>
      <c r="AD902" s="117"/>
      <c r="AE902" s="117"/>
    </row>
    <row r="903">
      <c r="A903" s="117"/>
      <c r="B903" s="117"/>
      <c r="C903" s="117"/>
      <c r="D903" s="117"/>
      <c r="E903" s="127"/>
      <c r="F903" s="127"/>
      <c r="G903" s="117"/>
      <c r="H903" s="127"/>
      <c r="I903" s="12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  <c r="AA903" s="117"/>
      <c r="AB903" s="117"/>
      <c r="AC903" s="117"/>
      <c r="AD903" s="117"/>
      <c r="AE903" s="117"/>
    </row>
    <row r="904">
      <c r="A904" s="117"/>
      <c r="B904" s="117"/>
      <c r="C904" s="117"/>
      <c r="D904" s="117"/>
      <c r="E904" s="127"/>
      <c r="F904" s="127"/>
      <c r="G904" s="117"/>
      <c r="H904" s="127"/>
      <c r="I904" s="12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  <c r="AA904" s="117"/>
      <c r="AB904" s="117"/>
      <c r="AC904" s="117"/>
      <c r="AD904" s="117"/>
      <c r="AE904" s="117"/>
    </row>
    <row r="905">
      <c r="A905" s="117"/>
      <c r="B905" s="117"/>
      <c r="C905" s="117"/>
      <c r="D905" s="117"/>
      <c r="E905" s="127"/>
      <c r="F905" s="127"/>
      <c r="G905" s="117"/>
      <c r="H905" s="127"/>
      <c r="I905" s="12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  <c r="AA905" s="117"/>
      <c r="AB905" s="117"/>
      <c r="AC905" s="117"/>
      <c r="AD905" s="117"/>
      <c r="AE905" s="117"/>
    </row>
    <row r="906">
      <c r="A906" s="117"/>
      <c r="B906" s="117"/>
      <c r="C906" s="117"/>
      <c r="D906" s="117"/>
      <c r="E906" s="127"/>
      <c r="F906" s="127"/>
      <c r="G906" s="117"/>
      <c r="H906" s="127"/>
      <c r="I906" s="12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  <c r="AA906" s="117"/>
      <c r="AB906" s="117"/>
      <c r="AC906" s="117"/>
      <c r="AD906" s="117"/>
      <c r="AE906" s="117"/>
    </row>
    <row r="907">
      <c r="A907" s="117"/>
      <c r="B907" s="117"/>
      <c r="C907" s="117"/>
      <c r="D907" s="117"/>
      <c r="E907" s="127"/>
      <c r="F907" s="127"/>
      <c r="G907" s="117"/>
      <c r="H907" s="127"/>
      <c r="I907" s="12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  <c r="AA907" s="117"/>
      <c r="AB907" s="117"/>
      <c r="AC907" s="117"/>
      <c r="AD907" s="117"/>
      <c r="AE907" s="117"/>
    </row>
    <row r="908">
      <c r="A908" s="117"/>
      <c r="B908" s="117"/>
      <c r="C908" s="117"/>
      <c r="D908" s="117"/>
      <c r="E908" s="127"/>
      <c r="F908" s="127"/>
      <c r="G908" s="117"/>
      <c r="H908" s="127"/>
      <c r="I908" s="12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  <c r="AA908" s="117"/>
      <c r="AB908" s="117"/>
      <c r="AC908" s="117"/>
      <c r="AD908" s="117"/>
      <c r="AE908" s="117"/>
    </row>
    <row r="909">
      <c r="A909" s="117"/>
      <c r="B909" s="117"/>
      <c r="C909" s="117"/>
      <c r="D909" s="117"/>
      <c r="E909" s="127"/>
      <c r="F909" s="127"/>
      <c r="G909" s="117"/>
      <c r="H909" s="127"/>
      <c r="I909" s="12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  <c r="AA909" s="117"/>
      <c r="AB909" s="117"/>
      <c r="AC909" s="117"/>
      <c r="AD909" s="117"/>
      <c r="AE909" s="117"/>
    </row>
    <row r="910">
      <c r="A910" s="117"/>
      <c r="B910" s="117"/>
      <c r="C910" s="117"/>
      <c r="D910" s="117"/>
      <c r="E910" s="127"/>
      <c r="F910" s="127"/>
      <c r="G910" s="117"/>
      <c r="H910" s="127"/>
      <c r="I910" s="12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  <c r="AA910" s="117"/>
      <c r="AB910" s="117"/>
      <c r="AC910" s="117"/>
      <c r="AD910" s="117"/>
      <c r="AE910" s="117"/>
    </row>
    <row r="911">
      <c r="A911" s="117"/>
      <c r="B911" s="117"/>
      <c r="C911" s="117"/>
      <c r="D911" s="117"/>
      <c r="E911" s="127"/>
      <c r="F911" s="127"/>
      <c r="G911" s="117"/>
      <c r="H911" s="127"/>
      <c r="I911" s="12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  <c r="AA911" s="117"/>
      <c r="AB911" s="117"/>
      <c r="AC911" s="117"/>
      <c r="AD911" s="117"/>
      <c r="AE911" s="117"/>
    </row>
    <row r="912">
      <c r="A912" s="117"/>
      <c r="B912" s="117"/>
      <c r="C912" s="117"/>
      <c r="D912" s="117"/>
      <c r="E912" s="127"/>
      <c r="F912" s="127"/>
      <c r="G912" s="117"/>
      <c r="H912" s="127"/>
      <c r="I912" s="12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  <c r="AA912" s="117"/>
      <c r="AB912" s="117"/>
      <c r="AC912" s="117"/>
      <c r="AD912" s="117"/>
      <c r="AE912" s="117"/>
    </row>
    <row r="913">
      <c r="A913" s="117"/>
      <c r="B913" s="117"/>
      <c r="C913" s="117"/>
      <c r="D913" s="117"/>
      <c r="E913" s="127"/>
      <c r="F913" s="127"/>
      <c r="G913" s="117"/>
      <c r="H913" s="127"/>
      <c r="I913" s="12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  <c r="AA913" s="117"/>
      <c r="AB913" s="117"/>
      <c r="AC913" s="117"/>
      <c r="AD913" s="117"/>
      <c r="AE913" s="117"/>
    </row>
    <row r="914">
      <c r="A914" s="117"/>
      <c r="B914" s="117"/>
      <c r="C914" s="117"/>
      <c r="D914" s="117"/>
      <c r="E914" s="127"/>
      <c r="F914" s="127"/>
      <c r="G914" s="117"/>
      <c r="H914" s="127"/>
      <c r="I914" s="12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  <c r="AA914" s="117"/>
      <c r="AB914" s="117"/>
      <c r="AC914" s="117"/>
      <c r="AD914" s="117"/>
      <c r="AE914" s="117"/>
    </row>
    <row r="915">
      <c r="A915" s="117"/>
      <c r="B915" s="117"/>
      <c r="C915" s="117"/>
      <c r="D915" s="117"/>
      <c r="E915" s="127"/>
      <c r="F915" s="127"/>
      <c r="G915" s="117"/>
      <c r="H915" s="127"/>
      <c r="I915" s="12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  <c r="AA915" s="117"/>
      <c r="AB915" s="117"/>
      <c r="AC915" s="117"/>
      <c r="AD915" s="117"/>
      <c r="AE915" s="117"/>
    </row>
    <row r="916">
      <c r="A916" s="117"/>
      <c r="B916" s="117"/>
      <c r="C916" s="117"/>
      <c r="D916" s="117"/>
      <c r="E916" s="127"/>
      <c r="F916" s="127"/>
      <c r="G916" s="117"/>
      <c r="H916" s="127"/>
      <c r="I916" s="12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  <c r="AA916" s="117"/>
      <c r="AB916" s="117"/>
      <c r="AC916" s="117"/>
      <c r="AD916" s="117"/>
      <c r="AE916" s="117"/>
    </row>
    <row r="917">
      <c r="A917" s="117"/>
      <c r="B917" s="117"/>
      <c r="C917" s="117"/>
      <c r="D917" s="117"/>
      <c r="E917" s="127"/>
      <c r="F917" s="127"/>
      <c r="G917" s="117"/>
      <c r="H917" s="127"/>
      <c r="I917" s="12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  <c r="AA917" s="117"/>
      <c r="AB917" s="117"/>
      <c r="AC917" s="117"/>
      <c r="AD917" s="117"/>
      <c r="AE917" s="117"/>
    </row>
    <row r="918">
      <c r="A918" s="117"/>
      <c r="B918" s="117"/>
      <c r="C918" s="117"/>
      <c r="D918" s="117"/>
      <c r="E918" s="127"/>
      <c r="F918" s="127"/>
      <c r="G918" s="117"/>
      <c r="H918" s="127"/>
      <c r="I918" s="12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  <c r="AA918" s="117"/>
      <c r="AB918" s="117"/>
      <c r="AC918" s="117"/>
      <c r="AD918" s="117"/>
      <c r="AE918" s="117"/>
    </row>
    <row r="919">
      <c r="A919" s="117"/>
      <c r="B919" s="117"/>
      <c r="C919" s="117"/>
      <c r="D919" s="117"/>
      <c r="E919" s="127"/>
      <c r="F919" s="127"/>
      <c r="G919" s="117"/>
      <c r="H919" s="127"/>
      <c r="I919" s="12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  <c r="AA919" s="117"/>
      <c r="AB919" s="117"/>
      <c r="AC919" s="117"/>
      <c r="AD919" s="117"/>
      <c r="AE919" s="117"/>
    </row>
    <row r="920">
      <c r="A920" s="117"/>
      <c r="B920" s="117"/>
      <c r="C920" s="117"/>
      <c r="D920" s="117"/>
      <c r="E920" s="127"/>
      <c r="F920" s="127"/>
      <c r="G920" s="117"/>
      <c r="H920" s="127"/>
      <c r="I920" s="12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  <c r="AA920" s="117"/>
      <c r="AB920" s="117"/>
      <c r="AC920" s="117"/>
      <c r="AD920" s="117"/>
      <c r="AE920" s="117"/>
    </row>
    <row r="921">
      <c r="A921" s="117"/>
      <c r="B921" s="117"/>
      <c r="C921" s="117"/>
      <c r="D921" s="117"/>
      <c r="E921" s="127"/>
      <c r="F921" s="127"/>
      <c r="G921" s="117"/>
      <c r="H921" s="127"/>
      <c r="I921" s="12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  <c r="AA921" s="117"/>
      <c r="AB921" s="117"/>
      <c r="AC921" s="117"/>
      <c r="AD921" s="117"/>
      <c r="AE921" s="117"/>
    </row>
    <row r="922">
      <c r="A922" s="117"/>
      <c r="B922" s="117"/>
      <c r="C922" s="117"/>
      <c r="D922" s="117"/>
      <c r="E922" s="127"/>
      <c r="F922" s="127"/>
      <c r="G922" s="117"/>
      <c r="H922" s="127"/>
      <c r="I922" s="12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  <c r="AA922" s="117"/>
      <c r="AB922" s="117"/>
      <c r="AC922" s="117"/>
      <c r="AD922" s="117"/>
      <c r="AE922" s="117"/>
    </row>
    <row r="923">
      <c r="A923" s="117"/>
      <c r="B923" s="117"/>
      <c r="C923" s="117"/>
      <c r="D923" s="117"/>
      <c r="E923" s="127"/>
      <c r="F923" s="127"/>
      <c r="G923" s="117"/>
      <c r="H923" s="127"/>
      <c r="I923" s="12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  <c r="AA923" s="117"/>
      <c r="AB923" s="117"/>
      <c r="AC923" s="117"/>
      <c r="AD923" s="117"/>
      <c r="AE923" s="117"/>
    </row>
    <row r="924">
      <c r="A924" s="117"/>
      <c r="B924" s="117"/>
      <c r="C924" s="117"/>
      <c r="D924" s="117"/>
      <c r="E924" s="127"/>
      <c r="F924" s="127"/>
      <c r="G924" s="117"/>
      <c r="H924" s="127"/>
      <c r="I924" s="12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  <c r="AA924" s="117"/>
      <c r="AB924" s="117"/>
      <c r="AC924" s="117"/>
      <c r="AD924" s="117"/>
      <c r="AE924" s="117"/>
    </row>
    <row r="925">
      <c r="A925" s="117"/>
      <c r="B925" s="117"/>
      <c r="C925" s="117"/>
      <c r="D925" s="117"/>
      <c r="E925" s="127"/>
      <c r="F925" s="127"/>
      <c r="G925" s="117"/>
      <c r="H925" s="127"/>
      <c r="I925" s="12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  <c r="AA925" s="117"/>
      <c r="AB925" s="117"/>
      <c r="AC925" s="117"/>
      <c r="AD925" s="117"/>
      <c r="AE925" s="117"/>
    </row>
    <row r="926">
      <c r="A926" s="117"/>
      <c r="B926" s="117"/>
      <c r="C926" s="117"/>
      <c r="D926" s="117"/>
      <c r="E926" s="127"/>
      <c r="F926" s="127"/>
      <c r="G926" s="117"/>
      <c r="H926" s="127"/>
      <c r="I926" s="12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  <c r="AA926" s="117"/>
      <c r="AB926" s="117"/>
      <c r="AC926" s="117"/>
      <c r="AD926" s="117"/>
      <c r="AE926" s="117"/>
    </row>
    <row r="927">
      <c r="A927" s="117"/>
      <c r="B927" s="117"/>
      <c r="C927" s="117"/>
      <c r="D927" s="117"/>
      <c r="E927" s="127"/>
      <c r="F927" s="127"/>
      <c r="G927" s="117"/>
      <c r="H927" s="127"/>
      <c r="I927" s="12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  <c r="AA927" s="117"/>
      <c r="AB927" s="117"/>
      <c r="AC927" s="117"/>
      <c r="AD927" s="117"/>
      <c r="AE927" s="117"/>
    </row>
    <row r="928">
      <c r="A928" s="117"/>
      <c r="B928" s="117"/>
      <c r="C928" s="117"/>
      <c r="D928" s="117"/>
      <c r="E928" s="127"/>
      <c r="F928" s="127"/>
      <c r="G928" s="117"/>
      <c r="H928" s="127"/>
      <c r="I928" s="12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  <c r="AA928" s="117"/>
      <c r="AB928" s="117"/>
      <c r="AC928" s="117"/>
      <c r="AD928" s="117"/>
      <c r="AE928" s="117"/>
    </row>
    <row r="929">
      <c r="A929" s="117"/>
      <c r="B929" s="117"/>
      <c r="C929" s="117"/>
      <c r="D929" s="117"/>
      <c r="E929" s="127"/>
      <c r="F929" s="127"/>
      <c r="G929" s="117"/>
      <c r="H929" s="127"/>
      <c r="I929" s="12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  <c r="AA929" s="117"/>
      <c r="AB929" s="117"/>
      <c r="AC929" s="117"/>
      <c r="AD929" s="117"/>
      <c r="AE929" s="117"/>
    </row>
    <row r="930">
      <c r="A930" s="117"/>
      <c r="B930" s="117"/>
      <c r="C930" s="117"/>
      <c r="D930" s="117"/>
      <c r="E930" s="127"/>
      <c r="F930" s="127"/>
      <c r="G930" s="117"/>
      <c r="H930" s="127"/>
      <c r="I930" s="12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  <c r="AA930" s="117"/>
      <c r="AB930" s="117"/>
      <c r="AC930" s="117"/>
      <c r="AD930" s="117"/>
      <c r="AE930" s="117"/>
    </row>
    <row r="931">
      <c r="A931" s="117"/>
      <c r="B931" s="117"/>
      <c r="C931" s="117"/>
      <c r="D931" s="117"/>
      <c r="E931" s="127"/>
      <c r="F931" s="127"/>
      <c r="G931" s="117"/>
      <c r="H931" s="127"/>
      <c r="I931" s="12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  <c r="AA931" s="117"/>
      <c r="AB931" s="117"/>
      <c r="AC931" s="117"/>
      <c r="AD931" s="117"/>
      <c r="AE931" s="117"/>
    </row>
    <row r="932">
      <c r="A932" s="117"/>
      <c r="B932" s="117"/>
      <c r="C932" s="117"/>
      <c r="D932" s="117"/>
      <c r="E932" s="127"/>
      <c r="F932" s="127"/>
      <c r="G932" s="117"/>
      <c r="H932" s="127"/>
      <c r="I932" s="12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  <c r="AA932" s="117"/>
      <c r="AB932" s="117"/>
      <c r="AC932" s="117"/>
      <c r="AD932" s="117"/>
      <c r="AE932" s="117"/>
    </row>
    <row r="933">
      <c r="A933" s="117"/>
      <c r="B933" s="117"/>
      <c r="C933" s="117"/>
      <c r="D933" s="117"/>
      <c r="E933" s="127"/>
      <c r="F933" s="127"/>
      <c r="G933" s="117"/>
      <c r="H933" s="127"/>
      <c r="I933" s="12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  <c r="AA933" s="117"/>
      <c r="AB933" s="117"/>
      <c r="AC933" s="117"/>
      <c r="AD933" s="117"/>
      <c r="AE933" s="117"/>
    </row>
    <row r="934">
      <c r="A934" s="117"/>
      <c r="B934" s="117"/>
      <c r="C934" s="117"/>
      <c r="D934" s="117"/>
      <c r="E934" s="127"/>
      <c r="F934" s="127"/>
      <c r="G934" s="117"/>
      <c r="H934" s="127"/>
      <c r="I934" s="12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117"/>
      <c r="AB934" s="117"/>
      <c r="AC934" s="117"/>
      <c r="AD934" s="117"/>
      <c r="AE934" s="117"/>
    </row>
    <row r="935">
      <c r="A935" s="117"/>
      <c r="B935" s="117"/>
      <c r="C935" s="117"/>
      <c r="D935" s="117"/>
      <c r="E935" s="127"/>
      <c r="F935" s="127"/>
      <c r="G935" s="117"/>
      <c r="H935" s="127"/>
      <c r="I935" s="12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  <c r="AA935" s="117"/>
      <c r="AB935" s="117"/>
      <c r="AC935" s="117"/>
      <c r="AD935" s="117"/>
      <c r="AE935" s="117"/>
    </row>
    <row r="936">
      <c r="A936" s="117"/>
      <c r="B936" s="117"/>
      <c r="C936" s="117"/>
      <c r="D936" s="117"/>
      <c r="E936" s="127"/>
      <c r="F936" s="127"/>
      <c r="G936" s="117"/>
      <c r="H936" s="127"/>
      <c r="I936" s="12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  <c r="AA936" s="117"/>
      <c r="AB936" s="117"/>
      <c r="AC936" s="117"/>
      <c r="AD936" s="117"/>
      <c r="AE936" s="117"/>
    </row>
    <row r="937">
      <c r="A937" s="117"/>
      <c r="B937" s="117"/>
      <c r="C937" s="117"/>
      <c r="D937" s="117"/>
      <c r="E937" s="127"/>
      <c r="F937" s="127"/>
      <c r="G937" s="117"/>
      <c r="H937" s="127"/>
      <c r="I937" s="12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  <c r="AA937" s="117"/>
      <c r="AB937" s="117"/>
      <c r="AC937" s="117"/>
      <c r="AD937" s="117"/>
      <c r="AE937" s="117"/>
    </row>
    <row r="938">
      <c r="A938" s="117"/>
      <c r="B938" s="117"/>
      <c r="C938" s="117"/>
      <c r="D938" s="117"/>
      <c r="E938" s="127"/>
      <c r="F938" s="127"/>
      <c r="G938" s="117"/>
      <c r="H938" s="127"/>
      <c r="I938" s="12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  <c r="AA938" s="117"/>
      <c r="AB938" s="117"/>
      <c r="AC938" s="117"/>
      <c r="AD938" s="117"/>
      <c r="AE938" s="117"/>
    </row>
    <row r="939">
      <c r="A939" s="117"/>
      <c r="B939" s="117"/>
      <c r="C939" s="117"/>
      <c r="D939" s="117"/>
      <c r="E939" s="127"/>
      <c r="F939" s="127"/>
      <c r="G939" s="117"/>
      <c r="H939" s="127"/>
      <c r="I939" s="12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  <c r="AA939" s="117"/>
      <c r="AB939" s="117"/>
      <c r="AC939" s="117"/>
      <c r="AD939" s="117"/>
      <c r="AE939" s="117"/>
    </row>
    <row r="940">
      <c r="A940" s="117"/>
      <c r="B940" s="117"/>
      <c r="C940" s="117"/>
      <c r="D940" s="117"/>
      <c r="E940" s="127"/>
      <c r="F940" s="127"/>
      <c r="G940" s="117"/>
      <c r="H940" s="127"/>
      <c r="I940" s="12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  <c r="AA940" s="117"/>
      <c r="AB940" s="117"/>
      <c r="AC940" s="117"/>
      <c r="AD940" s="117"/>
      <c r="AE940" s="117"/>
    </row>
    <row r="941">
      <c r="A941" s="117"/>
      <c r="B941" s="117"/>
      <c r="C941" s="117"/>
      <c r="D941" s="117"/>
      <c r="E941" s="127"/>
      <c r="F941" s="127"/>
      <c r="G941" s="117"/>
      <c r="H941" s="127"/>
      <c r="I941" s="12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  <c r="AA941" s="117"/>
      <c r="AB941" s="117"/>
      <c r="AC941" s="117"/>
      <c r="AD941" s="117"/>
      <c r="AE941" s="117"/>
    </row>
    <row r="942">
      <c r="A942" s="117"/>
      <c r="B942" s="117"/>
      <c r="C942" s="117"/>
      <c r="D942" s="117"/>
      <c r="E942" s="127"/>
      <c r="F942" s="127"/>
      <c r="G942" s="117"/>
      <c r="H942" s="127"/>
      <c r="I942" s="12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  <c r="AA942" s="117"/>
      <c r="AB942" s="117"/>
      <c r="AC942" s="117"/>
      <c r="AD942" s="117"/>
      <c r="AE942" s="117"/>
    </row>
    <row r="943">
      <c r="A943" s="117"/>
      <c r="B943" s="117"/>
      <c r="C943" s="117"/>
      <c r="D943" s="117"/>
      <c r="E943" s="127"/>
      <c r="F943" s="127"/>
      <c r="G943" s="117"/>
      <c r="H943" s="127"/>
      <c r="I943" s="12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  <c r="AA943" s="117"/>
      <c r="AB943" s="117"/>
      <c r="AC943" s="117"/>
      <c r="AD943" s="117"/>
      <c r="AE943" s="117"/>
    </row>
    <row r="944">
      <c r="A944" s="117"/>
      <c r="B944" s="117"/>
      <c r="C944" s="117"/>
      <c r="D944" s="117"/>
      <c r="E944" s="127"/>
      <c r="F944" s="127"/>
      <c r="G944" s="117"/>
      <c r="H944" s="127"/>
      <c r="I944" s="12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  <c r="AA944" s="117"/>
      <c r="AB944" s="117"/>
      <c r="AC944" s="117"/>
      <c r="AD944" s="117"/>
      <c r="AE944" s="117"/>
    </row>
    <row r="945">
      <c r="A945" s="117"/>
      <c r="B945" s="117"/>
      <c r="C945" s="117"/>
      <c r="D945" s="117"/>
      <c r="E945" s="127"/>
      <c r="F945" s="127"/>
      <c r="G945" s="117"/>
      <c r="H945" s="127"/>
      <c r="I945" s="12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  <c r="AA945" s="117"/>
      <c r="AB945" s="117"/>
      <c r="AC945" s="117"/>
      <c r="AD945" s="117"/>
      <c r="AE945" s="117"/>
    </row>
    <row r="946">
      <c r="A946" s="117"/>
      <c r="B946" s="117"/>
      <c r="C946" s="117"/>
      <c r="D946" s="117"/>
      <c r="E946" s="127"/>
      <c r="F946" s="127"/>
      <c r="G946" s="117"/>
      <c r="H946" s="127"/>
      <c r="I946" s="12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  <c r="AA946" s="117"/>
      <c r="AB946" s="117"/>
      <c r="AC946" s="117"/>
      <c r="AD946" s="117"/>
      <c r="AE946" s="117"/>
    </row>
    <row r="947">
      <c r="A947" s="117"/>
      <c r="B947" s="117"/>
      <c r="C947" s="117"/>
      <c r="D947" s="117"/>
      <c r="E947" s="127"/>
      <c r="F947" s="127"/>
      <c r="G947" s="117"/>
      <c r="H947" s="127"/>
      <c r="I947" s="12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  <c r="AA947" s="117"/>
      <c r="AB947" s="117"/>
      <c r="AC947" s="117"/>
      <c r="AD947" s="117"/>
      <c r="AE947" s="117"/>
    </row>
    <row r="948">
      <c r="A948" s="117"/>
      <c r="B948" s="117"/>
      <c r="C948" s="117"/>
      <c r="D948" s="117"/>
      <c r="E948" s="127"/>
      <c r="F948" s="127"/>
      <c r="G948" s="117"/>
      <c r="H948" s="127"/>
      <c r="I948" s="12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  <c r="AA948" s="117"/>
      <c r="AB948" s="117"/>
      <c r="AC948" s="117"/>
      <c r="AD948" s="117"/>
      <c r="AE948" s="117"/>
    </row>
    <row r="949">
      <c r="A949" s="117"/>
      <c r="B949" s="117"/>
      <c r="C949" s="117"/>
      <c r="D949" s="117"/>
      <c r="E949" s="127"/>
      <c r="F949" s="127"/>
      <c r="G949" s="117"/>
      <c r="H949" s="127"/>
      <c r="I949" s="12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  <c r="AA949" s="117"/>
      <c r="AB949" s="117"/>
      <c r="AC949" s="117"/>
      <c r="AD949" s="117"/>
      <c r="AE949" s="117"/>
    </row>
    <row r="950">
      <c r="A950" s="117"/>
      <c r="B950" s="117"/>
      <c r="C950" s="117"/>
      <c r="D950" s="117"/>
      <c r="E950" s="127"/>
      <c r="F950" s="127"/>
      <c r="G950" s="117"/>
      <c r="H950" s="127"/>
      <c r="I950" s="12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  <c r="AA950" s="117"/>
      <c r="AB950" s="117"/>
      <c r="AC950" s="117"/>
      <c r="AD950" s="117"/>
      <c r="AE950" s="117"/>
    </row>
    <row r="951">
      <c r="A951" s="117"/>
      <c r="B951" s="117"/>
      <c r="C951" s="117"/>
      <c r="D951" s="117"/>
      <c r="E951" s="127"/>
      <c r="F951" s="127"/>
      <c r="G951" s="117"/>
      <c r="H951" s="127"/>
      <c r="I951" s="12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  <c r="AA951" s="117"/>
      <c r="AB951" s="117"/>
      <c r="AC951" s="117"/>
      <c r="AD951" s="117"/>
      <c r="AE951" s="117"/>
    </row>
    <row r="952">
      <c r="A952" s="117"/>
      <c r="B952" s="117"/>
      <c r="C952" s="117"/>
      <c r="D952" s="117"/>
      <c r="E952" s="127"/>
      <c r="F952" s="127"/>
      <c r="G952" s="117"/>
      <c r="H952" s="127"/>
      <c r="I952" s="12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  <c r="AA952" s="117"/>
      <c r="AB952" s="117"/>
      <c r="AC952" s="117"/>
      <c r="AD952" s="117"/>
      <c r="AE952" s="117"/>
    </row>
    <row r="953">
      <c r="A953" s="117"/>
      <c r="B953" s="117"/>
      <c r="C953" s="117"/>
      <c r="D953" s="117"/>
      <c r="E953" s="127"/>
      <c r="F953" s="127"/>
      <c r="G953" s="117"/>
      <c r="H953" s="127"/>
      <c r="I953" s="12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  <c r="AA953" s="117"/>
      <c r="AB953" s="117"/>
      <c r="AC953" s="117"/>
      <c r="AD953" s="117"/>
      <c r="AE953" s="117"/>
    </row>
    <row r="954">
      <c r="A954" s="117"/>
      <c r="B954" s="117"/>
      <c r="C954" s="117"/>
      <c r="D954" s="117"/>
      <c r="E954" s="127"/>
      <c r="F954" s="127"/>
      <c r="G954" s="117"/>
      <c r="H954" s="127"/>
      <c r="I954" s="12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  <c r="AA954" s="117"/>
      <c r="AB954" s="117"/>
      <c r="AC954" s="117"/>
      <c r="AD954" s="117"/>
      <c r="AE954" s="117"/>
    </row>
    <row r="955">
      <c r="A955" s="117"/>
      <c r="B955" s="117"/>
      <c r="C955" s="117"/>
      <c r="D955" s="117"/>
      <c r="E955" s="127"/>
      <c r="F955" s="127"/>
      <c r="G955" s="117"/>
      <c r="H955" s="127"/>
      <c r="I955" s="12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  <c r="AA955" s="117"/>
      <c r="AB955" s="117"/>
      <c r="AC955" s="117"/>
      <c r="AD955" s="117"/>
      <c r="AE955" s="117"/>
    </row>
    <row r="956">
      <c r="A956" s="117"/>
      <c r="B956" s="117"/>
      <c r="C956" s="117"/>
      <c r="D956" s="117"/>
      <c r="E956" s="127"/>
      <c r="F956" s="127"/>
      <c r="G956" s="117"/>
      <c r="H956" s="127"/>
      <c r="I956" s="12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  <c r="AA956" s="117"/>
      <c r="AB956" s="117"/>
      <c r="AC956" s="117"/>
      <c r="AD956" s="117"/>
      <c r="AE956" s="117"/>
    </row>
    <row r="957">
      <c r="A957" s="117"/>
      <c r="B957" s="117"/>
      <c r="C957" s="117"/>
      <c r="D957" s="117"/>
      <c r="E957" s="127"/>
      <c r="F957" s="127"/>
      <c r="G957" s="117"/>
      <c r="H957" s="127"/>
      <c r="I957" s="12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  <c r="AA957" s="117"/>
      <c r="AB957" s="117"/>
      <c r="AC957" s="117"/>
      <c r="AD957" s="117"/>
      <c r="AE957" s="117"/>
    </row>
    <row r="958">
      <c r="A958" s="117"/>
      <c r="B958" s="117"/>
      <c r="C958" s="117"/>
      <c r="D958" s="117"/>
      <c r="E958" s="127"/>
      <c r="F958" s="127"/>
      <c r="G958" s="117"/>
      <c r="H958" s="127"/>
      <c r="I958" s="12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  <c r="AA958" s="117"/>
      <c r="AB958" s="117"/>
      <c r="AC958" s="117"/>
      <c r="AD958" s="117"/>
      <c r="AE958" s="117"/>
    </row>
    <row r="959">
      <c r="A959" s="117"/>
      <c r="B959" s="117"/>
      <c r="C959" s="117"/>
      <c r="D959" s="117"/>
      <c r="E959" s="127"/>
      <c r="F959" s="127"/>
      <c r="G959" s="117"/>
      <c r="H959" s="127"/>
      <c r="I959" s="12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  <c r="AA959" s="117"/>
      <c r="AB959" s="117"/>
      <c r="AC959" s="117"/>
      <c r="AD959" s="117"/>
      <c r="AE959" s="117"/>
    </row>
    <row r="960">
      <c r="A960" s="117"/>
      <c r="B960" s="117"/>
      <c r="C960" s="117"/>
      <c r="D960" s="117"/>
      <c r="E960" s="127"/>
      <c r="F960" s="127"/>
      <c r="G960" s="117"/>
      <c r="H960" s="127"/>
      <c r="I960" s="12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  <c r="AA960" s="117"/>
      <c r="AB960" s="117"/>
      <c r="AC960" s="117"/>
      <c r="AD960" s="117"/>
      <c r="AE960" s="117"/>
    </row>
    <row r="961">
      <c r="A961" s="117"/>
      <c r="B961" s="117"/>
      <c r="C961" s="117"/>
      <c r="D961" s="117"/>
      <c r="E961" s="127"/>
      <c r="F961" s="127"/>
      <c r="G961" s="117"/>
      <c r="H961" s="127"/>
      <c r="I961" s="12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  <c r="AA961" s="117"/>
      <c r="AB961" s="117"/>
      <c r="AC961" s="117"/>
      <c r="AD961" s="117"/>
      <c r="AE961" s="117"/>
    </row>
    <row r="962">
      <c r="A962" s="117"/>
      <c r="B962" s="117"/>
      <c r="C962" s="117"/>
      <c r="D962" s="117"/>
      <c r="E962" s="127"/>
      <c r="F962" s="127"/>
      <c r="G962" s="117"/>
      <c r="H962" s="127"/>
      <c r="I962" s="12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  <c r="AA962" s="117"/>
      <c r="AB962" s="117"/>
      <c r="AC962" s="117"/>
      <c r="AD962" s="117"/>
      <c r="AE962" s="117"/>
    </row>
    <row r="963">
      <c r="A963" s="117"/>
      <c r="B963" s="117"/>
      <c r="C963" s="117"/>
      <c r="D963" s="117"/>
      <c r="E963" s="127"/>
      <c r="F963" s="127"/>
      <c r="G963" s="117"/>
      <c r="H963" s="127"/>
      <c r="I963" s="12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  <c r="AA963" s="117"/>
      <c r="AB963" s="117"/>
      <c r="AC963" s="117"/>
      <c r="AD963" s="117"/>
      <c r="AE963" s="117"/>
    </row>
    <row r="964">
      <c r="A964" s="117"/>
      <c r="B964" s="117"/>
      <c r="C964" s="117"/>
      <c r="D964" s="117"/>
      <c r="E964" s="127"/>
      <c r="F964" s="127"/>
      <c r="G964" s="117"/>
      <c r="H964" s="127"/>
      <c r="I964" s="12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  <c r="AA964" s="117"/>
      <c r="AB964" s="117"/>
      <c r="AC964" s="117"/>
      <c r="AD964" s="117"/>
      <c r="AE964" s="117"/>
    </row>
    <row r="965">
      <c r="A965" s="117"/>
      <c r="B965" s="117"/>
      <c r="C965" s="117"/>
      <c r="D965" s="117"/>
      <c r="E965" s="127"/>
      <c r="F965" s="127"/>
      <c r="G965" s="117"/>
      <c r="H965" s="127"/>
      <c r="I965" s="12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  <c r="AA965" s="117"/>
      <c r="AB965" s="117"/>
      <c r="AC965" s="117"/>
      <c r="AD965" s="117"/>
      <c r="AE965" s="117"/>
    </row>
    <row r="966">
      <c r="A966" s="117"/>
      <c r="B966" s="117"/>
      <c r="C966" s="117"/>
      <c r="D966" s="117"/>
      <c r="E966" s="127"/>
      <c r="F966" s="127"/>
      <c r="G966" s="117"/>
      <c r="H966" s="127"/>
      <c r="I966" s="12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  <c r="AA966" s="117"/>
      <c r="AB966" s="117"/>
      <c r="AC966" s="117"/>
      <c r="AD966" s="117"/>
      <c r="AE966" s="117"/>
    </row>
    <row r="967">
      <c r="A967" s="117"/>
      <c r="B967" s="117"/>
      <c r="C967" s="117"/>
      <c r="D967" s="117"/>
      <c r="E967" s="127"/>
      <c r="F967" s="127"/>
      <c r="G967" s="117"/>
      <c r="H967" s="127"/>
      <c r="I967" s="12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  <c r="AA967" s="117"/>
      <c r="AB967" s="117"/>
      <c r="AC967" s="117"/>
      <c r="AD967" s="117"/>
      <c r="AE967" s="117"/>
    </row>
    <row r="968">
      <c r="A968" s="117"/>
      <c r="B968" s="117"/>
      <c r="C968" s="117"/>
      <c r="D968" s="117"/>
      <c r="E968" s="127"/>
      <c r="F968" s="127"/>
      <c r="G968" s="117"/>
      <c r="H968" s="127"/>
      <c r="I968" s="12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  <c r="AA968" s="117"/>
      <c r="AB968" s="117"/>
      <c r="AC968" s="117"/>
      <c r="AD968" s="117"/>
      <c r="AE968" s="117"/>
    </row>
    <row r="969">
      <c r="A969" s="117"/>
      <c r="B969" s="117"/>
      <c r="C969" s="117"/>
      <c r="D969" s="117"/>
      <c r="E969" s="127"/>
      <c r="F969" s="127"/>
      <c r="G969" s="117"/>
      <c r="H969" s="127"/>
      <c r="I969" s="12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  <c r="AA969" s="117"/>
      <c r="AB969" s="117"/>
      <c r="AC969" s="117"/>
      <c r="AD969" s="117"/>
      <c r="AE969" s="117"/>
    </row>
    <row r="970">
      <c r="A970" s="117"/>
      <c r="B970" s="117"/>
      <c r="C970" s="117"/>
      <c r="D970" s="117"/>
      <c r="E970" s="127"/>
      <c r="F970" s="127"/>
      <c r="G970" s="117"/>
      <c r="H970" s="127"/>
      <c r="I970" s="12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  <c r="AA970" s="117"/>
      <c r="AB970" s="117"/>
      <c r="AC970" s="117"/>
      <c r="AD970" s="117"/>
      <c r="AE970" s="117"/>
    </row>
    <row r="971">
      <c r="A971" s="117"/>
      <c r="B971" s="117"/>
      <c r="C971" s="117"/>
      <c r="D971" s="117"/>
      <c r="E971" s="127"/>
      <c r="F971" s="127"/>
      <c r="G971" s="117"/>
      <c r="H971" s="127"/>
      <c r="I971" s="12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  <c r="AA971" s="117"/>
      <c r="AB971" s="117"/>
      <c r="AC971" s="117"/>
      <c r="AD971" s="117"/>
      <c r="AE971" s="117"/>
    </row>
    <row r="972">
      <c r="A972" s="117"/>
      <c r="B972" s="117"/>
      <c r="C972" s="117"/>
      <c r="D972" s="117"/>
      <c r="E972" s="127"/>
      <c r="F972" s="127"/>
      <c r="G972" s="117"/>
      <c r="H972" s="127"/>
      <c r="I972" s="12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117"/>
      <c r="AB972" s="117"/>
      <c r="AC972" s="117"/>
      <c r="AD972" s="117"/>
      <c r="AE972" s="117"/>
    </row>
    <row r="973">
      <c r="A973" s="117"/>
      <c r="B973" s="117"/>
      <c r="C973" s="117"/>
      <c r="D973" s="117"/>
      <c r="E973" s="127"/>
      <c r="F973" s="127"/>
      <c r="G973" s="117"/>
      <c r="H973" s="127"/>
      <c r="I973" s="12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  <c r="AA973" s="117"/>
      <c r="AB973" s="117"/>
      <c r="AC973" s="117"/>
      <c r="AD973" s="117"/>
      <c r="AE973" s="117"/>
    </row>
    <row r="974">
      <c r="A974" s="117"/>
      <c r="B974" s="117"/>
      <c r="C974" s="117"/>
      <c r="D974" s="117"/>
      <c r="E974" s="127"/>
      <c r="F974" s="127"/>
      <c r="G974" s="117"/>
      <c r="H974" s="127"/>
      <c r="I974" s="12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  <c r="AA974" s="117"/>
      <c r="AB974" s="117"/>
      <c r="AC974" s="117"/>
      <c r="AD974" s="117"/>
      <c r="AE974" s="117"/>
    </row>
    <row r="975">
      <c r="A975" s="117"/>
      <c r="B975" s="117"/>
      <c r="C975" s="117"/>
      <c r="D975" s="117"/>
      <c r="E975" s="127"/>
      <c r="F975" s="127"/>
      <c r="G975" s="117"/>
      <c r="H975" s="127"/>
      <c r="I975" s="12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  <c r="AA975" s="117"/>
      <c r="AB975" s="117"/>
      <c r="AC975" s="117"/>
      <c r="AD975" s="117"/>
      <c r="AE975" s="117"/>
    </row>
    <row r="976">
      <c r="A976" s="117"/>
      <c r="B976" s="117"/>
      <c r="C976" s="117"/>
      <c r="D976" s="117"/>
      <c r="E976" s="127"/>
      <c r="F976" s="127"/>
      <c r="G976" s="117"/>
      <c r="H976" s="127"/>
      <c r="I976" s="12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  <c r="AA976" s="117"/>
      <c r="AB976" s="117"/>
      <c r="AC976" s="117"/>
      <c r="AD976" s="117"/>
      <c r="AE976" s="117"/>
    </row>
    <row r="977">
      <c r="A977" s="117"/>
      <c r="B977" s="117"/>
      <c r="C977" s="117"/>
      <c r="D977" s="117"/>
      <c r="E977" s="127"/>
      <c r="F977" s="127"/>
      <c r="G977" s="117"/>
      <c r="H977" s="127"/>
      <c r="I977" s="12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  <c r="AA977" s="117"/>
      <c r="AB977" s="117"/>
      <c r="AC977" s="117"/>
      <c r="AD977" s="117"/>
      <c r="AE977" s="117"/>
    </row>
    <row r="978">
      <c r="A978" s="117"/>
      <c r="B978" s="117"/>
      <c r="C978" s="117"/>
      <c r="D978" s="117"/>
      <c r="E978" s="127"/>
      <c r="F978" s="127"/>
      <c r="G978" s="117"/>
      <c r="H978" s="127"/>
      <c r="I978" s="12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  <c r="AA978" s="117"/>
      <c r="AB978" s="117"/>
      <c r="AC978" s="117"/>
      <c r="AD978" s="117"/>
      <c r="AE978" s="117"/>
    </row>
    <row r="979">
      <c r="A979" s="117"/>
      <c r="B979" s="117"/>
      <c r="C979" s="117"/>
      <c r="D979" s="117"/>
      <c r="E979" s="127"/>
      <c r="F979" s="127"/>
      <c r="G979" s="117"/>
      <c r="H979" s="127"/>
      <c r="I979" s="12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  <c r="AA979" s="117"/>
      <c r="AB979" s="117"/>
      <c r="AC979" s="117"/>
      <c r="AD979" s="117"/>
      <c r="AE979" s="117"/>
    </row>
    <row r="980">
      <c r="A980" s="117"/>
      <c r="B980" s="117"/>
      <c r="C980" s="117"/>
      <c r="D980" s="117"/>
      <c r="E980" s="127"/>
      <c r="F980" s="127"/>
      <c r="G980" s="117"/>
      <c r="H980" s="127"/>
      <c r="I980" s="12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  <c r="AA980" s="117"/>
      <c r="AB980" s="117"/>
      <c r="AC980" s="117"/>
      <c r="AD980" s="117"/>
      <c r="AE980" s="117"/>
    </row>
    <row r="981">
      <c r="A981" s="117"/>
      <c r="B981" s="117"/>
      <c r="C981" s="117"/>
      <c r="D981" s="117"/>
      <c r="E981" s="127"/>
      <c r="F981" s="127"/>
      <c r="G981" s="117"/>
      <c r="H981" s="127"/>
      <c r="I981" s="12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  <c r="AA981" s="117"/>
      <c r="AB981" s="117"/>
      <c r="AC981" s="117"/>
      <c r="AD981" s="117"/>
      <c r="AE981" s="117"/>
    </row>
    <row r="982">
      <c r="A982" s="117"/>
      <c r="B982" s="117"/>
      <c r="C982" s="117"/>
      <c r="D982" s="117"/>
      <c r="E982" s="127"/>
      <c r="F982" s="127"/>
      <c r="G982" s="117"/>
      <c r="H982" s="127"/>
      <c r="I982" s="12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  <c r="AA982" s="117"/>
      <c r="AB982" s="117"/>
      <c r="AC982" s="117"/>
      <c r="AD982" s="117"/>
      <c r="AE982" s="117"/>
    </row>
    <row r="983">
      <c r="A983" s="117"/>
      <c r="B983" s="117"/>
      <c r="C983" s="117"/>
      <c r="D983" s="117"/>
      <c r="E983" s="127"/>
      <c r="F983" s="127"/>
      <c r="G983" s="117"/>
      <c r="H983" s="127"/>
      <c r="I983" s="12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  <c r="AA983" s="117"/>
      <c r="AB983" s="117"/>
      <c r="AC983" s="117"/>
      <c r="AD983" s="117"/>
      <c r="AE983" s="117"/>
    </row>
    <row r="984">
      <c r="A984" s="117"/>
      <c r="B984" s="117"/>
      <c r="C984" s="117"/>
      <c r="D984" s="117"/>
      <c r="E984" s="127"/>
      <c r="F984" s="127"/>
      <c r="G984" s="117"/>
      <c r="H984" s="127"/>
      <c r="I984" s="12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  <c r="AA984" s="117"/>
      <c r="AB984" s="117"/>
      <c r="AC984" s="117"/>
      <c r="AD984" s="117"/>
      <c r="AE984" s="117"/>
    </row>
    <row r="985">
      <c r="A985" s="117"/>
      <c r="B985" s="117"/>
      <c r="C985" s="117"/>
      <c r="D985" s="117"/>
      <c r="E985" s="127"/>
      <c r="F985" s="127"/>
      <c r="G985" s="117"/>
      <c r="H985" s="127"/>
      <c r="I985" s="12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  <c r="AA985" s="117"/>
      <c r="AB985" s="117"/>
      <c r="AC985" s="117"/>
      <c r="AD985" s="117"/>
      <c r="AE985" s="117"/>
    </row>
    <row r="986">
      <c r="A986" s="117"/>
      <c r="B986" s="117"/>
      <c r="C986" s="117"/>
      <c r="D986" s="117"/>
      <c r="E986" s="127"/>
      <c r="F986" s="127"/>
      <c r="G986" s="117"/>
      <c r="H986" s="127"/>
      <c r="I986" s="12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  <c r="AA986" s="117"/>
      <c r="AB986" s="117"/>
      <c r="AC986" s="117"/>
      <c r="AD986" s="117"/>
      <c r="AE986" s="117"/>
    </row>
    <row r="987">
      <c r="A987" s="117"/>
      <c r="B987" s="117"/>
      <c r="C987" s="117"/>
      <c r="D987" s="117"/>
      <c r="E987" s="127"/>
      <c r="F987" s="127"/>
      <c r="G987" s="117"/>
      <c r="H987" s="127"/>
      <c r="I987" s="12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  <c r="AA987" s="117"/>
      <c r="AB987" s="117"/>
      <c r="AC987" s="117"/>
      <c r="AD987" s="117"/>
      <c r="AE987" s="117"/>
    </row>
    <row r="988">
      <c r="A988" s="117"/>
      <c r="B988" s="117"/>
      <c r="C988" s="117"/>
      <c r="D988" s="117"/>
      <c r="E988" s="127"/>
      <c r="F988" s="127"/>
      <c r="G988" s="117"/>
      <c r="H988" s="127"/>
      <c r="I988" s="12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  <c r="AA988" s="117"/>
      <c r="AB988" s="117"/>
      <c r="AC988" s="117"/>
      <c r="AD988" s="117"/>
      <c r="AE988" s="117"/>
    </row>
    <row r="989">
      <c r="A989" s="117"/>
      <c r="B989" s="117"/>
      <c r="C989" s="117"/>
      <c r="D989" s="117"/>
      <c r="E989" s="127"/>
      <c r="F989" s="127"/>
      <c r="G989" s="117"/>
      <c r="H989" s="127"/>
      <c r="I989" s="12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  <c r="AA989" s="117"/>
      <c r="AB989" s="117"/>
      <c r="AC989" s="117"/>
      <c r="AD989" s="117"/>
      <c r="AE989" s="117"/>
    </row>
    <row r="990">
      <c r="A990" s="117"/>
      <c r="B990" s="117"/>
      <c r="C990" s="117"/>
      <c r="D990" s="117"/>
      <c r="E990" s="127"/>
      <c r="F990" s="127"/>
      <c r="G990" s="117"/>
      <c r="H990" s="127"/>
      <c r="I990" s="12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  <c r="AA990" s="117"/>
      <c r="AB990" s="117"/>
      <c r="AC990" s="117"/>
      <c r="AD990" s="117"/>
      <c r="AE990" s="117"/>
    </row>
    <row r="991">
      <c r="A991" s="117"/>
      <c r="B991" s="117"/>
      <c r="C991" s="117"/>
      <c r="D991" s="117"/>
      <c r="E991" s="127"/>
      <c r="F991" s="127"/>
      <c r="G991" s="117"/>
      <c r="H991" s="127"/>
      <c r="I991" s="12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  <c r="AA991" s="117"/>
      <c r="AB991" s="117"/>
      <c r="AC991" s="117"/>
      <c r="AD991" s="117"/>
      <c r="AE991" s="117"/>
    </row>
    <row r="992">
      <c r="A992" s="117"/>
      <c r="B992" s="117"/>
      <c r="C992" s="117"/>
      <c r="D992" s="117"/>
      <c r="E992" s="127"/>
      <c r="F992" s="127"/>
      <c r="G992" s="117"/>
      <c r="H992" s="127"/>
      <c r="I992" s="12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  <c r="AA992" s="117"/>
      <c r="AB992" s="117"/>
      <c r="AC992" s="117"/>
      <c r="AD992" s="117"/>
      <c r="AE992" s="117"/>
    </row>
    <row r="993">
      <c r="A993" s="117"/>
      <c r="B993" s="117"/>
      <c r="C993" s="117"/>
      <c r="D993" s="117"/>
      <c r="E993" s="127"/>
      <c r="F993" s="127"/>
      <c r="G993" s="117"/>
      <c r="H993" s="127"/>
      <c r="I993" s="12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  <c r="AA993" s="117"/>
      <c r="AB993" s="117"/>
      <c r="AC993" s="117"/>
      <c r="AD993" s="117"/>
      <c r="AE993" s="117"/>
    </row>
    <row r="994">
      <c r="A994" s="117"/>
      <c r="B994" s="117"/>
      <c r="C994" s="117"/>
      <c r="D994" s="117"/>
      <c r="E994" s="127"/>
      <c r="F994" s="127"/>
      <c r="G994" s="117"/>
      <c r="H994" s="127"/>
      <c r="I994" s="12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  <c r="AA994" s="117"/>
      <c r="AB994" s="117"/>
      <c r="AC994" s="117"/>
      <c r="AD994" s="117"/>
      <c r="AE994" s="117"/>
    </row>
    <row r="995">
      <c r="A995" s="117"/>
      <c r="B995" s="117"/>
      <c r="C995" s="117"/>
      <c r="D995" s="117"/>
      <c r="E995" s="127"/>
      <c r="F995" s="127"/>
      <c r="G995" s="117"/>
      <c r="H995" s="127"/>
      <c r="I995" s="12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  <c r="AA995" s="117"/>
      <c r="AB995" s="117"/>
      <c r="AC995" s="117"/>
      <c r="AD995" s="117"/>
      <c r="AE995" s="117"/>
    </row>
    <row r="996">
      <c r="A996" s="117"/>
      <c r="B996" s="117"/>
      <c r="C996" s="117"/>
      <c r="D996" s="117"/>
      <c r="E996" s="127"/>
      <c r="F996" s="127"/>
      <c r="G996" s="117"/>
      <c r="H996" s="127"/>
      <c r="I996" s="12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  <c r="AA996" s="117"/>
      <c r="AB996" s="117"/>
      <c r="AC996" s="117"/>
      <c r="AD996" s="117"/>
      <c r="AE996" s="117"/>
    </row>
    <row r="997">
      <c r="A997" s="117"/>
      <c r="B997" s="117"/>
      <c r="C997" s="117"/>
      <c r="D997" s="117"/>
      <c r="E997" s="127"/>
      <c r="F997" s="127"/>
      <c r="G997" s="117"/>
      <c r="H997" s="127"/>
      <c r="I997" s="12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  <c r="AA997" s="117"/>
      <c r="AB997" s="117"/>
      <c r="AC997" s="117"/>
      <c r="AD997" s="117"/>
      <c r="AE997" s="117"/>
    </row>
    <row r="998">
      <c r="A998" s="117"/>
      <c r="B998" s="117"/>
      <c r="C998" s="117"/>
      <c r="D998" s="117"/>
      <c r="E998" s="127"/>
      <c r="F998" s="127"/>
      <c r="G998" s="117"/>
      <c r="H998" s="127"/>
      <c r="I998" s="12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  <c r="AA998" s="117"/>
      <c r="AB998" s="117"/>
      <c r="AC998" s="117"/>
      <c r="AD998" s="117"/>
      <c r="AE998" s="117"/>
    </row>
    <row r="999">
      <c r="A999" s="117"/>
      <c r="B999" s="117"/>
      <c r="C999" s="117"/>
      <c r="D999" s="117"/>
      <c r="E999" s="127"/>
      <c r="F999" s="127"/>
      <c r="G999" s="117"/>
      <c r="H999" s="127"/>
      <c r="I999" s="12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  <c r="AA999" s="117"/>
      <c r="AB999" s="117"/>
      <c r="AC999" s="117"/>
      <c r="AD999" s="117"/>
      <c r="AE999" s="117"/>
    </row>
    <row r="1000">
      <c r="A1000" s="117"/>
      <c r="B1000" s="117"/>
      <c r="C1000" s="117"/>
      <c r="D1000" s="117"/>
      <c r="E1000" s="127"/>
      <c r="F1000" s="127"/>
      <c r="G1000" s="117"/>
      <c r="H1000" s="127"/>
      <c r="I1000" s="12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  <c r="AA1000" s="117"/>
      <c r="AB1000" s="117"/>
      <c r="AC1000" s="117"/>
      <c r="AD1000" s="117"/>
      <c r="AE1000" s="117"/>
    </row>
    <row r="1001">
      <c r="A1001" s="117"/>
      <c r="B1001" s="117"/>
      <c r="C1001" s="117"/>
      <c r="D1001" s="117"/>
      <c r="E1001" s="127"/>
      <c r="F1001" s="127"/>
      <c r="G1001" s="117"/>
      <c r="H1001" s="127"/>
      <c r="I1001" s="127"/>
      <c r="J1001" s="117"/>
      <c r="K1001" s="117"/>
      <c r="L1001" s="117"/>
      <c r="M1001" s="117"/>
      <c r="N1001" s="117"/>
      <c r="O1001" s="117"/>
      <c r="P1001" s="117"/>
      <c r="Q1001" s="117"/>
      <c r="R1001" s="117"/>
      <c r="S1001" s="117"/>
      <c r="T1001" s="117"/>
      <c r="U1001" s="117"/>
      <c r="V1001" s="117"/>
      <c r="W1001" s="117"/>
      <c r="X1001" s="117"/>
      <c r="Y1001" s="117"/>
      <c r="Z1001" s="117"/>
      <c r="AA1001" s="117"/>
      <c r="AB1001" s="117"/>
      <c r="AC1001" s="117"/>
      <c r="AD1001" s="117"/>
      <c r="AE1001" s="117"/>
    </row>
  </sheetData>
  <dataValidations>
    <dataValidation type="list" allowBlank="1" showErrorMessage="1" sqref="M1">
      <formula1>"---------------,1й проект,2й проект,3й проект,4й проект"</formula1>
    </dataValidation>
    <dataValidation type="list" allowBlank="1" showErrorMessage="1" sqref="E1:F1 H1:I1">
      <formula1>"-----------------,Бишкекский филиал,Ошский филиал,Внешние стажёры(Биш),Внешние стажёры(Ош)"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8.25"/>
    <col customWidth="1" min="4" max="4" width="16.25"/>
    <col customWidth="1" min="5" max="5" width="14.38"/>
    <col customWidth="1" min="6" max="6" width="19.25"/>
    <col customWidth="1" min="7" max="7" width="10.5"/>
    <col customWidth="1" min="8" max="8" width="14.63"/>
    <col customWidth="1" min="9" max="9" width="13.5"/>
    <col customWidth="1" min="10" max="10" width="33.88"/>
  </cols>
  <sheetData>
    <row r="1">
      <c r="A1" s="128" t="s">
        <v>17</v>
      </c>
      <c r="B1" s="128" t="s">
        <v>217</v>
      </c>
      <c r="C1" s="128" t="s">
        <v>218</v>
      </c>
      <c r="D1" s="128" t="s">
        <v>219</v>
      </c>
      <c r="E1" s="128" t="s">
        <v>220</v>
      </c>
      <c r="F1" s="128" t="s">
        <v>221</v>
      </c>
      <c r="G1" s="128" t="s">
        <v>222</v>
      </c>
      <c r="H1" s="128" t="s">
        <v>223</v>
      </c>
      <c r="I1" s="128" t="s">
        <v>224</v>
      </c>
      <c r="J1" s="128" t="s">
        <v>225</v>
      </c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</row>
    <row r="2">
      <c r="A2" s="26"/>
      <c r="B2" s="130"/>
      <c r="C2" s="26"/>
      <c r="D2" s="43"/>
      <c r="E2" s="98"/>
      <c r="F2" s="7"/>
      <c r="G2" s="7"/>
      <c r="H2" s="7"/>
      <c r="I2" s="7"/>
      <c r="J2" s="131" t="str">
        <f>AVERAGE(J4:J32)</f>
        <v>#DIV/0!</v>
      </c>
    </row>
    <row r="3">
      <c r="A3" s="26"/>
      <c r="B3" s="130"/>
      <c r="C3" s="26"/>
      <c r="D3" s="43"/>
      <c r="E3" s="98"/>
      <c r="F3" s="7"/>
      <c r="G3" s="7"/>
      <c r="H3" s="7"/>
      <c r="I3" s="7"/>
      <c r="J3" s="131" t="str">
        <f t="shared" ref="J3:J95" si="1">H3/G3</f>
        <v>#DIV/0!</v>
      </c>
    </row>
    <row r="4">
      <c r="A4" s="26">
        <v>1.0</v>
      </c>
      <c r="B4" s="130">
        <v>46143.0</v>
      </c>
      <c r="C4" s="26" t="s">
        <v>226</v>
      </c>
      <c r="D4" s="43" t="s">
        <v>79</v>
      </c>
      <c r="E4" s="98"/>
      <c r="F4" s="7"/>
      <c r="G4" s="7"/>
      <c r="H4" s="7"/>
      <c r="I4" s="7"/>
      <c r="J4" s="131" t="str">
        <f t="shared" si="1"/>
        <v>#DIV/0!</v>
      </c>
    </row>
    <row r="5">
      <c r="A5" s="26">
        <v>2.0</v>
      </c>
      <c r="B5" s="130">
        <v>46144.0</v>
      </c>
      <c r="C5" s="26" t="s">
        <v>227</v>
      </c>
      <c r="D5" s="43" t="s">
        <v>79</v>
      </c>
      <c r="E5" s="98"/>
      <c r="F5" s="7"/>
      <c r="G5" s="7"/>
      <c r="H5" s="7"/>
      <c r="I5" s="7"/>
      <c r="J5" s="131" t="str">
        <f t="shared" si="1"/>
        <v>#DIV/0!</v>
      </c>
    </row>
    <row r="6">
      <c r="A6" s="26">
        <v>3.0</v>
      </c>
      <c r="B6" s="130">
        <v>46145.0</v>
      </c>
      <c r="C6" s="26" t="s">
        <v>228</v>
      </c>
      <c r="D6" s="43" t="s">
        <v>79</v>
      </c>
      <c r="E6" s="26"/>
      <c r="F6" s="7"/>
      <c r="G6" s="7"/>
      <c r="H6" s="7"/>
      <c r="I6" s="7"/>
      <c r="J6" s="131" t="str">
        <f t="shared" si="1"/>
        <v>#DIV/0!</v>
      </c>
    </row>
    <row r="7">
      <c r="A7" s="26">
        <v>4.0</v>
      </c>
      <c r="B7" s="130">
        <v>46146.0</v>
      </c>
      <c r="C7" s="26" t="s">
        <v>229</v>
      </c>
      <c r="D7" s="43" t="s">
        <v>79</v>
      </c>
      <c r="E7" s="26"/>
      <c r="F7" s="7"/>
      <c r="G7" s="11">
        <v>6.0</v>
      </c>
      <c r="H7" s="11">
        <v>5.0</v>
      </c>
      <c r="I7" s="11">
        <v>1.0</v>
      </c>
      <c r="J7" s="131">
        <f t="shared" si="1"/>
        <v>0.8333333333</v>
      </c>
    </row>
    <row r="8">
      <c r="A8" s="26">
        <v>5.0</v>
      </c>
      <c r="B8" s="130">
        <v>46147.0</v>
      </c>
      <c r="C8" s="26" t="s">
        <v>230</v>
      </c>
      <c r="D8" s="43" t="s">
        <v>79</v>
      </c>
      <c r="E8" s="98"/>
      <c r="F8" s="7"/>
      <c r="G8" s="11">
        <v>8.0</v>
      </c>
      <c r="H8" s="11">
        <v>3.0</v>
      </c>
      <c r="I8" s="7"/>
      <c r="J8" s="131">
        <f t="shared" si="1"/>
        <v>0.375</v>
      </c>
    </row>
    <row r="9">
      <c r="A9" s="26">
        <v>6.0</v>
      </c>
      <c r="B9" s="130">
        <v>46148.0</v>
      </c>
      <c r="C9" s="26" t="s">
        <v>231</v>
      </c>
      <c r="D9" s="43" t="s">
        <v>79</v>
      </c>
      <c r="E9" s="98"/>
      <c r="F9" s="7"/>
      <c r="G9" s="7"/>
      <c r="H9" s="7"/>
      <c r="I9" s="7"/>
      <c r="J9" s="131" t="str">
        <f t="shared" si="1"/>
        <v>#DIV/0!</v>
      </c>
    </row>
    <row r="10" ht="13.5" customHeight="1">
      <c r="A10" s="132">
        <v>7.0</v>
      </c>
      <c r="B10" s="133">
        <v>46149.0</v>
      </c>
      <c r="C10" s="132" t="s">
        <v>232</v>
      </c>
      <c r="D10" s="134"/>
      <c r="E10" s="135"/>
      <c r="F10" s="134"/>
      <c r="G10" s="134"/>
      <c r="H10" s="134"/>
      <c r="I10" s="134"/>
      <c r="J10" s="136" t="str">
        <f t="shared" si="1"/>
        <v>#DIV/0!</v>
      </c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</row>
    <row r="11" ht="13.5" customHeight="1">
      <c r="A11" s="26">
        <v>8.0</v>
      </c>
      <c r="B11" s="130">
        <v>46150.0</v>
      </c>
      <c r="C11" s="26" t="s">
        <v>226</v>
      </c>
      <c r="D11" s="43" t="s">
        <v>79</v>
      </c>
      <c r="E11" s="98"/>
      <c r="F11" s="7"/>
      <c r="G11" s="7"/>
      <c r="H11" s="7"/>
      <c r="I11" s="7"/>
      <c r="J11" s="131" t="str">
        <f t="shared" si="1"/>
        <v>#DIV/0!</v>
      </c>
    </row>
    <row r="12" ht="13.5" customHeight="1">
      <c r="A12" s="26">
        <v>9.0</v>
      </c>
      <c r="B12" s="130">
        <v>46151.0</v>
      </c>
      <c r="C12" s="26" t="s">
        <v>227</v>
      </c>
      <c r="D12" s="43" t="s">
        <v>79</v>
      </c>
      <c r="E12" s="98"/>
      <c r="F12" s="7"/>
      <c r="G12" s="7"/>
      <c r="H12" s="7"/>
      <c r="I12" s="7"/>
      <c r="J12" s="131" t="str">
        <f t="shared" si="1"/>
        <v>#DIV/0!</v>
      </c>
    </row>
    <row r="13" ht="13.5" customHeight="1">
      <c r="A13" s="26">
        <v>10.0</v>
      </c>
      <c r="B13" s="130">
        <v>46152.0</v>
      </c>
      <c r="C13" s="26" t="s">
        <v>228</v>
      </c>
      <c r="D13" s="43" t="s">
        <v>79</v>
      </c>
      <c r="E13" s="98"/>
      <c r="F13" s="7"/>
      <c r="G13" s="7"/>
      <c r="H13" s="7"/>
      <c r="I13" s="7"/>
      <c r="J13" s="131" t="str">
        <f t="shared" si="1"/>
        <v>#DIV/0!</v>
      </c>
    </row>
    <row r="14" ht="13.5" customHeight="1">
      <c r="A14" s="26">
        <v>11.0</v>
      </c>
      <c r="B14" s="130">
        <v>46153.0</v>
      </c>
      <c r="C14" s="26" t="s">
        <v>229</v>
      </c>
      <c r="D14" s="43" t="s">
        <v>79</v>
      </c>
      <c r="E14" s="98"/>
      <c r="F14" s="7"/>
      <c r="G14" s="11">
        <v>6.0</v>
      </c>
      <c r="H14" s="11">
        <v>4.0</v>
      </c>
      <c r="I14" s="11">
        <v>2.0</v>
      </c>
      <c r="J14" s="131">
        <f t="shared" si="1"/>
        <v>0.6666666667</v>
      </c>
    </row>
    <row r="15" ht="13.5" customHeight="1">
      <c r="A15" s="26">
        <v>12.0</v>
      </c>
      <c r="B15" s="130">
        <v>46154.0</v>
      </c>
      <c r="C15" s="26" t="s">
        <v>230</v>
      </c>
      <c r="D15" s="43" t="s">
        <v>79</v>
      </c>
      <c r="E15" s="98"/>
      <c r="F15" s="7"/>
      <c r="G15" s="11">
        <v>8.0</v>
      </c>
      <c r="H15" s="11">
        <v>6.0</v>
      </c>
      <c r="I15" s="7"/>
      <c r="J15" s="131">
        <f t="shared" si="1"/>
        <v>0.75</v>
      </c>
    </row>
    <row r="16" ht="13.5" customHeight="1">
      <c r="A16" s="26">
        <v>13.0</v>
      </c>
      <c r="B16" s="130">
        <v>46155.0</v>
      </c>
      <c r="C16" s="26" t="s">
        <v>231</v>
      </c>
      <c r="D16" s="43" t="s">
        <v>79</v>
      </c>
      <c r="E16" s="98"/>
      <c r="F16" s="7"/>
      <c r="G16" s="7"/>
      <c r="H16" s="7"/>
      <c r="I16" s="7"/>
      <c r="J16" s="131" t="str">
        <f t="shared" si="1"/>
        <v>#DIV/0!</v>
      </c>
    </row>
    <row r="17" ht="13.5" customHeight="1">
      <c r="A17" s="132">
        <v>14.0</v>
      </c>
      <c r="B17" s="133">
        <v>46156.0</v>
      </c>
      <c r="C17" s="132" t="s">
        <v>232</v>
      </c>
      <c r="D17" s="134"/>
      <c r="E17" s="135"/>
      <c r="F17" s="134"/>
      <c r="G17" s="134"/>
      <c r="H17" s="134"/>
      <c r="I17" s="134"/>
      <c r="J17" s="136" t="str">
        <f t="shared" si="1"/>
        <v>#DIV/0!</v>
      </c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</row>
    <row r="18" ht="13.5" customHeight="1">
      <c r="A18" s="26">
        <v>15.0</v>
      </c>
      <c r="B18" s="130">
        <v>46157.0</v>
      </c>
      <c r="C18" s="26" t="s">
        <v>226</v>
      </c>
      <c r="D18" s="43" t="s">
        <v>79</v>
      </c>
      <c r="E18" s="98"/>
      <c r="F18" s="7"/>
      <c r="G18" s="7"/>
      <c r="H18" s="7"/>
      <c r="I18" s="7"/>
      <c r="J18" s="131" t="str">
        <f t="shared" si="1"/>
        <v>#DIV/0!</v>
      </c>
    </row>
    <row r="19" ht="13.5" customHeight="1">
      <c r="A19" s="26">
        <v>16.0</v>
      </c>
      <c r="B19" s="130">
        <v>46158.0</v>
      </c>
      <c r="C19" s="26" t="s">
        <v>227</v>
      </c>
      <c r="D19" s="43" t="s">
        <v>79</v>
      </c>
      <c r="E19" s="98"/>
      <c r="F19" s="7"/>
      <c r="G19" s="11">
        <v>6.0</v>
      </c>
      <c r="H19" s="11">
        <v>6.0</v>
      </c>
      <c r="I19" s="7"/>
      <c r="J19" s="131">
        <f t="shared" si="1"/>
        <v>1</v>
      </c>
    </row>
    <row r="20" ht="13.5" customHeight="1">
      <c r="A20" s="26">
        <v>17.0</v>
      </c>
      <c r="B20" s="130">
        <v>46159.0</v>
      </c>
      <c r="C20" s="26" t="s">
        <v>228</v>
      </c>
      <c r="D20" s="43" t="s">
        <v>79</v>
      </c>
      <c r="E20" s="98"/>
      <c r="F20" s="7"/>
      <c r="G20" s="7"/>
      <c r="H20" s="7"/>
      <c r="I20" s="7"/>
      <c r="J20" s="131" t="str">
        <f t="shared" si="1"/>
        <v>#DIV/0!</v>
      </c>
    </row>
    <row r="21" ht="13.5" customHeight="1">
      <c r="A21" s="26">
        <v>18.0</v>
      </c>
      <c r="B21" s="130">
        <v>46160.0</v>
      </c>
      <c r="C21" s="26" t="s">
        <v>229</v>
      </c>
      <c r="D21" s="43" t="s">
        <v>79</v>
      </c>
      <c r="E21" s="98"/>
      <c r="F21" s="7"/>
      <c r="G21" s="7"/>
      <c r="H21" s="7"/>
      <c r="I21" s="7"/>
      <c r="J21" s="131" t="str">
        <f t="shared" si="1"/>
        <v>#DIV/0!</v>
      </c>
    </row>
    <row r="22" ht="13.5" customHeight="1">
      <c r="A22" s="26">
        <v>19.0</v>
      </c>
      <c r="B22" s="130">
        <v>46161.0</v>
      </c>
      <c r="C22" s="26" t="s">
        <v>230</v>
      </c>
      <c r="D22" s="43" t="s">
        <v>79</v>
      </c>
      <c r="E22" s="98"/>
      <c r="F22" s="7"/>
      <c r="G22" s="11">
        <v>8.0</v>
      </c>
      <c r="H22" s="11">
        <v>6.0</v>
      </c>
      <c r="I22" s="7"/>
      <c r="J22" s="131">
        <f t="shared" si="1"/>
        <v>0.75</v>
      </c>
    </row>
    <row r="23" ht="13.5" customHeight="1">
      <c r="A23" s="26">
        <v>20.0</v>
      </c>
      <c r="B23" s="130">
        <v>46162.0</v>
      </c>
      <c r="C23" s="26" t="s">
        <v>231</v>
      </c>
      <c r="D23" s="43" t="s">
        <v>79</v>
      </c>
      <c r="E23" s="98"/>
      <c r="F23" s="7"/>
      <c r="G23" s="7"/>
      <c r="H23" s="7"/>
      <c r="I23" s="7"/>
      <c r="J23" s="131" t="str">
        <f t="shared" si="1"/>
        <v>#DIV/0!</v>
      </c>
    </row>
    <row r="24" ht="13.5" customHeight="1">
      <c r="A24" s="132">
        <v>21.0</v>
      </c>
      <c r="B24" s="133">
        <v>46163.0</v>
      </c>
      <c r="C24" s="132" t="s">
        <v>232</v>
      </c>
      <c r="D24" s="134"/>
      <c r="E24" s="135"/>
      <c r="F24" s="134"/>
      <c r="G24" s="134"/>
      <c r="H24" s="134"/>
      <c r="I24" s="134"/>
      <c r="J24" s="136" t="str">
        <f t="shared" si="1"/>
        <v>#DIV/0!</v>
      </c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</row>
    <row r="25" ht="13.5" customHeight="1">
      <c r="A25" s="26">
        <v>22.0</v>
      </c>
      <c r="B25" s="130">
        <v>46164.0</v>
      </c>
      <c r="C25" s="26" t="s">
        <v>226</v>
      </c>
      <c r="D25" s="43" t="s">
        <v>79</v>
      </c>
      <c r="E25" s="98"/>
      <c r="F25" s="7"/>
      <c r="G25" s="7"/>
      <c r="H25" s="7"/>
      <c r="I25" s="7"/>
      <c r="J25" s="131" t="str">
        <f t="shared" si="1"/>
        <v>#DIV/0!</v>
      </c>
    </row>
    <row r="26" ht="13.5" customHeight="1">
      <c r="A26" s="26">
        <v>23.0</v>
      </c>
      <c r="B26" s="130">
        <v>46165.0</v>
      </c>
      <c r="C26" s="26" t="s">
        <v>227</v>
      </c>
      <c r="D26" s="43" t="s">
        <v>79</v>
      </c>
      <c r="E26" s="98"/>
      <c r="F26" s="7"/>
      <c r="G26" s="7"/>
      <c r="H26" s="7"/>
      <c r="I26" s="7"/>
      <c r="J26" s="131" t="str">
        <f t="shared" si="1"/>
        <v>#DIV/0!</v>
      </c>
    </row>
    <row r="27" ht="13.5" customHeight="1">
      <c r="A27" s="26">
        <v>24.0</v>
      </c>
      <c r="B27" s="130">
        <v>46166.0</v>
      </c>
      <c r="C27" s="26" t="s">
        <v>228</v>
      </c>
      <c r="D27" s="43" t="s">
        <v>79</v>
      </c>
      <c r="E27" s="98"/>
      <c r="F27" s="7"/>
      <c r="G27" s="7"/>
      <c r="H27" s="7"/>
      <c r="I27" s="7"/>
      <c r="J27" s="131" t="str">
        <f t="shared" si="1"/>
        <v>#DIV/0!</v>
      </c>
    </row>
    <row r="28" ht="13.5" customHeight="1">
      <c r="A28" s="26">
        <v>25.0</v>
      </c>
      <c r="B28" s="130">
        <v>46167.0</v>
      </c>
      <c r="C28" s="26" t="s">
        <v>229</v>
      </c>
      <c r="D28" s="43" t="s">
        <v>79</v>
      </c>
      <c r="E28" s="98"/>
      <c r="F28" s="7"/>
      <c r="G28" s="7"/>
      <c r="H28" s="7"/>
      <c r="I28" s="7"/>
      <c r="J28" s="131" t="str">
        <f t="shared" si="1"/>
        <v>#DIV/0!</v>
      </c>
    </row>
    <row r="29" ht="13.5" customHeight="1">
      <c r="A29" s="26">
        <v>26.0</v>
      </c>
      <c r="B29" s="130">
        <v>46168.0</v>
      </c>
      <c r="C29" s="26" t="s">
        <v>230</v>
      </c>
      <c r="D29" s="43" t="s">
        <v>79</v>
      </c>
      <c r="E29" s="98"/>
      <c r="F29" s="7"/>
      <c r="G29" s="11">
        <v>14.0</v>
      </c>
      <c r="H29" s="11">
        <v>14.0</v>
      </c>
      <c r="I29" s="7"/>
      <c r="J29" s="131">
        <f t="shared" si="1"/>
        <v>1</v>
      </c>
    </row>
    <row r="30" ht="13.5" customHeight="1">
      <c r="A30" s="26">
        <v>27.0</v>
      </c>
      <c r="B30" s="130">
        <v>46169.0</v>
      </c>
      <c r="C30" s="26" t="s">
        <v>231</v>
      </c>
      <c r="D30" s="43" t="s">
        <v>79</v>
      </c>
      <c r="E30" s="98"/>
      <c r="F30" s="7"/>
      <c r="G30" s="7"/>
      <c r="H30" s="7"/>
      <c r="I30" s="7"/>
      <c r="J30" s="131" t="str">
        <f t="shared" si="1"/>
        <v>#DIV/0!</v>
      </c>
    </row>
    <row r="31" ht="13.5" customHeight="1">
      <c r="A31" s="132">
        <v>28.0</v>
      </c>
      <c r="B31" s="133">
        <v>46170.0</v>
      </c>
      <c r="C31" s="132" t="s">
        <v>232</v>
      </c>
      <c r="D31" s="134"/>
      <c r="E31" s="135"/>
      <c r="F31" s="134"/>
      <c r="G31" s="134"/>
      <c r="H31" s="134"/>
      <c r="I31" s="134"/>
      <c r="J31" s="136" t="str">
        <f t="shared" si="1"/>
        <v>#DIV/0!</v>
      </c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</row>
    <row r="32" ht="13.5" customHeight="1">
      <c r="A32" s="26">
        <v>29.0</v>
      </c>
      <c r="B32" s="130">
        <v>46171.0</v>
      </c>
      <c r="C32" s="26" t="s">
        <v>226</v>
      </c>
      <c r="D32" s="43" t="s">
        <v>79</v>
      </c>
      <c r="E32" s="98"/>
      <c r="F32" s="7"/>
      <c r="G32" s="7"/>
      <c r="H32" s="7"/>
      <c r="I32" s="7"/>
      <c r="J32" s="131" t="str">
        <f t="shared" si="1"/>
        <v>#DIV/0!</v>
      </c>
    </row>
    <row r="33" ht="13.5" customHeight="1">
      <c r="A33" s="26">
        <v>30.0</v>
      </c>
      <c r="B33" s="130">
        <v>46172.0</v>
      </c>
      <c r="C33" s="26" t="s">
        <v>227</v>
      </c>
      <c r="D33" s="43" t="s">
        <v>79</v>
      </c>
      <c r="E33" s="98"/>
      <c r="F33" s="7"/>
      <c r="G33" s="7"/>
      <c r="H33" s="7"/>
      <c r="I33" s="7"/>
      <c r="J33" s="131" t="str">
        <f t="shared" si="1"/>
        <v>#DIV/0!</v>
      </c>
    </row>
    <row r="34" ht="13.5" customHeight="1">
      <c r="A34" s="26">
        <v>31.0</v>
      </c>
      <c r="B34" s="130">
        <v>46173.0</v>
      </c>
      <c r="C34" s="26" t="s">
        <v>228</v>
      </c>
      <c r="D34" s="43" t="s">
        <v>79</v>
      </c>
      <c r="E34" s="98"/>
      <c r="F34" s="7"/>
      <c r="G34" s="7"/>
      <c r="H34" s="7"/>
      <c r="I34" s="7"/>
      <c r="J34" s="131" t="str">
        <f t="shared" si="1"/>
        <v>#DIV/0!</v>
      </c>
    </row>
    <row r="35" ht="13.5" customHeight="1">
      <c r="A35" s="26">
        <v>32.0</v>
      </c>
      <c r="B35" s="130">
        <v>46174.0</v>
      </c>
      <c r="C35" s="26" t="s">
        <v>229</v>
      </c>
      <c r="D35" s="43" t="s">
        <v>79</v>
      </c>
      <c r="E35" s="98"/>
      <c r="F35" s="7"/>
      <c r="G35" s="7"/>
      <c r="H35" s="7"/>
      <c r="I35" s="7"/>
      <c r="J35" s="131" t="str">
        <f t="shared" si="1"/>
        <v>#DIV/0!</v>
      </c>
    </row>
    <row r="36" ht="13.5" customHeight="1">
      <c r="A36" s="26">
        <v>33.0</v>
      </c>
      <c r="B36" s="130">
        <v>46175.0</v>
      </c>
      <c r="C36" s="26" t="s">
        <v>230</v>
      </c>
      <c r="D36" s="43" t="s">
        <v>79</v>
      </c>
      <c r="E36" s="98"/>
      <c r="F36" s="7"/>
      <c r="G36" s="11">
        <v>8.0</v>
      </c>
      <c r="H36" s="11">
        <v>8.0</v>
      </c>
      <c r="I36" s="7"/>
      <c r="J36" s="131">
        <f t="shared" si="1"/>
        <v>1</v>
      </c>
    </row>
    <row r="37" ht="13.5" customHeight="1">
      <c r="A37" s="26">
        <v>34.0</v>
      </c>
      <c r="B37" s="130">
        <v>46176.0</v>
      </c>
      <c r="C37" s="26" t="s">
        <v>231</v>
      </c>
      <c r="D37" s="43" t="s">
        <v>79</v>
      </c>
      <c r="E37" s="98"/>
      <c r="F37" s="7"/>
      <c r="G37" s="7"/>
      <c r="H37" s="7"/>
      <c r="I37" s="7"/>
      <c r="J37" s="131" t="str">
        <f t="shared" si="1"/>
        <v>#DIV/0!</v>
      </c>
    </row>
    <row r="38" ht="13.5" customHeight="1">
      <c r="A38" s="132">
        <v>35.0</v>
      </c>
      <c r="B38" s="133">
        <v>46177.0</v>
      </c>
      <c r="C38" s="132" t="s">
        <v>232</v>
      </c>
      <c r="D38" s="134"/>
      <c r="E38" s="135"/>
      <c r="F38" s="134"/>
      <c r="G38" s="134"/>
      <c r="H38" s="134"/>
      <c r="I38" s="134"/>
      <c r="J38" s="136" t="str">
        <f t="shared" si="1"/>
        <v>#DIV/0!</v>
      </c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</row>
    <row r="39" ht="13.5" customHeight="1">
      <c r="A39" s="26">
        <v>36.0</v>
      </c>
      <c r="B39" s="130">
        <v>46178.0</v>
      </c>
      <c r="C39" s="26" t="s">
        <v>226</v>
      </c>
      <c r="D39" s="43" t="s">
        <v>79</v>
      </c>
      <c r="E39" s="98"/>
      <c r="F39" s="7"/>
      <c r="G39" s="11">
        <v>5.0</v>
      </c>
      <c r="H39" s="11">
        <v>5.0</v>
      </c>
      <c r="I39" s="7"/>
      <c r="J39" s="131">
        <f t="shared" si="1"/>
        <v>1</v>
      </c>
    </row>
    <row r="40" ht="13.5" customHeight="1">
      <c r="A40" s="26">
        <v>37.0</v>
      </c>
      <c r="B40" s="130">
        <v>46179.0</v>
      </c>
      <c r="C40" s="26" t="s">
        <v>227</v>
      </c>
      <c r="D40" s="43" t="s">
        <v>79</v>
      </c>
      <c r="E40" s="98"/>
      <c r="F40" s="7"/>
      <c r="G40" s="11">
        <v>5.0</v>
      </c>
      <c r="H40" s="11">
        <v>5.0</v>
      </c>
      <c r="I40" s="7"/>
      <c r="J40" s="131">
        <f t="shared" si="1"/>
        <v>1</v>
      </c>
    </row>
    <row r="41" ht="13.5" customHeight="1">
      <c r="A41" s="26">
        <v>38.0</v>
      </c>
      <c r="B41" s="130">
        <v>46180.0</v>
      </c>
      <c r="C41" s="26" t="s">
        <v>228</v>
      </c>
      <c r="D41" s="43" t="s">
        <v>79</v>
      </c>
      <c r="E41" s="98"/>
      <c r="F41" s="7"/>
      <c r="G41" s="11">
        <v>5.0</v>
      </c>
      <c r="H41" s="11">
        <v>5.0</v>
      </c>
      <c r="I41" s="7"/>
      <c r="J41" s="131">
        <f t="shared" si="1"/>
        <v>1</v>
      </c>
    </row>
    <row r="42" ht="13.5" customHeight="1">
      <c r="A42" s="26">
        <v>39.0</v>
      </c>
      <c r="B42" s="130">
        <v>46181.0</v>
      </c>
      <c r="C42" s="26" t="s">
        <v>229</v>
      </c>
      <c r="D42" s="43" t="s">
        <v>79</v>
      </c>
      <c r="E42" s="98"/>
      <c r="F42" s="7"/>
      <c r="G42" s="7"/>
      <c r="H42" s="7"/>
      <c r="I42" s="7"/>
      <c r="J42" s="131" t="str">
        <f t="shared" si="1"/>
        <v>#DIV/0!</v>
      </c>
    </row>
    <row r="43" ht="13.5" customHeight="1">
      <c r="A43" s="26">
        <v>40.0</v>
      </c>
      <c r="B43" s="130">
        <v>46182.0</v>
      </c>
      <c r="C43" s="26" t="s">
        <v>230</v>
      </c>
      <c r="D43" s="43" t="s">
        <v>79</v>
      </c>
      <c r="E43" s="98"/>
      <c r="F43" s="7"/>
      <c r="G43" s="11">
        <v>13.0</v>
      </c>
      <c r="H43" s="11">
        <v>12.0</v>
      </c>
      <c r="I43" s="11">
        <v>1.0</v>
      </c>
      <c r="J43" s="131">
        <f t="shared" si="1"/>
        <v>0.9230769231</v>
      </c>
    </row>
    <row r="44" ht="13.5" customHeight="1">
      <c r="A44" s="26">
        <v>41.0</v>
      </c>
      <c r="B44" s="130">
        <v>46183.0</v>
      </c>
      <c r="C44" s="26" t="s">
        <v>231</v>
      </c>
      <c r="D44" s="43" t="s">
        <v>79</v>
      </c>
      <c r="E44" s="98"/>
      <c r="F44" s="7"/>
      <c r="G44" s="7"/>
      <c r="H44" s="7"/>
      <c r="I44" s="7"/>
      <c r="J44" s="131" t="str">
        <f t="shared" si="1"/>
        <v>#DIV/0!</v>
      </c>
    </row>
    <row r="45" ht="13.5" customHeight="1">
      <c r="A45" s="132">
        <v>42.0</v>
      </c>
      <c r="B45" s="133">
        <v>46184.0</v>
      </c>
      <c r="C45" s="132" t="s">
        <v>232</v>
      </c>
      <c r="D45" s="134"/>
      <c r="E45" s="135"/>
      <c r="F45" s="134"/>
      <c r="G45" s="138">
        <v>5.0</v>
      </c>
      <c r="H45" s="138">
        <v>5.0</v>
      </c>
      <c r="I45" s="134"/>
      <c r="J45" s="136">
        <f t="shared" si="1"/>
        <v>1</v>
      </c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</row>
    <row r="46" ht="13.5" customHeight="1">
      <c r="A46" s="26">
        <v>43.0</v>
      </c>
      <c r="B46" s="130">
        <v>46185.0</v>
      </c>
      <c r="C46" s="26" t="s">
        <v>226</v>
      </c>
      <c r="D46" s="43" t="s">
        <v>79</v>
      </c>
      <c r="E46" s="98"/>
      <c r="F46" s="7"/>
      <c r="G46" s="11">
        <v>6.0</v>
      </c>
      <c r="H46" s="11">
        <v>6.0</v>
      </c>
      <c r="I46" s="7"/>
      <c r="J46" s="131">
        <f t="shared" si="1"/>
        <v>1</v>
      </c>
    </row>
    <row r="47" ht="13.5" customHeight="1">
      <c r="A47" s="26">
        <v>44.0</v>
      </c>
      <c r="B47" s="130">
        <v>46186.0</v>
      </c>
      <c r="C47" s="26" t="s">
        <v>227</v>
      </c>
      <c r="D47" s="43" t="s">
        <v>79</v>
      </c>
      <c r="E47" s="98"/>
      <c r="F47" s="7"/>
      <c r="G47" s="11">
        <v>5.0</v>
      </c>
      <c r="H47" s="11">
        <v>5.0</v>
      </c>
      <c r="I47" s="7"/>
      <c r="J47" s="131">
        <f t="shared" si="1"/>
        <v>1</v>
      </c>
    </row>
    <row r="48" ht="13.5" customHeight="1">
      <c r="A48" s="26">
        <v>45.0</v>
      </c>
      <c r="B48" s="130">
        <v>46187.0</v>
      </c>
      <c r="C48" s="26" t="s">
        <v>228</v>
      </c>
      <c r="D48" s="43" t="s">
        <v>79</v>
      </c>
      <c r="E48" s="98"/>
      <c r="F48" s="7"/>
      <c r="G48" s="7"/>
      <c r="H48" s="7"/>
      <c r="I48" s="7"/>
      <c r="J48" s="131" t="str">
        <f t="shared" si="1"/>
        <v>#DIV/0!</v>
      </c>
    </row>
    <row r="49" ht="13.5" customHeight="1">
      <c r="A49" s="26">
        <v>46.0</v>
      </c>
      <c r="B49" s="130">
        <v>46188.0</v>
      </c>
      <c r="C49" s="26" t="s">
        <v>229</v>
      </c>
      <c r="D49" s="43" t="s">
        <v>79</v>
      </c>
      <c r="E49" s="98"/>
      <c r="F49" s="7"/>
      <c r="G49" s="11">
        <v>5.0</v>
      </c>
      <c r="H49" s="11">
        <v>5.0</v>
      </c>
      <c r="I49" s="7"/>
      <c r="J49" s="131">
        <f t="shared" si="1"/>
        <v>1</v>
      </c>
    </row>
    <row r="50" ht="13.5" customHeight="1">
      <c r="A50" s="26">
        <v>47.0</v>
      </c>
      <c r="B50" s="130">
        <v>46189.0</v>
      </c>
      <c r="C50" s="26" t="s">
        <v>230</v>
      </c>
      <c r="D50" s="43" t="s">
        <v>79</v>
      </c>
      <c r="E50" s="98"/>
      <c r="F50" s="7"/>
      <c r="G50" s="11">
        <v>13.0</v>
      </c>
      <c r="H50" s="11">
        <v>12.0</v>
      </c>
      <c r="I50" s="11">
        <v>1.0</v>
      </c>
      <c r="J50" s="131">
        <f t="shared" si="1"/>
        <v>0.9230769231</v>
      </c>
    </row>
    <row r="51" ht="13.5" customHeight="1">
      <c r="A51" s="26">
        <v>48.0</v>
      </c>
      <c r="B51" s="130">
        <v>46190.0</v>
      </c>
      <c r="C51" s="26" t="s">
        <v>231</v>
      </c>
      <c r="D51" s="43" t="s">
        <v>79</v>
      </c>
      <c r="E51" s="98"/>
      <c r="F51" s="7"/>
      <c r="G51" s="7"/>
      <c r="H51" s="7"/>
      <c r="I51" s="7"/>
      <c r="J51" s="131" t="str">
        <f t="shared" si="1"/>
        <v>#DIV/0!</v>
      </c>
    </row>
    <row r="52" ht="13.5" customHeight="1">
      <c r="A52" s="132">
        <v>49.0</v>
      </c>
      <c r="B52" s="133">
        <v>46191.0</v>
      </c>
      <c r="C52" s="132" t="s">
        <v>232</v>
      </c>
      <c r="D52" s="134"/>
      <c r="E52" s="135"/>
      <c r="F52" s="134"/>
      <c r="G52" s="138">
        <v>5.0</v>
      </c>
      <c r="H52" s="138">
        <v>3.0</v>
      </c>
      <c r="I52" s="138">
        <v>2.0</v>
      </c>
      <c r="J52" s="136">
        <f t="shared" si="1"/>
        <v>0.6</v>
      </c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 ht="13.5" customHeight="1">
      <c r="A53" s="26">
        <v>50.0</v>
      </c>
      <c r="B53" s="130">
        <v>46192.0</v>
      </c>
      <c r="C53" s="26" t="s">
        <v>226</v>
      </c>
      <c r="D53" s="43" t="s">
        <v>79</v>
      </c>
      <c r="E53" s="98"/>
      <c r="F53" s="7"/>
      <c r="G53" s="7"/>
      <c r="H53" s="7"/>
      <c r="I53" s="7"/>
      <c r="J53" s="131" t="str">
        <f t="shared" si="1"/>
        <v>#DIV/0!</v>
      </c>
    </row>
    <row r="54" ht="13.5" customHeight="1">
      <c r="A54" s="26">
        <v>51.0</v>
      </c>
      <c r="B54" s="130">
        <v>46193.0</v>
      </c>
      <c r="C54" s="26" t="s">
        <v>227</v>
      </c>
      <c r="D54" s="43" t="s">
        <v>79</v>
      </c>
      <c r="E54" s="98"/>
      <c r="F54" s="7"/>
      <c r="G54" s="11">
        <v>5.0</v>
      </c>
      <c r="H54" s="11">
        <v>4.0</v>
      </c>
      <c r="I54" s="11">
        <v>1.0</v>
      </c>
      <c r="J54" s="131">
        <f t="shared" si="1"/>
        <v>0.8</v>
      </c>
    </row>
    <row r="55" ht="13.5" customHeight="1">
      <c r="A55" s="26">
        <v>52.0</v>
      </c>
      <c r="B55" s="130">
        <v>46194.0</v>
      </c>
      <c r="C55" s="26" t="s">
        <v>228</v>
      </c>
      <c r="D55" s="43" t="s">
        <v>79</v>
      </c>
      <c r="E55" s="98"/>
      <c r="F55" s="7"/>
      <c r="G55" s="7"/>
      <c r="H55" s="7"/>
      <c r="I55" s="7"/>
      <c r="J55" s="131" t="str">
        <f t="shared" si="1"/>
        <v>#DIV/0!</v>
      </c>
    </row>
    <row r="56" ht="13.5" customHeight="1">
      <c r="A56" s="26">
        <v>53.0</v>
      </c>
      <c r="B56" s="130">
        <v>46195.0</v>
      </c>
      <c r="C56" s="26" t="s">
        <v>229</v>
      </c>
      <c r="D56" s="43" t="s">
        <v>79</v>
      </c>
      <c r="E56" s="98"/>
      <c r="F56" s="7"/>
      <c r="G56" s="11">
        <v>5.0</v>
      </c>
      <c r="H56" s="11">
        <v>4.0</v>
      </c>
      <c r="I56" s="11">
        <v>1.0</v>
      </c>
      <c r="J56" s="131">
        <f t="shared" si="1"/>
        <v>0.8</v>
      </c>
    </row>
    <row r="57" ht="13.5" customHeight="1">
      <c r="A57" s="26">
        <v>54.0</v>
      </c>
      <c r="B57" s="130">
        <v>46196.0</v>
      </c>
      <c r="C57" s="26" t="s">
        <v>230</v>
      </c>
      <c r="D57" s="43" t="s">
        <v>79</v>
      </c>
      <c r="E57" s="98"/>
      <c r="F57" s="7"/>
      <c r="G57" s="11">
        <v>13.0</v>
      </c>
      <c r="H57" s="11">
        <v>11.0</v>
      </c>
      <c r="I57" s="11">
        <v>2.0</v>
      </c>
      <c r="J57" s="131">
        <f t="shared" si="1"/>
        <v>0.8461538462</v>
      </c>
    </row>
    <row r="58" ht="13.5" customHeight="1">
      <c r="A58" s="26">
        <v>55.0</v>
      </c>
      <c r="B58" s="130">
        <v>46197.0</v>
      </c>
      <c r="C58" s="26" t="s">
        <v>231</v>
      </c>
      <c r="D58" s="43" t="s">
        <v>79</v>
      </c>
      <c r="E58" s="98"/>
      <c r="F58" s="7"/>
      <c r="G58" s="7"/>
      <c r="H58" s="7"/>
      <c r="I58" s="7"/>
      <c r="J58" s="131" t="str">
        <f t="shared" si="1"/>
        <v>#DIV/0!</v>
      </c>
    </row>
    <row r="59" ht="13.5" customHeight="1">
      <c r="A59" s="132">
        <v>56.0</v>
      </c>
      <c r="B59" s="133">
        <v>46198.0</v>
      </c>
      <c r="C59" s="132" t="s">
        <v>232</v>
      </c>
      <c r="D59" s="134"/>
      <c r="E59" s="135"/>
      <c r="F59" s="134"/>
      <c r="G59" s="138">
        <v>5.0</v>
      </c>
      <c r="H59" s="138">
        <v>4.0</v>
      </c>
      <c r="I59" s="138">
        <v>1.0</v>
      </c>
      <c r="J59" s="136">
        <f t="shared" si="1"/>
        <v>0.8</v>
      </c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</row>
    <row r="60" ht="13.5" customHeight="1">
      <c r="A60" s="26">
        <v>57.0</v>
      </c>
      <c r="B60" s="130">
        <v>46199.0</v>
      </c>
      <c r="C60" s="26" t="s">
        <v>226</v>
      </c>
      <c r="D60" s="43" t="s">
        <v>79</v>
      </c>
      <c r="E60" s="98"/>
      <c r="F60" s="7"/>
      <c r="G60" s="7"/>
      <c r="H60" s="7"/>
      <c r="I60" s="7"/>
      <c r="J60" s="131" t="str">
        <f t="shared" si="1"/>
        <v>#DIV/0!</v>
      </c>
    </row>
    <row r="61" ht="13.5" customHeight="1">
      <c r="A61" s="26">
        <v>58.0</v>
      </c>
      <c r="B61" s="130">
        <v>46200.0</v>
      </c>
      <c r="C61" s="26" t="s">
        <v>227</v>
      </c>
      <c r="D61" s="43" t="s">
        <v>79</v>
      </c>
      <c r="E61" s="98"/>
      <c r="F61" s="7"/>
      <c r="G61" s="11">
        <v>5.0</v>
      </c>
      <c r="H61" s="11">
        <v>5.0</v>
      </c>
      <c r="I61" s="7"/>
      <c r="J61" s="131">
        <f t="shared" si="1"/>
        <v>1</v>
      </c>
    </row>
    <row r="62" ht="13.5" customHeight="1">
      <c r="A62" s="26">
        <v>59.0</v>
      </c>
      <c r="B62" s="130">
        <v>46201.0</v>
      </c>
      <c r="C62" s="26" t="s">
        <v>228</v>
      </c>
      <c r="D62" s="43" t="s">
        <v>79</v>
      </c>
      <c r="E62" s="98"/>
      <c r="F62" s="7"/>
      <c r="G62" s="7"/>
      <c r="H62" s="7"/>
      <c r="I62" s="7"/>
      <c r="J62" s="131" t="str">
        <f t="shared" si="1"/>
        <v>#DIV/0!</v>
      </c>
    </row>
    <row r="63" ht="13.5" customHeight="1">
      <c r="A63" s="26">
        <v>60.0</v>
      </c>
      <c r="B63" s="130">
        <v>46202.0</v>
      </c>
      <c r="C63" s="26" t="s">
        <v>229</v>
      </c>
      <c r="D63" s="43" t="s">
        <v>79</v>
      </c>
      <c r="E63" s="98"/>
      <c r="F63" s="7"/>
      <c r="G63" s="11">
        <v>11.0</v>
      </c>
      <c r="H63" s="11">
        <v>10.0</v>
      </c>
      <c r="I63" s="11">
        <v>1.0</v>
      </c>
      <c r="J63" s="131">
        <f t="shared" si="1"/>
        <v>0.9090909091</v>
      </c>
    </row>
    <row r="64" ht="13.5" customHeight="1">
      <c r="A64" s="26">
        <v>61.0</v>
      </c>
      <c r="B64" s="130">
        <v>46203.0</v>
      </c>
      <c r="C64" s="26" t="s">
        <v>230</v>
      </c>
      <c r="D64" s="43" t="s">
        <v>79</v>
      </c>
      <c r="E64" s="98"/>
      <c r="F64" s="7"/>
      <c r="G64" s="11">
        <v>13.0</v>
      </c>
      <c r="H64" s="11">
        <v>12.0</v>
      </c>
      <c r="I64" s="11">
        <v>1.0</v>
      </c>
      <c r="J64" s="131">
        <f t="shared" si="1"/>
        <v>0.9230769231</v>
      </c>
    </row>
    <row r="65" ht="13.5" customHeight="1">
      <c r="A65" s="26">
        <v>62.0</v>
      </c>
      <c r="B65" s="130">
        <v>46204.0</v>
      </c>
      <c r="C65" s="26" t="s">
        <v>231</v>
      </c>
      <c r="D65" s="43" t="s">
        <v>79</v>
      </c>
      <c r="E65" s="98"/>
      <c r="F65" s="7"/>
      <c r="G65" s="11">
        <v>6.0</v>
      </c>
      <c r="H65" s="11">
        <v>5.0</v>
      </c>
      <c r="I65" s="11">
        <v>1.0</v>
      </c>
      <c r="J65" s="131">
        <f t="shared" si="1"/>
        <v>0.8333333333</v>
      </c>
    </row>
    <row r="66" ht="13.5" customHeight="1">
      <c r="A66" s="132">
        <v>63.0</v>
      </c>
      <c r="B66" s="133">
        <v>46205.0</v>
      </c>
      <c r="C66" s="132" t="s">
        <v>232</v>
      </c>
      <c r="D66" s="134"/>
      <c r="E66" s="135"/>
      <c r="F66" s="134"/>
      <c r="G66" s="138">
        <v>10.0</v>
      </c>
      <c r="H66" s="138">
        <v>7.0</v>
      </c>
      <c r="I66" s="138">
        <v>3.0</v>
      </c>
      <c r="J66" s="136">
        <f t="shared" si="1"/>
        <v>0.7</v>
      </c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</row>
    <row r="67" ht="13.5" customHeight="1">
      <c r="A67" s="26">
        <v>64.0</v>
      </c>
      <c r="B67" s="130">
        <v>46206.0</v>
      </c>
      <c r="C67" s="26" t="s">
        <v>226</v>
      </c>
      <c r="D67" s="43" t="s">
        <v>79</v>
      </c>
      <c r="E67" s="98"/>
      <c r="F67" s="7"/>
      <c r="G67" s="11">
        <v>6.0</v>
      </c>
      <c r="H67" s="11">
        <v>5.0</v>
      </c>
      <c r="I67" s="11">
        <v>1.0</v>
      </c>
      <c r="J67" s="131">
        <f t="shared" si="1"/>
        <v>0.8333333333</v>
      </c>
    </row>
    <row r="68" ht="13.5" customHeight="1">
      <c r="A68" s="26">
        <v>65.0</v>
      </c>
      <c r="B68" s="130">
        <v>46207.0</v>
      </c>
      <c r="C68" s="26" t="s">
        <v>227</v>
      </c>
      <c r="D68" s="43" t="s">
        <v>79</v>
      </c>
      <c r="E68" s="98"/>
      <c r="F68" s="7"/>
      <c r="G68" s="11">
        <v>8.0</v>
      </c>
      <c r="H68" s="11">
        <v>7.0</v>
      </c>
      <c r="I68" s="11">
        <v>1.0</v>
      </c>
      <c r="J68" s="131">
        <f t="shared" si="1"/>
        <v>0.875</v>
      </c>
    </row>
    <row r="69" ht="13.5" customHeight="1">
      <c r="A69" s="26">
        <v>66.0</v>
      </c>
      <c r="B69" s="130">
        <v>46208.0</v>
      </c>
      <c r="C69" s="26" t="s">
        <v>228</v>
      </c>
      <c r="D69" s="43" t="s">
        <v>79</v>
      </c>
      <c r="E69" s="98"/>
      <c r="F69" s="7"/>
      <c r="G69" s="11"/>
      <c r="H69" s="11"/>
      <c r="I69" s="11">
        <v>0.0</v>
      </c>
      <c r="J69" s="131" t="str">
        <f t="shared" si="1"/>
        <v>#DIV/0!</v>
      </c>
    </row>
    <row r="70" ht="13.5" customHeight="1">
      <c r="A70" s="26">
        <v>67.0</v>
      </c>
      <c r="B70" s="130">
        <v>46209.0</v>
      </c>
      <c r="C70" s="26" t="s">
        <v>229</v>
      </c>
      <c r="D70" s="43" t="s">
        <v>79</v>
      </c>
      <c r="E70" s="98"/>
      <c r="F70" s="7"/>
      <c r="G70" s="7"/>
      <c r="H70" s="7"/>
      <c r="I70" s="7"/>
      <c r="J70" s="131" t="str">
        <f t="shared" si="1"/>
        <v>#DIV/0!</v>
      </c>
    </row>
    <row r="71" ht="13.5" customHeight="1">
      <c r="A71" s="26">
        <v>68.0</v>
      </c>
      <c r="B71" s="130">
        <v>46210.0</v>
      </c>
      <c r="C71" s="26" t="s">
        <v>230</v>
      </c>
      <c r="D71" s="43" t="s">
        <v>79</v>
      </c>
      <c r="E71" s="98"/>
      <c r="F71" s="7"/>
      <c r="G71" s="11">
        <v>4.0</v>
      </c>
      <c r="H71" s="11">
        <v>4.0</v>
      </c>
      <c r="I71" s="11">
        <v>0.0</v>
      </c>
      <c r="J71" s="131">
        <f t="shared" si="1"/>
        <v>1</v>
      </c>
      <c r="K71" s="139"/>
    </row>
    <row r="72" ht="13.5" customHeight="1">
      <c r="A72" s="26">
        <v>69.0</v>
      </c>
      <c r="B72" s="130">
        <v>46211.0</v>
      </c>
      <c r="C72" s="26" t="s">
        <v>231</v>
      </c>
      <c r="D72" s="43" t="s">
        <v>79</v>
      </c>
      <c r="E72" s="98"/>
      <c r="F72" s="7"/>
      <c r="G72" s="7"/>
      <c r="H72" s="7"/>
      <c r="I72" s="7"/>
      <c r="J72" s="131" t="str">
        <f t="shared" si="1"/>
        <v>#DIV/0!</v>
      </c>
    </row>
    <row r="73" ht="13.5" customHeight="1">
      <c r="A73" s="132">
        <v>70.0</v>
      </c>
      <c r="B73" s="133">
        <v>46212.0</v>
      </c>
      <c r="C73" s="132" t="s">
        <v>232</v>
      </c>
      <c r="D73" s="134"/>
      <c r="E73" s="135"/>
      <c r="F73" s="134"/>
      <c r="G73" s="138">
        <v>7.0</v>
      </c>
      <c r="H73" s="138">
        <v>6.0</v>
      </c>
      <c r="I73" s="138">
        <v>1.0</v>
      </c>
      <c r="J73" s="136">
        <f t="shared" si="1"/>
        <v>0.8571428571</v>
      </c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</row>
    <row r="74" ht="13.5" customHeight="1">
      <c r="A74" s="26">
        <v>71.0</v>
      </c>
      <c r="B74" s="130">
        <v>46213.0</v>
      </c>
      <c r="C74" s="26" t="s">
        <v>226</v>
      </c>
      <c r="D74" s="43" t="s">
        <v>79</v>
      </c>
      <c r="E74" s="98"/>
      <c r="F74" s="7"/>
      <c r="G74" s="7"/>
      <c r="H74" s="7"/>
      <c r="I74" s="7"/>
      <c r="J74" s="131" t="str">
        <f t="shared" si="1"/>
        <v>#DIV/0!</v>
      </c>
    </row>
    <row r="75" ht="13.5" customHeight="1">
      <c r="A75" s="26">
        <v>72.0</v>
      </c>
      <c r="B75" s="130">
        <v>46214.0</v>
      </c>
      <c r="C75" s="26" t="s">
        <v>227</v>
      </c>
      <c r="D75" s="43" t="s">
        <v>79</v>
      </c>
      <c r="E75" s="98"/>
      <c r="F75" s="7"/>
      <c r="G75" s="11">
        <v>4.0</v>
      </c>
      <c r="H75" s="11">
        <v>4.0</v>
      </c>
      <c r="I75" s="11">
        <v>0.0</v>
      </c>
      <c r="J75" s="131">
        <f t="shared" si="1"/>
        <v>1</v>
      </c>
    </row>
    <row r="76" ht="13.5" customHeight="1">
      <c r="A76" s="26">
        <v>73.0</v>
      </c>
      <c r="B76" s="130">
        <v>46215.0</v>
      </c>
      <c r="C76" s="26" t="s">
        <v>228</v>
      </c>
      <c r="D76" s="43" t="s">
        <v>79</v>
      </c>
      <c r="E76" s="98"/>
      <c r="F76" s="7"/>
      <c r="G76" s="7"/>
      <c r="H76" s="7"/>
      <c r="I76" s="7"/>
      <c r="J76" s="131" t="str">
        <f t="shared" si="1"/>
        <v>#DIV/0!</v>
      </c>
    </row>
    <row r="77" ht="13.5" customHeight="1">
      <c r="A77" s="132">
        <v>77.0</v>
      </c>
      <c r="B77" s="133">
        <v>46219.0</v>
      </c>
      <c r="C77" s="132" t="s">
        <v>232</v>
      </c>
      <c r="D77" s="134"/>
      <c r="E77" s="135"/>
      <c r="F77" s="134"/>
      <c r="G77" s="138">
        <v>15.0</v>
      </c>
      <c r="H77" s="138">
        <v>9.0</v>
      </c>
      <c r="I77" s="138">
        <v>6.0</v>
      </c>
      <c r="J77" s="136">
        <f t="shared" si="1"/>
        <v>0.6</v>
      </c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</row>
    <row r="78" ht="13.5" customHeight="1">
      <c r="A78" s="26">
        <v>74.0</v>
      </c>
      <c r="B78" s="130">
        <v>46216.0</v>
      </c>
      <c r="C78" s="26" t="s">
        <v>226</v>
      </c>
      <c r="D78" s="43" t="s">
        <v>79</v>
      </c>
      <c r="E78" s="98"/>
      <c r="F78" s="7"/>
      <c r="G78" s="11">
        <v>10.0</v>
      </c>
      <c r="H78" s="11">
        <v>8.0</v>
      </c>
      <c r="I78" s="11">
        <v>2.0</v>
      </c>
      <c r="J78" s="131">
        <f t="shared" si="1"/>
        <v>0.8</v>
      </c>
    </row>
    <row r="79" ht="13.5" customHeight="1">
      <c r="A79" s="26">
        <v>75.0</v>
      </c>
      <c r="B79" s="130">
        <v>46217.0</v>
      </c>
      <c r="C79" s="26" t="s">
        <v>226</v>
      </c>
      <c r="D79" s="43" t="s">
        <v>79</v>
      </c>
      <c r="E79" s="98"/>
      <c r="F79" s="7"/>
      <c r="G79" s="11">
        <v>4.0</v>
      </c>
      <c r="H79" s="11">
        <v>4.0</v>
      </c>
      <c r="I79" s="11">
        <v>0.0</v>
      </c>
      <c r="J79" s="131">
        <f t="shared" si="1"/>
        <v>1</v>
      </c>
    </row>
    <row r="80" ht="13.5" customHeight="1">
      <c r="A80" s="26">
        <v>76.0</v>
      </c>
      <c r="B80" s="130">
        <v>46218.0</v>
      </c>
      <c r="C80" s="26" t="s">
        <v>228</v>
      </c>
      <c r="D80" s="43" t="s">
        <v>79</v>
      </c>
      <c r="E80" s="98"/>
      <c r="F80" s="7"/>
      <c r="G80" s="7"/>
      <c r="H80" s="7"/>
      <c r="I80" s="7"/>
      <c r="J80" s="131" t="str">
        <f t="shared" si="1"/>
        <v>#DIV/0!</v>
      </c>
    </row>
    <row r="81" ht="13.5" customHeight="1">
      <c r="A81" s="26">
        <v>80.0</v>
      </c>
      <c r="B81" s="130">
        <v>46219.0</v>
      </c>
      <c r="C81" s="26" t="s">
        <v>229</v>
      </c>
      <c r="D81" s="43" t="s">
        <v>79</v>
      </c>
      <c r="E81" s="98"/>
      <c r="F81" s="7"/>
      <c r="G81" s="7"/>
      <c r="H81" s="7"/>
      <c r="I81" s="7"/>
      <c r="J81" s="131" t="str">
        <f t="shared" si="1"/>
        <v>#DIV/0!</v>
      </c>
    </row>
    <row r="82" ht="13.5" customHeight="1">
      <c r="A82" s="26">
        <v>78.0</v>
      </c>
      <c r="B82" s="130">
        <v>46220.0</v>
      </c>
      <c r="C82" s="26" t="s">
        <v>230</v>
      </c>
      <c r="D82" s="43" t="s">
        <v>79</v>
      </c>
      <c r="E82" s="98"/>
      <c r="F82" s="7"/>
      <c r="G82" s="11">
        <v>4.0</v>
      </c>
      <c r="H82" s="11">
        <v>4.0</v>
      </c>
      <c r="I82" s="11">
        <v>0.0</v>
      </c>
      <c r="J82" s="131">
        <f t="shared" si="1"/>
        <v>1</v>
      </c>
    </row>
    <row r="83" ht="13.5" customHeight="1">
      <c r="A83" s="26">
        <v>79.0</v>
      </c>
      <c r="B83" s="130">
        <v>46221.0</v>
      </c>
      <c r="C83" s="26" t="s">
        <v>231</v>
      </c>
      <c r="D83" s="43" t="s">
        <v>79</v>
      </c>
      <c r="E83" s="98"/>
      <c r="F83" s="7"/>
      <c r="G83" s="7"/>
      <c r="H83" s="7"/>
      <c r="I83" s="7"/>
      <c r="J83" s="131" t="str">
        <f t="shared" si="1"/>
        <v>#DIV/0!</v>
      </c>
    </row>
    <row r="84" ht="13.5" customHeight="1">
      <c r="A84" s="132">
        <v>84.0</v>
      </c>
      <c r="B84" s="133">
        <v>46222.0</v>
      </c>
      <c r="C84" s="132" t="s">
        <v>232</v>
      </c>
      <c r="D84" s="134"/>
      <c r="E84" s="135"/>
      <c r="F84" s="134"/>
      <c r="G84" s="134"/>
      <c r="H84" s="134"/>
      <c r="I84" s="134"/>
      <c r="J84" s="136" t="str">
        <f t="shared" si="1"/>
        <v>#DIV/0!</v>
      </c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</row>
    <row r="85" ht="13.5" customHeight="1">
      <c r="A85" s="26">
        <v>81.0</v>
      </c>
      <c r="B85" s="130">
        <v>46223.0</v>
      </c>
      <c r="D85" s="43" t="s">
        <v>79</v>
      </c>
      <c r="E85" s="98"/>
      <c r="F85" s="7"/>
      <c r="G85" s="11">
        <v>12.0</v>
      </c>
      <c r="H85" s="11">
        <v>11.0</v>
      </c>
      <c r="I85" s="11">
        <v>1.0</v>
      </c>
      <c r="J85" s="131">
        <f t="shared" si="1"/>
        <v>0.9166666667</v>
      </c>
    </row>
    <row r="86" ht="13.5" customHeight="1">
      <c r="A86" s="26">
        <v>82.0</v>
      </c>
      <c r="B86" s="130">
        <v>46224.0</v>
      </c>
      <c r="D86" s="43" t="s">
        <v>79</v>
      </c>
      <c r="E86" s="98"/>
      <c r="F86" s="7"/>
      <c r="G86" s="7"/>
      <c r="H86" s="7"/>
      <c r="I86" s="7"/>
      <c r="J86" s="131" t="str">
        <f t="shared" si="1"/>
        <v>#DIV/0!</v>
      </c>
    </row>
    <row r="87" ht="13.5" customHeight="1">
      <c r="A87" s="26">
        <v>83.0</v>
      </c>
      <c r="B87" s="130">
        <v>46225.0</v>
      </c>
      <c r="D87" s="43" t="s">
        <v>79</v>
      </c>
      <c r="E87" s="98"/>
      <c r="F87" s="7"/>
      <c r="G87" s="7"/>
      <c r="H87" s="7"/>
      <c r="I87" s="7"/>
      <c r="J87" s="131" t="str">
        <f t="shared" si="1"/>
        <v>#DIV/0!</v>
      </c>
    </row>
    <row r="88" ht="13.5" customHeight="1">
      <c r="A88" s="26">
        <v>85.0</v>
      </c>
      <c r="B88" s="130">
        <v>46227.0</v>
      </c>
      <c r="C88" s="26" t="s">
        <v>226</v>
      </c>
      <c r="D88" s="43" t="s">
        <v>79</v>
      </c>
      <c r="E88" s="98"/>
      <c r="F88" s="7"/>
      <c r="G88" s="7"/>
      <c r="H88" s="7"/>
      <c r="I88" s="7"/>
      <c r="J88" s="131" t="str">
        <f t="shared" si="1"/>
        <v>#DIV/0!</v>
      </c>
    </row>
    <row r="89" ht="13.5" customHeight="1">
      <c r="A89" s="26">
        <v>86.0</v>
      </c>
      <c r="B89" s="130">
        <v>46228.0</v>
      </c>
      <c r="C89" s="26" t="s">
        <v>226</v>
      </c>
      <c r="D89" s="43" t="s">
        <v>79</v>
      </c>
      <c r="E89" s="98"/>
      <c r="F89" s="7"/>
      <c r="G89" s="7"/>
      <c r="H89" s="7"/>
      <c r="I89" s="7"/>
      <c r="J89" s="131" t="str">
        <f t="shared" si="1"/>
        <v>#DIV/0!</v>
      </c>
    </row>
    <row r="90" ht="13.5" customHeight="1">
      <c r="A90" s="26">
        <v>87.0</v>
      </c>
      <c r="B90" s="130">
        <v>46229.0</v>
      </c>
      <c r="C90" s="26" t="s">
        <v>228</v>
      </c>
      <c r="D90" s="43" t="s">
        <v>79</v>
      </c>
      <c r="E90" s="98"/>
      <c r="F90" s="7"/>
      <c r="G90" s="7"/>
      <c r="H90" s="7"/>
      <c r="I90" s="7"/>
      <c r="J90" s="131" t="str">
        <f t="shared" si="1"/>
        <v>#DIV/0!</v>
      </c>
    </row>
    <row r="91" ht="13.5" customHeight="1">
      <c r="A91" s="26">
        <v>88.0</v>
      </c>
      <c r="B91" s="130">
        <v>46230.0</v>
      </c>
      <c r="C91" s="26" t="s">
        <v>229</v>
      </c>
      <c r="D91" s="43" t="s">
        <v>79</v>
      </c>
      <c r="E91" s="98"/>
      <c r="F91" s="7"/>
      <c r="G91" s="7"/>
      <c r="H91" s="7"/>
      <c r="I91" s="7"/>
      <c r="J91" s="131" t="str">
        <f t="shared" si="1"/>
        <v>#DIV/0!</v>
      </c>
    </row>
    <row r="92" ht="13.5" customHeight="1">
      <c r="A92" s="26">
        <v>89.0</v>
      </c>
      <c r="B92" s="130">
        <v>46231.0</v>
      </c>
      <c r="C92" s="26" t="s">
        <v>230</v>
      </c>
      <c r="D92" s="43" t="s">
        <v>79</v>
      </c>
      <c r="E92" s="98"/>
      <c r="F92" s="7"/>
      <c r="G92" s="7"/>
      <c r="H92" s="7"/>
      <c r="I92" s="7"/>
      <c r="J92" s="131" t="str">
        <f t="shared" si="1"/>
        <v>#DIV/0!</v>
      </c>
    </row>
    <row r="93" ht="13.5" customHeight="1">
      <c r="A93" s="26">
        <v>90.0</v>
      </c>
      <c r="B93" s="130">
        <v>46232.0</v>
      </c>
      <c r="C93" s="26" t="s">
        <v>231</v>
      </c>
      <c r="D93" s="43" t="s">
        <v>79</v>
      </c>
      <c r="E93" s="98"/>
      <c r="F93" s="7"/>
      <c r="G93" s="7"/>
      <c r="H93" s="7"/>
      <c r="I93" s="7"/>
      <c r="J93" s="131" t="str">
        <f t="shared" si="1"/>
        <v>#DIV/0!</v>
      </c>
    </row>
    <row r="94" ht="13.5" customHeight="1">
      <c r="A94" s="132">
        <v>91.0</v>
      </c>
      <c r="B94" s="133">
        <v>46233.0</v>
      </c>
      <c r="C94" s="132" t="s">
        <v>232</v>
      </c>
      <c r="D94" s="134"/>
      <c r="E94" s="135"/>
      <c r="F94" s="134"/>
      <c r="G94" s="134"/>
      <c r="H94" s="134"/>
      <c r="I94" s="134"/>
      <c r="J94" s="136" t="str">
        <f t="shared" si="1"/>
        <v>#DIV/0!</v>
      </c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</row>
    <row r="95">
      <c r="A95" s="26">
        <v>92.0</v>
      </c>
      <c r="B95" s="130">
        <v>46234.0</v>
      </c>
      <c r="C95" s="26" t="s">
        <v>226</v>
      </c>
      <c r="D95" s="7"/>
      <c r="E95" s="98"/>
      <c r="F95" s="7"/>
      <c r="G95" s="7"/>
      <c r="H95" s="7"/>
      <c r="I95" s="7"/>
      <c r="J95" s="131" t="str">
        <f t="shared" si="1"/>
        <v>#DIV/0!</v>
      </c>
    </row>
    <row r="96">
      <c r="A96" s="19"/>
      <c r="B96" s="19"/>
      <c r="C96" s="19"/>
      <c r="E96" s="19"/>
    </row>
    <row r="97">
      <c r="A97" s="19"/>
      <c r="B97" s="19"/>
      <c r="C97" s="19"/>
      <c r="E97" s="19"/>
    </row>
    <row r="98">
      <c r="A98" s="19"/>
      <c r="B98" s="19"/>
      <c r="C98" s="19"/>
      <c r="E98" s="19"/>
    </row>
    <row r="99">
      <c r="A99" s="19"/>
      <c r="B99" s="19"/>
      <c r="C99" s="19"/>
      <c r="E99" s="19"/>
    </row>
    <row r="100">
      <c r="A100" s="19"/>
      <c r="B100" s="19"/>
      <c r="C100" s="19"/>
      <c r="E100" s="19"/>
    </row>
    <row r="101">
      <c r="A101" s="19"/>
      <c r="B101" s="19"/>
      <c r="C101" s="19"/>
      <c r="E101" s="19"/>
    </row>
    <row r="102">
      <c r="A102" s="19"/>
      <c r="B102" s="19"/>
      <c r="C102" s="19"/>
      <c r="E102" s="19"/>
    </row>
    <row r="103">
      <c r="A103" s="19"/>
      <c r="B103" s="19"/>
      <c r="C103" s="19"/>
      <c r="E103" s="19"/>
    </row>
    <row r="104">
      <c r="A104" s="19"/>
      <c r="B104" s="19"/>
      <c r="C104" s="19"/>
      <c r="E104" s="19"/>
    </row>
    <row r="105">
      <c r="A105" s="19"/>
      <c r="B105" s="19"/>
      <c r="C105" s="19"/>
      <c r="E105" s="19"/>
    </row>
    <row r="106">
      <c r="A106" s="19"/>
      <c r="B106" s="19"/>
      <c r="C106" s="19"/>
      <c r="E106" s="19"/>
    </row>
    <row r="107">
      <c r="A107" s="19"/>
      <c r="B107" s="19"/>
      <c r="C107" s="19"/>
      <c r="E107" s="19"/>
    </row>
    <row r="108">
      <c r="A108" s="19"/>
      <c r="B108" s="19"/>
      <c r="C108" s="19"/>
      <c r="E108" s="19"/>
    </row>
    <row r="109">
      <c r="A109" s="19"/>
      <c r="B109" s="19"/>
      <c r="C109" s="19"/>
      <c r="E109" s="19"/>
    </row>
    <row r="110">
      <c r="A110" s="19"/>
      <c r="B110" s="19"/>
      <c r="C110" s="19"/>
      <c r="E110" s="19"/>
    </row>
    <row r="111">
      <c r="A111" s="19"/>
      <c r="B111" s="19"/>
      <c r="C111" s="19"/>
      <c r="E111" s="19"/>
    </row>
    <row r="112">
      <c r="A112" s="19"/>
      <c r="B112" s="19"/>
      <c r="C112" s="19"/>
      <c r="E112" s="19"/>
    </row>
    <row r="113">
      <c r="A113" s="19"/>
      <c r="B113" s="19"/>
      <c r="C113" s="19"/>
      <c r="E113" s="19"/>
    </row>
    <row r="114">
      <c r="A114" s="19"/>
      <c r="B114" s="19"/>
      <c r="C114" s="19"/>
      <c r="E114" s="19"/>
    </row>
    <row r="115">
      <c r="A115" s="19"/>
      <c r="B115" s="19"/>
      <c r="C115" s="19"/>
      <c r="E115" s="19"/>
    </row>
    <row r="116">
      <c r="A116" s="19"/>
      <c r="B116" s="19"/>
      <c r="C116" s="19"/>
      <c r="E116" s="19"/>
    </row>
    <row r="117">
      <c r="A117" s="19"/>
      <c r="B117" s="19"/>
      <c r="C117" s="19"/>
      <c r="E117" s="19"/>
    </row>
    <row r="118">
      <c r="A118" s="19"/>
      <c r="B118" s="19"/>
      <c r="C118" s="19"/>
      <c r="E118" s="19"/>
    </row>
    <row r="119">
      <c r="A119" s="19"/>
      <c r="B119" s="19"/>
      <c r="C119" s="19"/>
      <c r="E119" s="19"/>
    </row>
    <row r="120">
      <c r="A120" s="19"/>
      <c r="B120" s="19"/>
      <c r="C120" s="19"/>
      <c r="E120" s="19"/>
    </row>
    <row r="121">
      <c r="A121" s="19"/>
      <c r="B121" s="19"/>
      <c r="C121" s="19"/>
      <c r="E121" s="19"/>
    </row>
    <row r="122">
      <c r="A122" s="19"/>
      <c r="B122" s="19"/>
      <c r="C122" s="19"/>
      <c r="E122" s="19"/>
    </row>
    <row r="123">
      <c r="A123" s="19"/>
      <c r="B123" s="19"/>
      <c r="C123" s="19"/>
      <c r="E123" s="19"/>
    </row>
    <row r="124">
      <c r="A124" s="19"/>
      <c r="B124" s="19"/>
      <c r="C124" s="19"/>
      <c r="E124" s="19"/>
    </row>
    <row r="125">
      <c r="A125" s="19"/>
      <c r="B125" s="19"/>
      <c r="C125" s="19"/>
      <c r="E125" s="19"/>
    </row>
    <row r="126">
      <c r="A126" s="19"/>
      <c r="B126" s="19"/>
      <c r="C126" s="19"/>
      <c r="E126" s="19"/>
    </row>
    <row r="127">
      <c r="A127" s="19"/>
      <c r="B127" s="19"/>
      <c r="C127" s="19"/>
      <c r="E127" s="19"/>
    </row>
    <row r="128">
      <c r="A128" s="19"/>
      <c r="B128" s="19"/>
      <c r="C128" s="19"/>
      <c r="E128" s="19"/>
    </row>
    <row r="129">
      <c r="A129" s="19"/>
      <c r="B129" s="19"/>
      <c r="C129" s="19"/>
      <c r="E129" s="19"/>
    </row>
    <row r="130">
      <c r="A130" s="19"/>
      <c r="B130" s="19"/>
      <c r="C130" s="19"/>
      <c r="E130" s="19"/>
    </row>
    <row r="131">
      <c r="A131" s="19"/>
      <c r="B131" s="19"/>
      <c r="C131" s="19"/>
      <c r="E131" s="19"/>
    </row>
    <row r="132">
      <c r="A132" s="19"/>
      <c r="B132" s="19"/>
      <c r="C132" s="19"/>
      <c r="E132" s="19"/>
    </row>
    <row r="133">
      <c r="A133" s="19"/>
      <c r="B133" s="19"/>
      <c r="C133" s="19"/>
      <c r="E133" s="19"/>
    </row>
    <row r="134">
      <c r="A134" s="19"/>
      <c r="B134" s="19"/>
      <c r="C134" s="19"/>
      <c r="E134" s="19"/>
    </row>
    <row r="135">
      <c r="A135" s="19"/>
      <c r="B135" s="19"/>
      <c r="C135" s="19"/>
      <c r="E135" s="19"/>
    </row>
    <row r="136">
      <c r="A136" s="19"/>
      <c r="B136" s="19"/>
      <c r="C136" s="19"/>
      <c r="E136" s="19"/>
    </row>
    <row r="137">
      <c r="A137" s="19"/>
      <c r="B137" s="19"/>
      <c r="C137" s="19"/>
      <c r="E137" s="19"/>
    </row>
    <row r="138">
      <c r="A138" s="19"/>
      <c r="B138" s="19"/>
      <c r="C138" s="19"/>
      <c r="E138" s="19"/>
    </row>
    <row r="139">
      <c r="A139" s="19"/>
      <c r="B139" s="19"/>
      <c r="C139" s="19"/>
      <c r="E139" s="19"/>
    </row>
    <row r="140">
      <c r="A140" s="19"/>
      <c r="B140" s="19"/>
      <c r="C140" s="19"/>
      <c r="E140" s="19"/>
    </row>
    <row r="141">
      <c r="A141" s="19"/>
      <c r="B141" s="19"/>
      <c r="C141" s="19"/>
      <c r="E141" s="19"/>
    </row>
    <row r="142">
      <c r="A142" s="19"/>
      <c r="B142" s="19"/>
      <c r="C142" s="19"/>
      <c r="E142" s="19"/>
    </row>
    <row r="143">
      <c r="A143" s="19"/>
      <c r="B143" s="19"/>
      <c r="C143" s="19"/>
      <c r="E143" s="19"/>
    </row>
    <row r="144">
      <c r="A144" s="19"/>
      <c r="B144" s="19"/>
      <c r="C144" s="19"/>
      <c r="E144" s="19"/>
    </row>
    <row r="145">
      <c r="A145" s="19"/>
      <c r="B145" s="19"/>
      <c r="C145" s="19"/>
      <c r="E145" s="19"/>
    </row>
    <row r="146">
      <c r="A146" s="19"/>
      <c r="B146" s="19"/>
      <c r="C146" s="19"/>
      <c r="E146" s="19"/>
    </row>
    <row r="147">
      <c r="A147" s="19"/>
      <c r="B147" s="19"/>
      <c r="C147" s="19"/>
      <c r="E147" s="19"/>
    </row>
    <row r="148">
      <c r="A148" s="19"/>
      <c r="B148" s="19"/>
      <c r="C148" s="19"/>
      <c r="E148" s="19"/>
    </row>
    <row r="149">
      <c r="A149" s="19"/>
      <c r="B149" s="19"/>
      <c r="C149" s="19"/>
      <c r="E149" s="19"/>
    </row>
    <row r="150">
      <c r="A150" s="19"/>
      <c r="B150" s="19"/>
      <c r="C150" s="19"/>
      <c r="E150" s="19"/>
    </row>
    <row r="151">
      <c r="A151" s="19"/>
      <c r="B151" s="19"/>
      <c r="C151" s="19"/>
      <c r="E151" s="19"/>
    </row>
    <row r="152">
      <c r="A152" s="19"/>
      <c r="B152" s="19"/>
      <c r="C152" s="19"/>
      <c r="E152" s="19"/>
    </row>
    <row r="153">
      <c r="A153" s="19"/>
      <c r="B153" s="19"/>
      <c r="C153" s="19"/>
      <c r="E153" s="19"/>
    </row>
    <row r="154">
      <c r="A154" s="19"/>
      <c r="B154" s="19"/>
      <c r="C154" s="19"/>
      <c r="E154" s="19"/>
    </row>
    <row r="155">
      <c r="A155" s="19"/>
      <c r="B155" s="19"/>
      <c r="C155" s="19"/>
      <c r="E155" s="19"/>
    </row>
    <row r="156">
      <c r="A156" s="19"/>
      <c r="B156" s="19"/>
      <c r="C156" s="19"/>
      <c r="E156" s="19"/>
    </row>
    <row r="157">
      <c r="A157" s="19"/>
      <c r="B157" s="19"/>
      <c r="C157" s="19"/>
      <c r="E157" s="19"/>
    </row>
    <row r="158">
      <c r="A158" s="19"/>
      <c r="B158" s="19"/>
      <c r="C158" s="19"/>
      <c r="E158" s="19"/>
    </row>
    <row r="159">
      <c r="A159" s="19"/>
      <c r="B159" s="19"/>
      <c r="C159" s="19"/>
      <c r="E159" s="19"/>
    </row>
    <row r="160">
      <c r="A160" s="19"/>
      <c r="B160" s="19"/>
      <c r="C160" s="19"/>
      <c r="E160" s="19"/>
    </row>
    <row r="161">
      <c r="A161" s="19"/>
      <c r="B161" s="19"/>
      <c r="C161" s="19"/>
      <c r="E161" s="19"/>
    </row>
    <row r="162">
      <c r="A162" s="19"/>
      <c r="B162" s="19"/>
      <c r="C162" s="19"/>
      <c r="E162" s="19"/>
    </row>
    <row r="163">
      <c r="A163" s="19"/>
      <c r="B163" s="19"/>
      <c r="C163" s="19"/>
      <c r="E163" s="19"/>
    </row>
    <row r="164">
      <c r="A164" s="19"/>
      <c r="B164" s="19"/>
      <c r="C164" s="19"/>
      <c r="E164" s="19"/>
    </row>
    <row r="165">
      <c r="A165" s="19"/>
      <c r="B165" s="19"/>
      <c r="C165" s="19"/>
      <c r="E165" s="19"/>
    </row>
    <row r="166">
      <c r="A166" s="19"/>
      <c r="B166" s="19"/>
      <c r="C166" s="19"/>
      <c r="E166" s="19"/>
    </row>
    <row r="167">
      <c r="A167" s="19"/>
      <c r="B167" s="19"/>
      <c r="C167" s="19"/>
      <c r="E167" s="19"/>
    </row>
    <row r="168">
      <c r="A168" s="19"/>
      <c r="B168" s="19"/>
      <c r="C168" s="19"/>
      <c r="E168" s="19"/>
    </row>
    <row r="169">
      <c r="A169" s="19"/>
      <c r="B169" s="19"/>
      <c r="C169" s="19"/>
      <c r="E169" s="19"/>
    </row>
    <row r="170">
      <c r="A170" s="19"/>
      <c r="B170" s="19"/>
      <c r="C170" s="19"/>
      <c r="E170" s="19"/>
    </row>
    <row r="171">
      <c r="A171" s="19"/>
      <c r="B171" s="19"/>
      <c r="C171" s="19"/>
      <c r="E171" s="19"/>
    </row>
    <row r="172">
      <c r="A172" s="19"/>
      <c r="B172" s="19"/>
      <c r="C172" s="19"/>
      <c r="E172" s="19"/>
    </row>
    <row r="173">
      <c r="A173" s="19"/>
      <c r="B173" s="19"/>
      <c r="C173" s="19"/>
      <c r="E173" s="19"/>
    </row>
    <row r="174">
      <c r="A174" s="19"/>
      <c r="B174" s="19"/>
      <c r="C174" s="19"/>
      <c r="E174" s="19"/>
    </row>
    <row r="175">
      <c r="A175" s="19"/>
      <c r="B175" s="19"/>
      <c r="C175" s="19"/>
      <c r="E175" s="19"/>
    </row>
    <row r="176">
      <c r="A176" s="19"/>
      <c r="B176" s="19"/>
      <c r="C176" s="19"/>
      <c r="E176" s="19"/>
    </row>
    <row r="177">
      <c r="A177" s="19"/>
      <c r="B177" s="19"/>
      <c r="C177" s="19"/>
      <c r="E177" s="19"/>
    </row>
    <row r="178">
      <c r="A178" s="19"/>
      <c r="B178" s="19"/>
      <c r="C178" s="19"/>
      <c r="E178" s="19"/>
    </row>
    <row r="179">
      <c r="A179" s="19"/>
      <c r="B179" s="19"/>
      <c r="C179" s="19"/>
      <c r="E179" s="19"/>
    </row>
    <row r="180">
      <c r="A180" s="19"/>
      <c r="B180" s="19"/>
      <c r="C180" s="19"/>
      <c r="E180" s="19"/>
    </row>
    <row r="181">
      <c r="A181" s="19"/>
      <c r="B181" s="19"/>
      <c r="C181" s="19"/>
      <c r="E181" s="19"/>
    </row>
    <row r="182">
      <c r="A182" s="19"/>
      <c r="B182" s="19"/>
      <c r="C182" s="19"/>
      <c r="E182" s="19"/>
    </row>
    <row r="183">
      <c r="A183" s="19"/>
      <c r="B183" s="19"/>
      <c r="C183" s="19"/>
      <c r="E183" s="19"/>
    </row>
    <row r="184">
      <c r="A184" s="19"/>
      <c r="B184" s="19"/>
      <c r="C184" s="19"/>
      <c r="E184" s="19"/>
    </row>
    <row r="185">
      <c r="A185" s="19"/>
      <c r="B185" s="19"/>
      <c r="C185" s="19"/>
      <c r="E185" s="19"/>
    </row>
    <row r="186">
      <c r="A186" s="19"/>
      <c r="B186" s="19"/>
      <c r="C186" s="19"/>
      <c r="E186" s="19"/>
    </row>
    <row r="187">
      <c r="A187" s="19"/>
      <c r="B187" s="19"/>
      <c r="C187" s="19"/>
      <c r="E187" s="19"/>
    </row>
    <row r="188">
      <c r="A188" s="19"/>
      <c r="B188" s="19"/>
      <c r="C188" s="19"/>
      <c r="E188" s="19"/>
    </row>
    <row r="189">
      <c r="A189" s="19"/>
      <c r="B189" s="19"/>
      <c r="C189" s="19"/>
      <c r="E189" s="19"/>
    </row>
    <row r="190">
      <c r="A190" s="19"/>
      <c r="B190" s="19"/>
      <c r="C190" s="19"/>
      <c r="E190" s="19"/>
    </row>
    <row r="191">
      <c r="A191" s="19"/>
      <c r="B191" s="19"/>
      <c r="C191" s="19"/>
      <c r="E191" s="19"/>
    </row>
    <row r="192">
      <c r="A192" s="19"/>
      <c r="B192" s="19"/>
      <c r="C192" s="19"/>
      <c r="E192" s="19"/>
    </row>
    <row r="193">
      <c r="A193" s="19"/>
      <c r="B193" s="19"/>
      <c r="C193" s="19"/>
      <c r="E193" s="19"/>
    </row>
    <row r="194">
      <c r="A194" s="19"/>
      <c r="B194" s="19"/>
      <c r="C194" s="19"/>
      <c r="E194" s="19"/>
    </row>
    <row r="195">
      <c r="A195" s="19"/>
      <c r="B195" s="19"/>
      <c r="C195" s="19"/>
      <c r="E195" s="19"/>
    </row>
    <row r="196">
      <c r="A196" s="19"/>
      <c r="B196" s="19"/>
      <c r="C196" s="19"/>
      <c r="E196" s="19"/>
    </row>
    <row r="197">
      <c r="A197" s="19"/>
      <c r="B197" s="19"/>
      <c r="C197" s="19"/>
      <c r="E197" s="19"/>
    </row>
    <row r="198">
      <c r="A198" s="19"/>
      <c r="B198" s="19"/>
      <c r="C198" s="19"/>
      <c r="E198" s="19"/>
    </row>
    <row r="199">
      <c r="A199" s="19"/>
      <c r="B199" s="19"/>
      <c r="C199" s="19"/>
      <c r="E199" s="19"/>
    </row>
    <row r="200">
      <c r="A200" s="19"/>
      <c r="B200" s="19"/>
      <c r="C200" s="19"/>
      <c r="E200" s="19"/>
    </row>
    <row r="201">
      <c r="A201" s="19"/>
      <c r="B201" s="19"/>
      <c r="C201" s="19"/>
      <c r="E201" s="19"/>
    </row>
    <row r="202">
      <c r="A202" s="19"/>
      <c r="B202" s="19"/>
      <c r="C202" s="19"/>
      <c r="E202" s="19"/>
    </row>
    <row r="203">
      <c r="A203" s="19"/>
      <c r="B203" s="19"/>
      <c r="C203" s="19"/>
      <c r="E203" s="19"/>
    </row>
    <row r="204">
      <c r="A204" s="19"/>
      <c r="B204" s="19"/>
      <c r="C204" s="19"/>
      <c r="E204" s="19"/>
    </row>
    <row r="205">
      <c r="A205" s="19"/>
      <c r="B205" s="19"/>
      <c r="C205" s="19"/>
      <c r="E205" s="19"/>
    </row>
    <row r="206">
      <c r="A206" s="19"/>
      <c r="B206" s="19"/>
      <c r="C206" s="19"/>
      <c r="E206" s="19"/>
    </row>
    <row r="207">
      <c r="A207" s="19"/>
      <c r="B207" s="19"/>
      <c r="C207" s="19"/>
      <c r="E207" s="19"/>
    </row>
    <row r="208">
      <c r="A208" s="19"/>
      <c r="B208" s="19"/>
      <c r="C208" s="19"/>
      <c r="E208" s="19"/>
    </row>
    <row r="209">
      <c r="A209" s="19"/>
      <c r="B209" s="19"/>
      <c r="C209" s="19"/>
      <c r="E209" s="19"/>
    </row>
    <row r="210">
      <c r="A210" s="19"/>
      <c r="B210" s="19"/>
      <c r="C210" s="19"/>
      <c r="E210" s="19"/>
    </row>
    <row r="211">
      <c r="A211" s="19"/>
      <c r="B211" s="19"/>
      <c r="C211" s="19"/>
      <c r="E211" s="19"/>
    </row>
    <row r="212">
      <c r="A212" s="19"/>
      <c r="B212" s="19"/>
      <c r="C212" s="19"/>
      <c r="E212" s="19"/>
    </row>
    <row r="213">
      <c r="A213" s="19"/>
      <c r="B213" s="19"/>
      <c r="C213" s="19"/>
      <c r="E213" s="19"/>
    </row>
    <row r="214">
      <c r="A214" s="19"/>
      <c r="B214" s="19"/>
      <c r="C214" s="19"/>
      <c r="E214" s="19"/>
    </row>
    <row r="215">
      <c r="A215" s="19"/>
      <c r="B215" s="19"/>
      <c r="C215" s="19"/>
      <c r="E215" s="19"/>
    </row>
    <row r="216">
      <c r="A216" s="19"/>
      <c r="B216" s="19"/>
      <c r="C216" s="19"/>
      <c r="E216" s="19"/>
    </row>
    <row r="217">
      <c r="A217" s="19"/>
      <c r="B217" s="19"/>
      <c r="C217" s="19"/>
      <c r="E217" s="19"/>
    </row>
    <row r="218">
      <c r="A218" s="19"/>
      <c r="B218" s="19"/>
      <c r="C218" s="19"/>
      <c r="E218" s="19"/>
    </row>
    <row r="219">
      <c r="A219" s="19"/>
      <c r="B219" s="19"/>
      <c r="C219" s="19"/>
      <c r="E219" s="19"/>
    </row>
    <row r="220">
      <c r="A220" s="19"/>
      <c r="B220" s="19"/>
      <c r="C220" s="19"/>
      <c r="E220" s="19"/>
    </row>
    <row r="221">
      <c r="A221" s="19"/>
      <c r="B221" s="19"/>
      <c r="C221" s="19"/>
      <c r="E221" s="19"/>
    </row>
    <row r="222">
      <c r="A222" s="19"/>
      <c r="B222" s="19"/>
      <c r="C222" s="19"/>
      <c r="E222" s="19"/>
    </row>
    <row r="223">
      <c r="A223" s="19"/>
      <c r="B223" s="19"/>
      <c r="C223" s="19"/>
      <c r="E223" s="19"/>
    </row>
    <row r="224">
      <c r="A224" s="19"/>
      <c r="B224" s="19"/>
      <c r="C224" s="19"/>
      <c r="E224" s="19"/>
    </row>
    <row r="225">
      <c r="A225" s="19"/>
      <c r="B225" s="19"/>
      <c r="C225" s="19"/>
      <c r="E225" s="19"/>
    </row>
    <row r="226">
      <c r="A226" s="19"/>
      <c r="B226" s="19"/>
      <c r="C226" s="19"/>
      <c r="E226" s="19"/>
    </row>
    <row r="227">
      <c r="A227" s="19"/>
      <c r="B227" s="19"/>
      <c r="C227" s="19"/>
      <c r="E227" s="19"/>
    </row>
    <row r="228">
      <c r="A228" s="19"/>
      <c r="B228" s="19"/>
      <c r="C228" s="19"/>
      <c r="E228" s="19"/>
    </row>
    <row r="229">
      <c r="A229" s="19"/>
      <c r="B229" s="19"/>
      <c r="C229" s="19"/>
      <c r="E229" s="19"/>
    </row>
    <row r="230">
      <c r="A230" s="19"/>
      <c r="B230" s="19"/>
      <c r="C230" s="19"/>
      <c r="E230" s="19"/>
    </row>
    <row r="231">
      <c r="A231" s="19"/>
      <c r="B231" s="19"/>
      <c r="C231" s="19"/>
      <c r="E231" s="19"/>
    </row>
    <row r="232">
      <c r="A232" s="19"/>
      <c r="B232" s="19"/>
      <c r="C232" s="19"/>
      <c r="E232" s="19"/>
    </row>
    <row r="233">
      <c r="A233" s="19"/>
      <c r="B233" s="19"/>
      <c r="C233" s="19"/>
      <c r="E233" s="19"/>
    </row>
    <row r="234">
      <c r="A234" s="19"/>
      <c r="B234" s="19"/>
      <c r="C234" s="19"/>
      <c r="E234" s="19"/>
    </row>
    <row r="235">
      <c r="A235" s="19"/>
      <c r="B235" s="19"/>
      <c r="C235" s="19"/>
      <c r="E235" s="19"/>
    </row>
    <row r="236">
      <c r="A236" s="19"/>
      <c r="B236" s="19"/>
      <c r="C236" s="19"/>
      <c r="E236" s="19"/>
    </row>
    <row r="237">
      <c r="A237" s="19"/>
      <c r="B237" s="19"/>
      <c r="C237" s="19"/>
      <c r="E237" s="19"/>
    </row>
    <row r="238">
      <c r="A238" s="19"/>
      <c r="B238" s="19"/>
      <c r="C238" s="19"/>
      <c r="E238" s="19"/>
    </row>
    <row r="239">
      <c r="A239" s="19"/>
      <c r="B239" s="19"/>
      <c r="C239" s="19"/>
      <c r="E239" s="19"/>
    </row>
    <row r="240">
      <c r="A240" s="19"/>
      <c r="B240" s="19"/>
      <c r="C240" s="19"/>
      <c r="E240" s="19"/>
    </row>
    <row r="241">
      <c r="A241" s="19"/>
      <c r="B241" s="19"/>
      <c r="C241" s="19"/>
      <c r="E241" s="19"/>
    </row>
    <row r="242">
      <c r="A242" s="19"/>
      <c r="B242" s="19"/>
      <c r="C242" s="19"/>
      <c r="E242" s="19"/>
    </row>
    <row r="243">
      <c r="A243" s="19"/>
      <c r="B243" s="19"/>
      <c r="C243" s="19"/>
      <c r="E243" s="19"/>
    </row>
    <row r="244">
      <c r="A244" s="19"/>
      <c r="B244" s="19"/>
      <c r="C244" s="19"/>
      <c r="E244" s="19"/>
    </row>
    <row r="245">
      <c r="A245" s="19"/>
      <c r="B245" s="19"/>
      <c r="C245" s="19"/>
      <c r="E245" s="19"/>
    </row>
    <row r="246">
      <c r="A246" s="19"/>
      <c r="B246" s="19"/>
      <c r="C246" s="19"/>
      <c r="E246" s="19"/>
    </row>
    <row r="247">
      <c r="A247" s="19"/>
      <c r="B247" s="19"/>
      <c r="C247" s="19"/>
      <c r="E247" s="19"/>
    </row>
    <row r="248">
      <c r="A248" s="19"/>
      <c r="B248" s="19"/>
      <c r="C248" s="19"/>
      <c r="E248" s="19"/>
    </row>
    <row r="249">
      <c r="A249" s="19"/>
      <c r="B249" s="19"/>
      <c r="C249" s="19"/>
      <c r="E249" s="19"/>
    </row>
    <row r="250">
      <c r="A250" s="19"/>
      <c r="B250" s="19"/>
      <c r="C250" s="19"/>
      <c r="E250" s="19"/>
    </row>
    <row r="251">
      <c r="A251" s="19"/>
      <c r="B251" s="19"/>
      <c r="C251" s="19"/>
      <c r="E251" s="19"/>
    </row>
    <row r="252">
      <c r="A252" s="19"/>
      <c r="B252" s="19"/>
      <c r="C252" s="19"/>
      <c r="E252" s="19"/>
    </row>
    <row r="253">
      <c r="A253" s="19"/>
      <c r="B253" s="19"/>
      <c r="C253" s="19"/>
      <c r="E253" s="19"/>
    </row>
    <row r="254">
      <c r="A254" s="19"/>
      <c r="B254" s="19"/>
      <c r="C254" s="19"/>
      <c r="E254" s="19"/>
    </row>
    <row r="255">
      <c r="A255" s="19"/>
      <c r="B255" s="19"/>
      <c r="C255" s="19"/>
      <c r="E255" s="19"/>
    </row>
    <row r="256">
      <c r="A256" s="19"/>
      <c r="B256" s="19"/>
      <c r="C256" s="19"/>
      <c r="E256" s="19"/>
    </row>
    <row r="257">
      <c r="A257" s="19"/>
      <c r="B257" s="19"/>
      <c r="C257" s="19"/>
      <c r="E257" s="19"/>
    </row>
    <row r="258">
      <c r="A258" s="19"/>
      <c r="B258" s="19"/>
      <c r="C258" s="19"/>
      <c r="E258" s="19"/>
    </row>
    <row r="259">
      <c r="A259" s="19"/>
      <c r="B259" s="19"/>
      <c r="C259" s="19"/>
      <c r="E259" s="19"/>
    </row>
    <row r="260">
      <c r="A260" s="19"/>
      <c r="B260" s="19"/>
      <c r="C260" s="19"/>
      <c r="E260" s="19"/>
    </row>
    <row r="261">
      <c r="A261" s="19"/>
      <c r="B261" s="19"/>
      <c r="C261" s="19"/>
      <c r="E261" s="19"/>
    </row>
    <row r="262">
      <c r="A262" s="19"/>
      <c r="B262" s="19"/>
      <c r="C262" s="19"/>
      <c r="E262" s="19"/>
    </row>
    <row r="263">
      <c r="A263" s="19"/>
      <c r="B263" s="19"/>
      <c r="C263" s="19"/>
      <c r="E263" s="19"/>
    </row>
    <row r="264">
      <c r="A264" s="19"/>
      <c r="B264" s="19"/>
      <c r="C264" s="19"/>
      <c r="E264" s="19"/>
    </row>
    <row r="265">
      <c r="A265" s="19"/>
      <c r="B265" s="19"/>
      <c r="C265" s="19"/>
      <c r="E265" s="19"/>
    </row>
    <row r="266">
      <c r="A266" s="19"/>
      <c r="B266" s="19"/>
      <c r="C266" s="19"/>
      <c r="E266" s="19"/>
    </row>
    <row r="267">
      <c r="A267" s="19"/>
      <c r="B267" s="19"/>
      <c r="C267" s="19"/>
      <c r="E267" s="19"/>
    </row>
    <row r="268">
      <c r="A268" s="19"/>
      <c r="B268" s="19"/>
      <c r="C268" s="19"/>
      <c r="E268" s="19"/>
    </row>
    <row r="269">
      <c r="A269" s="19"/>
      <c r="B269" s="19"/>
      <c r="C269" s="19"/>
      <c r="E269" s="19"/>
    </row>
    <row r="270">
      <c r="A270" s="19"/>
      <c r="B270" s="19"/>
      <c r="C270" s="19"/>
      <c r="E270" s="19"/>
    </row>
    <row r="271">
      <c r="A271" s="19"/>
      <c r="B271" s="19"/>
      <c r="C271" s="19"/>
      <c r="E271" s="19"/>
    </row>
    <row r="272">
      <c r="A272" s="19"/>
      <c r="B272" s="19"/>
      <c r="C272" s="19"/>
      <c r="E272" s="19"/>
    </row>
    <row r="273">
      <c r="A273" s="19"/>
      <c r="B273" s="19"/>
      <c r="C273" s="19"/>
      <c r="E273" s="19"/>
    </row>
    <row r="274">
      <c r="A274" s="19"/>
      <c r="B274" s="19"/>
      <c r="C274" s="19"/>
      <c r="E274" s="19"/>
    </row>
    <row r="275">
      <c r="A275" s="19"/>
      <c r="B275" s="19"/>
      <c r="C275" s="19"/>
      <c r="E275" s="19"/>
    </row>
    <row r="276">
      <c r="A276" s="19"/>
      <c r="B276" s="19"/>
      <c r="C276" s="19"/>
      <c r="E276" s="19"/>
    </row>
    <row r="277">
      <c r="A277" s="19"/>
      <c r="B277" s="19"/>
      <c r="C277" s="19"/>
      <c r="E277" s="19"/>
    </row>
    <row r="278">
      <c r="A278" s="19"/>
      <c r="B278" s="19"/>
      <c r="C278" s="19"/>
      <c r="E278" s="19"/>
    </row>
    <row r="279">
      <c r="A279" s="19"/>
      <c r="B279" s="19"/>
      <c r="C279" s="19"/>
      <c r="E279" s="19"/>
    </row>
    <row r="280">
      <c r="A280" s="19"/>
      <c r="B280" s="19"/>
      <c r="C280" s="19"/>
      <c r="E280" s="19"/>
    </row>
    <row r="281">
      <c r="A281" s="19"/>
      <c r="B281" s="19"/>
      <c r="C281" s="19"/>
      <c r="E281" s="19"/>
    </row>
    <row r="282">
      <c r="A282" s="19"/>
      <c r="B282" s="19"/>
      <c r="C282" s="19"/>
      <c r="E282" s="19"/>
    </row>
    <row r="283">
      <c r="A283" s="19"/>
      <c r="B283" s="19"/>
      <c r="C283" s="19"/>
      <c r="E283" s="19"/>
    </row>
    <row r="284">
      <c r="A284" s="19"/>
      <c r="B284" s="19"/>
      <c r="C284" s="19"/>
      <c r="E284" s="19"/>
    </row>
    <row r="285">
      <c r="A285" s="19"/>
      <c r="B285" s="19"/>
      <c r="C285" s="19"/>
      <c r="E285" s="19"/>
    </row>
    <row r="286">
      <c r="A286" s="19"/>
      <c r="B286" s="19"/>
      <c r="C286" s="19"/>
      <c r="E286" s="19"/>
    </row>
    <row r="287">
      <c r="A287" s="19"/>
      <c r="B287" s="19"/>
      <c r="C287" s="19"/>
      <c r="E287" s="19"/>
    </row>
    <row r="288">
      <c r="A288" s="19"/>
      <c r="B288" s="19"/>
      <c r="C288" s="19"/>
      <c r="E288" s="19"/>
    </row>
    <row r="289">
      <c r="A289" s="19"/>
      <c r="B289" s="19"/>
      <c r="C289" s="19"/>
      <c r="E289" s="19"/>
    </row>
    <row r="290">
      <c r="A290" s="19"/>
      <c r="B290" s="19"/>
      <c r="C290" s="19"/>
      <c r="E290" s="19"/>
    </row>
    <row r="291">
      <c r="A291" s="19"/>
      <c r="B291" s="19"/>
      <c r="C291" s="19"/>
      <c r="E291" s="19"/>
    </row>
    <row r="292">
      <c r="A292" s="19"/>
      <c r="B292" s="19"/>
      <c r="C292" s="19"/>
      <c r="E292" s="19"/>
    </row>
    <row r="293">
      <c r="A293" s="19"/>
      <c r="B293" s="19"/>
      <c r="C293" s="19"/>
      <c r="E293" s="19"/>
    </row>
    <row r="294">
      <c r="A294" s="19"/>
      <c r="B294" s="19"/>
      <c r="C294" s="19"/>
      <c r="E294" s="19"/>
    </row>
    <row r="295">
      <c r="A295" s="19"/>
      <c r="B295" s="19"/>
      <c r="C295" s="19"/>
      <c r="E295" s="19"/>
    </row>
    <row r="296">
      <c r="A296" s="19"/>
      <c r="B296" s="19"/>
      <c r="C296" s="19"/>
      <c r="E296" s="19"/>
    </row>
    <row r="297">
      <c r="A297" s="19"/>
      <c r="B297" s="19"/>
      <c r="C297" s="19"/>
      <c r="E297" s="19"/>
    </row>
    <row r="298">
      <c r="A298" s="19"/>
      <c r="B298" s="19"/>
      <c r="C298" s="19"/>
      <c r="E298" s="19"/>
    </row>
    <row r="299">
      <c r="A299" s="19"/>
      <c r="B299" s="19"/>
      <c r="C299" s="19"/>
      <c r="E299" s="19"/>
    </row>
    <row r="300">
      <c r="A300" s="19"/>
      <c r="B300" s="19"/>
      <c r="C300" s="19"/>
      <c r="E300" s="19"/>
    </row>
    <row r="301">
      <c r="A301" s="19"/>
      <c r="B301" s="19"/>
      <c r="C301" s="19"/>
      <c r="E301" s="19"/>
    </row>
    <row r="302">
      <c r="A302" s="19"/>
      <c r="B302" s="19"/>
      <c r="C302" s="19"/>
      <c r="E302" s="19"/>
    </row>
    <row r="303">
      <c r="A303" s="19"/>
      <c r="B303" s="19"/>
      <c r="C303" s="19"/>
      <c r="E303" s="19"/>
    </row>
    <row r="304">
      <c r="A304" s="19"/>
      <c r="B304" s="19"/>
      <c r="C304" s="19"/>
      <c r="E304" s="19"/>
    </row>
    <row r="305">
      <c r="A305" s="19"/>
      <c r="B305" s="19"/>
      <c r="C305" s="19"/>
      <c r="E305" s="19"/>
    </row>
    <row r="306">
      <c r="A306" s="19"/>
      <c r="B306" s="19"/>
      <c r="C306" s="19"/>
      <c r="E306" s="19"/>
    </row>
    <row r="307">
      <c r="A307" s="19"/>
      <c r="B307" s="19"/>
      <c r="C307" s="19"/>
      <c r="E307" s="19"/>
    </row>
    <row r="308">
      <c r="A308" s="19"/>
      <c r="B308" s="19"/>
      <c r="C308" s="19"/>
      <c r="E308" s="19"/>
    </row>
    <row r="309">
      <c r="A309" s="19"/>
      <c r="B309" s="19"/>
      <c r="C309" s="19"/>
      <c r="E309" s="19"/>
    </row>
    <row r="310">
      <c r="A310" s="19"/>
      <c r="B310" s="19"/>
      <c r="C310" s="19"/>
      <c r="E310" s="19"/>
    </row>
    <row r="311">
      <c r="A311" s="19"/>
      <c r="B311" s="19"/>
      <c r="C311" s="19"/>
      <c r="E311" s="19"/>
    </row>
    <row r="312">
      <c r="A312" s="19"/>
      <c r="B312" s="19"/>
      <c r="C312" s="19"/>
      <c r="E312" s="19"/>
    </row>
    <row r="313">
      <c r="A313" s="19"/>
      <c r="B313" s="19"/>
      <c r="C313" s="19"/>
      <c r="E313" s="19"/>
    </row>
    <row r="314">
      <c r="A314" s="19"/>
      <c r="B314" s="19"/>
      <c r="C314" s="19"/>
      <c r="E314" s="19"/>
    </row>
    <row r="315">
      <c r="A315" s="19"/>
      <c r="B315" s="19"/>
      <c r="C315" s="19"/>
      <c r="E315" s="19"/>
    </row>
    <row r="316">
      <c r="A316" s="19"/>
      <c r="B316" s="19"/>
      <c r="C316" s="19"/>
      <c r="E316" s="19"/>
    </row>
    <row r="317">
      <c r="A317" s="19"/>
      <c r="B317" s="19"/>
      <c r="C317" s="19"/>
      <c r="E317" s="19"/>
    </row>
    <row r="318">
      <c r="A318" s="19"/>
      <c r="B318" s="19"/>
      <c r="C318" s="19"/>
      <c r="E318" s="19"/>
    </row>
    <row r="319">
      <c r="A319" s="19"/>
      <c r="B319" s="19"/>
      <c r="C319" s="19"/>
      <c r="E319" s="19"/>
    </row>
    <row r="320">
      <c r="A320" s="19"/>
      <c r="B320" s="19"/>
      <c r="C320" s="19"/>
      <c r="E320" s="19"/>
    </row>
    <row r="321">
      <c r="A321" s="19"/>
      <c r="B321" s="19"/>
      <c r="C321" s="19"/>
      <c r="E321" s="19"/>
    </row>
    <row r="322">
      <c r="A322" s="19"/>
      <c r="B322" s="19"/>
      <c r="C322" s="19"/>
      <c r="E322" s="19"/>
    </row>
    <row r="323">
      <c r="A323" s="19"/>
      <c r="B323" s="19"/>
      <c r="C323" s="19"/>
      <c r="E323" s="19"/>
    </row>
    <row r="324">
      <c r="A324" s="19"/>
      <c r="B324" s="19"/>
      <c r="C324" s="19"/>
      <c r="E324" s="19"/>
    </row>
    <row r="325">
      <c r="A325" s="19"/>
      <c r="B325" s="19"/>
      <c r="C325" s="19"/>
      <c r="E325" s="19"/>
    </row>
    <row r="326">
      <c r="A326" s="19"/>
      <c r="B326" s="19"/>
      <c r="C326" s="19"/>
      <c r="E326" s="19"/>
    </row>
    <row r="327">
      <c r="A327" s="19"/>
      <c r="B327" s="19"/>
      <c r="C327" s="19"/>
      <c r="E327" s="19"/>
    </row>
    <row r="328">
      <c r="A328" s="19"/>
      <c r="B328" s="19"/>
      <c r="C328" s="19"/>
      <c r="E328" s="19"/>
    </row>
    <row r="329">
      <c r="A329" s="19"/>
      <c r="B329" s="19"/>
      <c r="C329" s="19"/>
      <c r="E329" s="19"/>
    </row>
    <row r="330">
      <c r="A330" s="19"/>
      <c r="B330" s="19"/>
      <c r="C330" s="19"/>
      <c r="E330" s="19"/>
    </row>
    <row r="331">
      <c r="A331" s="19"/>
      <c r="B331" s="19"/>
      <c r="C331" s="19"/>
      <c r="E331" s="19"/>
    </row>
    <row r="332">
      <c r="A332" s="19"/>
      <c r="B332" s="19"/>
      <c r="C332" s="19"/>
      <c r="E332" s="19"/>
    </row>
    <row r="333">
      <c r="A333" s="19"/>
      <c r="B333" s="19"/>
      <c r="C333" s="19"/>
      <c r="E333" s="19"/>
    </row>
    <row r="334">
      <c r="A334" s="19"/>
      <c r="B334" s="19"/>
      <c r="C334" s="19"/>
      <c r="E334" s="19"/>
    </row>
    <row r="335">
      <c r="A335" s="19"/>
      <c r="B335" s="19"/>
      <c r="C335" s="19"/>
      <c r="E335" s="19"/>
    </row>
    <row r="336">
      <c r="A336" s="19"/>
      <c r="B336" s="19"/>
      <c r="C336" s="19"/>
      <c r="E336" s="19"/>
    </row>
    <row r="337">
      <c r="A337" s="19"/>
      <c r="B337" s="19"/>
      <c r="C337" s="19"/>
      <c r="E337" s="19"/>
    </row>
    <row r="338">
      <c r="A338" s="19"/>
      <c r="B338" s="19"/>
      <c r="C338" s="19"/>
      <c r="E338" s="19"/>
    </row>
    <row r="339">
      <c r="A339" s="19"/>
      <c r="B339" s="19"/>
      <c r="C339" s="19"/>
      <c r="E339" s="19"/>
    </row>
    <row r="340">
      <c r="A340" s="19"/>
      <c r="B340" s="19"/>
      <c r="C340" s="19"/>
      <c r="E340" s="19"/>
    </row>
    <row r="341">
      <c r="A341" s="19"/>
      <c r="B341" s="19"/>
      <c r="C341" s="19"/>
      <c r="E341" s="19"/>
    </row>
    <row r="342">
      <c r="A342" s="19"/>
      <c r="B342" s="19"/>
      <c r="C342" s="19"/>
      <c r="E342" s="19"/>
    </row>
    <row r="343">
      <c r="A343" s="19"/>
      <c r="B343" s="19"/>
      <c r="C343" s="19"/>
      <c r="E343" s="19"/>
    </row>
    <row r="344">
      <c r="A344" s="19"/>
      <c r="B344" s="19"/>
      <c r="C344" s="19"/>
      <c r="E344" s="19"/>
    </row>
    <row r="345">
      <c r="A345" s="19"/>
      <c r="B345" s="19"/>
      <c r="C345" s="19"/>
      <c r="E345" s="19"/>
    </row>
    <row r="346">
      <c r="A346" s="19"/>
      <c r="B346" s="19"/>
      <c r="C346" s="19"/>
      <c r="E346" s="19"/>
    </row>
    <row r="347">
      <c r="A347" s="19"/>
      <c r="B347" s="19"/>
      <c r="C347" s="19"/>
      <c r="E347" s="19"/>
    </row>
    <row r="348">
      <c r="A348" s="19"/>
      <c r="B348" s="19"/>
      <c r="C348" s="19"/>
      <c r="E348" s="19"/>
    </row>
    <row r="349">
      <c r="A349" s="19"/>
      <c r="B349" s="19"/>
      <c r="C349" s="19"/>
      <c r="E349" s="19"/>
    </row>
    <row r="350">
      <c r="A350" s="19"/>
      <c r="B350" s="19"/>
      <c r="C350" s="19"/>
      <c r="E350" s="19"/>
    </row>
    <row r="351">
      <c r="A351" s="19"/>
      <c r="B351" s="19"/>
      <c r="C351" s="19"/>
      <c r="E351" s="19"/>
    </row>
    <row r="352">
      <c r="A352" s="19"/>
      <c r="B352" s="19"/>
      <c r="C352" s="19"/>
      <c r="E352" s="19"/>
    </row>
    <row r="353">
      <c r="A353" s="19"/>
      <c r="B353" s="19"/>
      <c r="C353" s="19"/>
      <c r="E353" s="19"/>
    </row>
    <row r="354">
      <c r="A354" s="19"/>
      <c r="B354" s="19"/>
      <c r="C354" s="19"/>
      <c r="E354" s="19"/>
    </row>
    <row r="355">
      <c r="A355" s="19"/>
      <c r="B355" s="19"/>
      <c r="C355" s="19"/>
      <c r="E355" s="19"/>
    </row>
    <row r="356">
      <c r="A356" s="19"/>
      <c r="B356" s="19"/>
      <c r="C356" s="19"/>
      <c r="E356" s="19"/>
    </row>
    <row r="357">
      <c r="A357" s="19"/>
      <c r="B357" s="19"/>
      <c r="C357" s="19"/>
      <c r="E357" s="19"/>
    </row>
    <row r="358">
      <c r="A358" s="19"/>
      <c r="B358" s="19"/>
      <c r="C358" s="19"/>
      <c r="E358" s="19"/>
    </row>
    <row r="359">
      <c r="A359" s="19"/>
      <c r="B359" s="19"/>
      <c r="C359" s="19"/>
      <c r="E359" s="19"/>
    </row>
    <row r="360">
      <c r="A360" s="19"/>
      <c r="B360" s="19"/>
      <c r="C360" s="19"/>
      <c r="E360" s="19"/>
    </row>
    <row r="361">
      <c r="A361" s="19"/>
      <c r="B361" s="19"/>
      <c r="C361" s="19"/>
      <c r="E361" s="19"/>
    </row>
    <row r="362">
      <c r="A362" s="19"/>
      <c r="B362" s="19"/>
      <c r="C362" s="19"/>
      <c r="E362" s="19"/>
    </row>
    <row r="363">
      <c r="A363" s="19"/>
      <c r="B363" s="19"/>
      <c r="C363" s="19"/>
      <c r="E363" s="19"/>
    </row>
    <row r="364">
      <c r="A364" s="19"/>
      <c r="B364" s="19"/>
      <c r="C364" s="19"/>
      <c r="E364" s="19"/>
    </row>
    <row r="365">
      <c r="A365" s="19"/>
      <c r="B365" s="19"/>
      <c r="C365" s="19"/>
      <c r="E365" s="19"/>
    </row>
    <row r="366">
      <c r="A366" s="19"/>
      <c r="B366" s="19"/>
      <c r="C366" s="19"/>
      <c r="E366" s="19"/>
    </row>
    <row r="367">
      <c r="A367" s="19"/>
      <c r="B367" s="19"/>
      <c r="C367" s="19"/>
      <c r="E367" s="19"/>
    </row>
    <row r="368">
      <c r="A368" s="19"/>
      <c r="B368" s="19"/>
      <c r="C368" s="19"/>
      <c r="E368" s="19"/>
    </row>
    <row r="369">
      <c r="A369" s="19"/>
      <c r="B369" s="19"/>
      <c r="C369" s="19"/>
      <c r="E369" s="19"/>
    </row>
    <row r="370">
      <c r="A370" s="19"/>
      <c r="B370" s="19"/>
      <c r="C370" s="19"/>
      <c r="E370" s="19"/>
    </row>
    <row r="371">
      <c r="A371" s="19"/>
      <c r="B371" s="19"/>
      <c r="C371" s="19"/>
      <c r="E371" s="19"/>
    </row>
    <row r="372">
      <c r="A372" s="19"/>
      <c r="B372" s="19"/>
      <c r="C372" s="19"/>
      <c r="E372" s="19"/>
    </row>
    <row r="373">
      <c r="A373" s="19"/>
      <c r="B373" s="19"/>
      <c r="C373" s="19"/>
      <c r="E373" s="19"/>
    </row>
    <row r="374">
      <c r="A374" s="19"/>
      <c r="B374" s="19"/>
      <c r="C374" s="19"/>
      <c r="E374" s="19"/>
    </row>
    <row r="375">
      <c r="A375" s="19"/>
      <c r="B375" s="19"/>
      <c r="C375" s="19"/>
      <c r="E375" s="19"/>
    </row>
    <row r="376">
      <c r="A376" s="19"/>
      <c r="B376" s="19"/>
      <c r="C376" s="19"/>
      <c r="E376" s="19"/>
    </row>
    <row r="377">
      <c r="A377" s="19"/>
      <c r="B377" s="19"/>
      <c r="C377" s="19"/>
      <c r="E377" s="19"/>
    </row>
    <row r="378">
      <c r="A378" s="19"/>
      <c r="B378" s="19"/>
      <c r="C378" s="19"/>
      <c r="E378" s="19"/>
    </row>
    <row r="379">
      <c r="A379" s="19"/>
      <c r="B379" s="19"/>
      <c r="C379" s="19"/>
      <c r="E379" s="19"/>
    </row>
    <row r="380">
      <c r="A380" s="19"/>
      <c r="B380" s="19"/>
      <c r="C380" s="19"/>
      <c r="E380" s="19"/>
    </row>
    <row r="381">
      <c r="A381" s="19"/>
      <c r="B381" s="19"/>
      <c r="C381" s="19"/>
      <c r="E381" s="19"/>
    </row>
    <row r="382">
      <c r="A382" s="19"/>
      <c r="B382" s="19"/>
      <c r="C382" s="19"/>
      <c r="E382" s="19"/>
    </row>
    <row r="383">
      <c r="A383" s="19"/>
      <c r="B383" s="19"/>
      <c r="C383" s="19"/>
      <c r="E383" s="19"/>
    </row>
    <row r="384">
      <c r="A384" s="19"/>
      <c r="B384" s="19"/>
      <c r="C384" s="19"/>
      <c r="E384" s="19"/>
    </row>
    <row r="385">
      <c r="A385" s="19"/>
      <c r="B385" s="19"/>
      <c r="C385" s="19"/>
      <c r="E385" s="19"/>
    </row>
    <row r="386">
      <c r="A386" s="19"/>
      <c r="B386" s="19"/>
      <c r="C386" s="19"/>
      <c r="E386" s="19"/>
    </row>
    <row r="387">
      <c r="A387" s="19"/>
      <c r="B387" s="19"/>
      <c r="C387" s="19"/>
      <c r="E387" s="19"/>
    </row>
    <row r="388">
      <c r="A388" s="19"/>
      <c r="B388" s="19"/>
      <c r="C388" s="19"/>
      <c r="E388" s="19"/>
    </row>
    <row r="389">
      <c r="A389" s="19"/>
      <c r="B389" s="19"/>
      <c r="C389" s="19"/>
      <c r="E389" s="19"/>
    </row>
    <row r="390">
      <c r="A390" s="19"/>
      <c r="B390" s="19"/>
      <c r="C390" s="19"/>
      <c r="E390" s="19"/>
    </row>
    <row r="391">
      <c r="A391" s="19"/>
      <c r="B391" s="19"/>
      <c r="C391" s="19"/>
      <c r="E391" s="19"/>
    </row>
    <row r="392">
      <c r="A392" s="19"/>
      <c r="B392" s="19"/>
      <c r="C392" s="19"/>
      <c r="E392" s="19"/>
    </row>
    <row r="393">
      <c r="A393" s="19"/>
      <c r="B393" s="19"/>
      <c r="C393" s="19"/>
      <c r="E393" s="19"/>
    </row>
    <row r="394">
      <c r="A394" s="19"/>
      <c r="B394" s="19"/>
      <c r="C394" s="19"/>
      <c r="E394" s="19"/>
    </row>
    <row r="395">
      <c r="A395" s="19"/>
      <c r="B395" s="19"/>
      <c r="C395" s="19"/>
      <c r="E395" s="19"/>
    </row>
    <row r="396">
      <c r="A396" s="19"/>
      <c r="B396" s="19"/>
      <c r="C396" s="19"/>
      <c r="E396" s="19"/>
    </row>
    <row r="397">
      <c r="A397" s="19"/>
      <c r="B397" s="19"/>
      <c r="C397" s="19"/>
      <c r="E397" s="19"/>
    </row>
    <row r="398">
      <c r="A398" s="19"/>
      <c r="B398" s="19"/>
      <c r="C398" s="19"/>
      <c r="E398" s="19"/>
    </row>
    <row r="399">
      <c r="A399" s="19"/>
      <c r="B399" s="19"/>
      <c r="C399" s="19"/>
      <c r="E399" s="19"/>
    </row>
    <row r="400">
      <c r="A400" s="19"/>
      <c r="B400" s="19"/>
      <c r="C400" s="19"/>
      <c r="E400" s="19"/>
    </row>
    <row r="401">
      <c r="A401" s="19"/>
      <c r="B401" s="19"/>
      <c r="C401" s="19"/>
      <c r="E401" s="19"/>
    </row>
    <row r="402">
      <c r="A402" s="19"/>
      <c r="B402" s="19"/>
      <c r="C402" s="19"/>
      <c r="E402" s="19"/>
    </row>
    <row r="403">
      <c r="A403" s="19"/>
      <c r="B403" s="19"/>
      <c r="C403" s="19"/>
      <c r="E403" s="19"/>
    </row>
    <row r="404">
      <c r="A404" s="19"/>
      <c r="B404" s="19"/>
      <c r="C404" s="19"/>
      <c r="E404" s="19"/>
    </row>
    <row r="405">
      <c r="A405" s="19"/>
      <c r="B405" s="19"/>
      <c r="C405" s="19"/>
      <c r="E405" s="19"/>
    </row>
    <row r="406">
      <c r="A406" s="19"/>
      <c r="B406" s="19"/>
      <c r="C406" s="19"/>
      <c r="E406" s="19"/>
    </row>
    <row r="407">
      <c r="A407" s="19"/>
      <c r="B407" s="19"/>
      <c r="C407" s="19"/>
      <c r="E407" s="19"/>
    </row>
    <row r="408">
      <c r="A408" s="19"/>
      <c r="B408" s="19"/>
      <c r="C408" s="19"/>
      <c r="E408" s="19"/>
    </row>
    <row r="409">
      <c r="A409" s="19"/>
      <c r="B409" s="19"/>
      <c r="C409" s="19"/>
      <c r="E409" s="19"/>
    </row>
    <row r="410">
      <c r="A410" s="19"/>
      <c r="B410" s="19"/>
      <c r="C410" s="19"/>
      <c r="E410" s="19"/>
    </row>
    <row r="411">
      <c r="A411" s="19"/>
      <c r="B411" s="19"/>
      <c r="C411" s="19"/>
      <c r="E411" s="19"/>
    </row>
    <row r="412">
      <c r="A412" s="19"/>
      <c r="B412" s="19"/>
      <c r="C412" s="19"/>
      <c r="E412" s="19"/>
    </row>
    <row r="413">
      <c r="A413" s="19"/>
      <c r="B413" s="19"/>
      <c r="C413" s="19"/>
      <c r="E413" s="19"/>
    </row>
    <row r="414">
      <c r="A414" s="19"/>
      <c r="B414" s="19"/>
      <c r="C414" s="19"/>
      <c r="E414" s="19"/>
    </row>
    <row r="415">
      <c r="A415" s="19"/>
      <c r="B415" s="19"/>
      <c r="C415" s="19"/>
      <c r="E415" s="19"/>
    </row>
    <row r="416">
      <c r="A416" s="19"/>
      <c r="B416" s="19"/>
      <c r="C416" s="19"/>
      <c r="E416" s="19"/>
    </row>
    <row r="417">
      <c r="A417" s="19"/>
      <c r="B417" s="19"/>
      <c r="C417" s="19"/>
      <c r="E417" s="19"/>
    </row>
    <row r="418">
      <c r="A418" s="19"/>
      <c r="B418" s="19"/>
      <c r="C418" s="19"/>
      <c r="E418" s="19"/>
    </row>
    <row r="419">
      <c r="A419" s="19"/>
      <c r="B419" s="19"/>
      <c r="C419" s="19"/>
      <c r="E419" s="19"/>
    </row>
    <row r="420">
      <c r="A420" s="19"/>
      <c r="B420" s="19"/>
      <c r="C420" s="19"/>
      <c r="E420" s="19"/>
    </row>
    <row r="421">
      <c r="A421" s="19"/>
      <c r="B421" s="19"/>
      <c r="C421" s="19"/>
      <c r="E421" s="19"/>
    </row>
    <row r="422">
      <c r="A422" s="19"/>
      <c r="B422" s="19"/>
      <c r="C422" s="19"/>
      <c r="E422" s="19"/>
    </row>
    <row r="423">
      <c r="A423" s="19"/>
      <c r="B423" s="19"/>
      <c r="C423" s="19"/>
      <c r="E423" s="19"/>
    </row>
    <row r="424">
      <c r="A424" s="19"/>
      <c r="B424" s="19"/>
      <c r="C424" s="19"/>
      <c r="E424" s="19"/>
    </row>
    <row r="425">
      <c r="A425" s="19"/>
      <c r="B425" s="19"/>
      <c r="C425" s="19"/>
      <c r="E425" s="19"/>
    </row>
    <row r="426">
      <c r="A426" s="19"/>
      <c r="B426" s="19"/>
      <c r="C426" s="19"/>
      <c r="E426" s="19"/>
    </row>
    <row r="427">
      <c r="A427" s="19"/>
      <c r="B427" s="19"/>
      <c r="C427" s="19"/>
      <c r="E427" s="19"/>
    </row>
    <row r="428">
      <c r="A428" s="19"/>
      <c r="B428" s="19"/>
      <c r="C428" s="19"/>
      <c r="E428" s="19"/>
    </row>
    <row r="429">
      <c r="A429" s="19"/>
      <c r="B429" s="19"/>
      <c r="C429" s="19"/>
      <c r="E429" s="19"/>
    </row>
    <row r="430">
      <c r="A430" s="19"/>
      <c r="B430" s="19"/>
      <c r="C430" s="19"/>
      <c r="E430" s="19"/>
    </row>
    <row r="431">
      <c r="A431" s="19"/>
      <c r="B431" s="19"/>
      <c r="C431" s="19"/>
      <c r="E431" s="19"/>
    </row>
    <row r="432">
      <c r="A432" s="19"/>
      <c r="B432" s="19"/>
      <c r="C432" s="19"/>
      <c r="E432" s="19"/>
    </row>
    <row r="433">
      <c r="A433" s="19"/>
      <c r="B433" s="19"/>
      <c r="C433" s="19"/>
      <c r="E433" s="19"/>
    </row>
    <row r="434">
      <c r="A434" s="19"/>
      <c r="B434" s="19"/>
      <c r="C434" s="19"/>
      <c r="E434" s="19"/>
    </row>
    <row r="435">
      <c r="A435" s="19"/>
      <c r="B435" s="19"/>
      <c r="C435" s="19"/>
      <c r="E435" s="19"/>
    </row>
    <row r="436">
      <c r="A436" s="19"/>
      <c r="B436" s="19"/>
      <c r="C436" s="19"/>
      <c r="E436" s="19"/>
    </row>
    <row r="437">
      <c r="A437" s="19"/>
      <c r="B437" s="19"/>
      <c r="C437" s="19"/>
      <c r="E437" s="19"/>
    </row>
    <row r="438">
      <c r="A438" s="19"/>
      <c r="B438" s="19"/>
      <c r="C438" s="19"/>
      <c r="E438" s="19"/>
    </row>
    <row r="439">
      <c r="A439" s="19"/>
      <c r="B439" s="19"/>
      <c r="C439" s="19"/>
      <c r="E439" s="19"/>
    </row>
    <row r="440">
      <c r="A440" s="19"/>
      <c r="B440" s="19"/>
      <c r="C440" s="19"/>
      <c r="E440" s="19"/>
    </row>
    <row r="441">
      <c r="A441" s="19"/>
      <c r="B441" s="19"/>
      <c r="C441" s="19"/>
      <c r="E441" s="19"/>
    </row>
    <row r="442">
      <c r="A442" s="19"/>
      <c r="B442" s="19"/>
      <c r="C442" s="19"/>
      <c r="E442" s="19"/>
    </row>
    <row r="443">
      <c r="A443" s="19"/>
      <c r="B443" s="19"/>
      <c r="C443" s="19"/>
      <c r="E443" s="19"/>
    </row>
    <row r="444">
      <c r="A444" s="19"/>
      <c r="B444" s="19"/>
      <c r="C444" s="19"/>
      <c r="E444" s="19"/>
    </row>
    <row r="445">
      <c r="A445" s="19"/>
      <c r="B445" s="19"/>
      <c r="C445" s="19"/>
      <c r="E445" s="19"/>
    </row>
    <row r="446">
      <c r="A446" s="19"/>
      <c r="B446" s="19"/>
      <c r="C446" s="19"/>
      <c r="E446" s="19"/>
    </row>
    <row r="447">
      <c r="A447" s="19"/>
      <c r="B447" s="19"/>
      <c r="C447" s="19"/>
      <c r="E447" s="19"/>
    </row>
    <row r="448">
      <c r="A448" s="19"/>
      <c r="B448" s="19"/>
      <c r="C448" s="19"/>
      <c r="E448" s="19"/>
    </row>
    <row r="449">
      <c r="A449" s="19"/>
      <c r="B449" s="19"/>
      <c r="C449" s="19"/>
      <c r="E449" s="19"/>
    </row>
    <row r="450">
      <c r="A450" s="19"/>
      <c r="B450" s="19"/>
      <c r="C450" s="19"/>
      <c r="E450" s="19"/>
    </row>
    <row r="451">
      <c r="A451" s="19"/>
      <c r="B451" s="19"/>
      <c r="C451" s="19"/>
      <c r="E451" s="19"/>
    </row>
    <row r="452">
      <c r="A452" s="19"/>
      <c r="B452" s="19"/>
      <c r="C452" s="19"/>
      <c r="E452" s="19"/>
    </row>
    <row r="453">
      <c r="A453" s="19"/>
      <c r="B453" s="19"/>
      <c r="C453" s="19"/>
      <c r="E453" s="19"/>
    </row>
    <row r="454">
      <c r="A454" s="19"/>
      <c r="B454" s="19"/>
      <c r="C454" s="19"/>
      <c r="E454" s="19"/>
    </row>
    <row r="455">
      <c r="A455" s="19"/>
      <c r="B455" s="19"/>
      <c r="C455" s="19"/>
      <c r="E455" s="19"/>
    </row>
    <row r="456">
      <c r="A456" s="19"/>
      <c r="B456" s="19"/>
      <c r="C456" s="19"/>
      <c r="E456" s="19"/>
    </row>
    <row r="457">
      <c r="A457" s="19"/>
      <c r="B457" s="19"/>
      <c r="C457" s="19"/>
      <c r="E457" s="19"/>
    </row>
    <row r="458">
      <c r="A458" s="19"/>
      <c r="B458" s="19"/>
      <c r="C458" s="19"/>
      <c r="E458" s="19"/>
    </row>
    <row r="459">
      <c r="A459" s="19"/>
      <c r="B459" s="19"/>
      <c r="C459" s="19"/>
      <c r="E459" s="19"/>
    </row>
    <row r="460">
      <c r="A460" s="19"/>
      <c r="B460" s="19"/>
      <c r="C460" s="19"/>
      <c r="E460" s="19"/>
    </row>
    <row r="461">
      <c r="A461" s="19"/>
      <c r="B461" s="19"/>
      <c r="C461" s="19"/>
      <c r="E461" s="19"/>
    </row>
    <row r="462">
      <c r="A462" s="19"/>
      <c r="B462" s="19"/>
      <c r="C462" s="19"/>
      <c r="E462" s="19"/>
    </row>
    <row r="463">
      <c r="A463" s="19"/>
      <c r="B463" s="19"/>
      <c r="C463" s="19"/>
      <c r="E463" s="19"/>
    </row>
    <row r="464">
      <c r="A464" s="19"/>
      <c r="B464" s="19"/>
      <c r="C464" s="19"/>
      <c r="E464" s="19"/>
    </row>
    <row r="465">
      <c r="A465" s="19"/>
      <c r="B465" s="19"/>
      <c r="C465" s="19"/>
      <c r="E465" s="19"/>
    </row>
    <row r="466">
      <c r="A466" s="19"/>
      <c r="B466" s="19"/>
      <c r="C466" s="19"/>
      <c r="E466" s="19"/>
    </row>
    <row r="467">
      <c r="A467" s="19"/>
      <c r="B467" s="19"/>
      <c r="C467" s="19"/>
      <c r="E467" s="19"/>
    </row>
    <row r="468">
      <c r="A468" s="19"/>
      <c r="B468" s="19"/>
      <c r="C468" s="19"/>
      <c r="E468" s="19"/>
    </row>
    <row r="469">
      <c r="A469" s="19"/>
      <c r="B469" s="19"/>
      <c r="C469" s="19"/>
      <c r="E469" s="19"/>
    </row>
    <row r="470">
      <c r="A470" s="19"/>
      <c r="B470" s="19"/>
      <c r="C470" s="19"/>
      <c r="E470" s="19"/>
    </row>
    <row r="471">
      <c r="A471" s="19"/>
      <c r="B471" s="19"/>
      <c r="C471" s="19"/>
      <c r="E471" s="19"/>
    </row>
    <row r="472">
      <c r="A472" s="19"/>
      <c r="B472" s="19"/>
      <c r="C472" s="19"/>
      <c r="E472" s="19"/>
    </row>
    <row r="473">
      <c r="A473" s="19"/>
      <c r="B473" s="19"/>
      <c r="C473" s="19"/>
      <c r="E473" s="19"/>
    </row>
    <row r="474">
      <c r="A474" s="19"/>
      <c r="B474" s="19"/>
      <c r="C474" s="19"/>
      <c r="E474" s="19"/>
    </row>
    <row r="475">
      <c r="A475" s="19"/>
      <c r="B475" s="19"/>
      <c r="C475" s="19"/>
      <c r="E475" s="19"/>
    </row>
    <row r="476">
      <c r="A476" s="19"/>
      <c r="B476" s="19"/>
      <c r="C476" s="19"/>
      <c r="E476" s="19"/>
    </row>
    <row r="477">
      <c r="A477" s="19"/>
      <c r="B477" s="19"/>
      <c r="C477" s="19"/>
      <c r="E477" s="19"/>
    </row>
    <row r="478">
      <c r="A478" s="19"/>
      <c r="B478" s="19"/>
      <c r="C478" s="19"/>
      <c r="E478" s="19"/>
    </row>
    <row r="479">
      <c r="A479" s="19"/>
      <c r="B479" s="19"/>
      <c r="C479" s="19"/>
      <c r="E479" s="19"/>
    </row>
    <row r="480">
      <c r="A480" s="19"/>
      <c r="B480" s="19"/>
      <c r="C480" s="19"/>
      <c r="E480" s="19"/>
    </row>
    <row r="481">
      <c r="A481" s="19"/>
      <c r="B481" s="19"/>
      <c r="C481" s="19"/>
      <c r="E481" s="19"/>
    </row>
    <row r="482">
      <c r="A482" s="19"/>
      <c r="B482" s="19"/>
      <c r="C482" s="19"/>
      <c r="E482" s="19"/>
    </row>
    <row r="483">
      <c r="A483" s="19"/>
      <c r="B483" s="19"/>
      <c r="C483" s="19"/>
      <c r="E483" s="19"/>
    </row>
    <row r="484">
      <c r="A484" s="19"/>
      <c r="B484" s="19"/>
      <c r="C484" s="19"/>
      <c r="E484" s="19"/>
    </row>
    <row r="485">
      <c r="A485" s="19"/>
      <c r="B485" s="19"/>
      <c r="C485" s="19"/>
      <c r="E485" s="19"/>
    </row>
    <row r="486">
      <c r="A486" s="19"/>
      <c r="B486" s="19"/>
      <c r="C486" s="19"/>
      <c r="E486" s="19"/>
    </row>
    <row r="487">
      <c r="A487" s="19"/>
      <c r="B487" s="19"/>
      <c r="C487" s="19"/>
      <c r="E487" s="19"/>
    </row>
    <row r="488">
      <c r="A488" s="19"/>
      <c r="B488" s="19"/>
      <c r="C488" s="19"/>
      <c r="E488" s="19"/>
    </row>
    <row r="489">
      <c r="A489" s="19"/>
      <c r="B489" s="19"/>
      <c r="C489" s="19"/>
      <c r="E489" s="19"/>
    </row>
    <row r="490">
      <c r="A490" s="19"/>
      <c r="B490" s="19"/>
      <c r="C490" s="19"/>
      <c r="E490" s="19"/>
    </row>
    <row r="491">
      <c r="A491" s="19"/>
      <c r="B491" s="19"/>
      <c r="C491" s="19"/>
      <c r="E491" s="19"/>
    </row>
    <row r="492">
      <c r="A492" s="19"/>
      <c r="B492" s="19"/>
      <c r="C492" s="19"/>
      <c r="E492" s="19"/>
    </row>
    <row r="493">
      <c r="A493" s="19"/>
      <c r="B493" s="19"/>
      <c r="C493" s="19"/>
      <c r="E493" s="19"/>
    </row>
    <row r="494">
      <c r="A494" s="19"/>
      <c r="B494" s="19"/>
      <c r="C494" s="19"/>
      <c r="E494" s="19"/>
    </row>
    <row r="495">
      <c r="A495" s="19"/>
      <c r="B495" s="19"/>
      <c r="C495" s="19"/>
      <c r="E495" s="19"/>
    </row>
    <row r="496">
      <c r="A496" s="19"/>
      <c r="B496" s="19"/>
      <c r="C496" s="19"/>
      <c r="E496" s="19"/>
    </row>
    <row r="497">
      <c r="A497" s="19"/>
      <c r="B497" s="19"/>
      <c r="C497" s="19"/>
      <c r="E497" s="19"/>
    </row>
    <row r="498">
      <c r="A498" s="19"/>
      <c r="B498" s="19"/>
      <c r="C498" s="19"/>
      <c r="E498" s="19"/>
    </row>
    <row r="499">
      <c r="A499" s="19"/>
      <c r="B499" s="19"/>
      <c r="C499" s="19"/>
      <c r="E499" s="19"/>
    </row>
    <row r="500">
      <c r="A500" s="19"/>
      <c r="B500" s="19"/>
      <c r="C500" s="19"/>
      <c r="E500" s="19"/>
    </row>
    <row r="501">
      <c r="A501" s="19"/>
      <c r="B501" s="19"/>
      <c r="C501" s="19"/>
      <c r="E501" s="19"/>
    </row>
    <row r="502">
      <c r="A502" s="19"/>
      <c r="B502" s="19"/>
      <c r="C502" s="19"/>
      <c r="E502" s="19"/>
    </row>
    <row r="503">
      <c r="A503" s="19"/>
      <c r="B503" s="19"/>
      <c r="C503" s="19"/>
      <c r="E503" s="19"/>
    </row>
    <row r="504">
      <c r="A504" s="19"/>
      <c r="B504" s="19"/>
      <c r="C504" s="19"/>
      <c r="E504" s="19"/>
    </row>
    <row r="505">
      <c r="A505" s="19"/>
      <c r="B505" s="19"/>
      <c r="C505" s="19"/>
      <c r="E505" s="19"/>
    </row>
    <row r="506">
      <c r="A506" s="19"/>
      <c r="B506" s="19"/>
      <c r="C506" s="19"/>
      <c r="E506" s="19"/>
    </row>
    <row r="507">
      <c r="A507" s="19"/>
      <c r="B507" s="19"/>
      <c r="C507" s="19"/>
      <c r="E507" s="19"/>
    </row>
    <row r="508">
      <c r="A508" s="19"/>
      <c r="B508" s="19"/>
      <c r="C508" s="19"/>
      <c r="E508" s="19"/>
    </row>
    <row r="509">
      <c r="A509" s="19"/>
      <c r="B509" s="19"/>
      <c r="C509" s="19"/>
      <c r="E509" s="19"/>
    </row>
    <row r="510">
      <c r="A510" s="19"/>
      <c r="B510" s="19"/>
      <c r="C510" s="19"/>
      <c r="E510" s="19"/>
    </row>
    <row r="511">
      <c r="A511" s="19"/>
      <c r="B511" s="19"/>
      <c r="C511" s="19"/>
      <c r="E511" s="19"/>
    </row>
    <row r="512">
      <c r="A512" s="19"/>
      <c r="B512" s="19"/>
      <c r="C512" s="19"/>
      <c r="E512" s="19"/>
    </row>
    <row r="513">
      <c r="A513" s="19"/>
      <c r="B513" s="19"/>
      <c r="C513" s="19"/>
      <c r="E513" s="19"/>
    </row>
    <row r="514">
      <c r="A514" s="19"/>
      <c r="B514" s="19"/>
      <c r="C514" s="19"/>
      <c r="E514" s="19"/>
    </row>
    <row r="515">
      <c r="A515" s="19"/>
      <c r="B515" s="19"/>
      <c r="C515" s="19"/>
      <c r="E515" s="19"/>
    </row>
    <row r="516">
      <c r="A516" s="19"/>
      <c r="B516" s="19"/>
      <c r="C516" s="19"/>
      <c r="E516" s="19"/>
    </row>
    <row r="517">
      <c r="A517" s="19"/>
      <c r="B517" s="19"/>
      <c r="C517" s="19"/>
      <c r="E517" s="19"/>
    </row>
    <row r="518">
      <c r="A518" s="19"/>
      <c r="B518" s="19"/>
      <c r="C518" s="19"/>
      <c r="E518" s="19"/>
    </row>
    <row r="519">
      <c r="A519" s="19"/>
      <c r="B519" s="19"/>
      <c r="C519" s="19"/>
      <c r="E519" s="19"/>
    </row>
    <row r="520">
      <c r="A520" s="19"/>
      <c r="B520" s="19"/>
      <c r="C520" s="19"/>
      <c r="E520" s="19"/>
    </row>
    <row r="521">
      <c r="A521" s="19"/>
      <c r="B521" s="19"/>
      <c r="C521" s="19"/>
      <c r="E521" s="19"/>
    </row>
    <row r="522">
      <c r="A522" s="19"/>
      <c r="B522" s="19"/>
      <c r="C522" s="19"/>
      <c r="E522" s="19"/>
    </row>
    <row r="523">
      <c r="A523" s="19"/>
      <c r="B523" s="19"/>
      <c r="C523" s="19"/>
      <c r="E523" s="19"/>
    </row>
    <row r="524">
      <c r="A524" s="19"/>
      <c r="B524" s="19"/>
      <c r="C524" s="19"/>
      <c r="E524" s="19"/>
    </row>
    <row r="525">
      <c r="A525" s="19"/>
      <c r="B525" s="19"/>
      <c r="C525" s="19"/>
      <c r="E525" s="19"/>
    </row>
    <row r="526">
      <c r="A526" s="19"/>
      <c r="B526" s="19"/>
      <c r="C526" s="19"/>
      <c r="E526" s="19"/>
    </row>
    <row r="527">
      <c r="A527" s="19"/>
      <c r="B527" s="19"/>
      <c r="C527" s="19"/>
      <c r="E527" s="19"/>
    </row>
    <row r="528">
      <c r="A528" s="19"/>
      <c r="B528" s="19"/>
      <c r="C528" s="19"/>
      <c r="E528" s="19"/>
    </row>
    <row r="529">
      <c r="A529" s="19"/>
      <c r="B529" s="19"/>
      <c r="C529" s="19"/>
      <c r="E529" s="19"/>
    </row>
    <row r="530">
      <c r="A530" s="19"/>
      <c r="B530" s="19"/>
      <c r="C530" s="19"/>
      <c r="E530" s="19"/>
    </row>
    <row r="531">
      <c r="A531" s="19"/>
      <c r="B531" s="19"/>
      <c r="C531" s="19"/>
      <c r="E531" s="19"/>
    </row>
    <row r="532">
      <c r="A532" s="19"/>
      <c r="B532" s="19"/>
      <c r="C532" s="19"/>
      <c r="E532" s="19"/>
    </row>
    <row r="533">
      <c r="A533" s="19"/>
      <c r="B533" s="19"/>
      <c r="C533" s="19"/>
      <c r="E533" s="19"/>
    </row>
    <row r="534">
      <c r="A534" s="19"/>
      <c r="B534" s="19"/>
      <c r="C534" s="19"/>
      <c r="E534" s="19"/>
    </row>
    <row r="535">
      <c r="A535" s="19"/>
      <c r="B535" s="19"/>
      <c r="C535" s="19"/>
      <c r="E535" s="19"/>
    </row>
    <row r="536">
      <c r="A536" s="19"/>
      <c r="B536" s="19"/>
      <c r="C536" s="19"/>
      <c r="E536" s="19"/>
    </row>
    <row r="537">
      <c r="A537" s="19"/>
      <c r="B537" s="19"/>
      <c r="C537" s="19"/>
      <c r="E537" s="19"/>
    </row>
    <row r="538">
      <c r="A538" s="19"/>
      <c r="B538" s="19"/>
      <c r="C538" s="19"/>
      <c r="E538" s="19"/>
    </row>
    <row r="539">
      <c r="A539" s="19"/>
      <c r="B539" s="19"/>
      <c r="C539" s="19"/>
      <c r="E539" s="19"/>
    </row>
    <row r="540">
      <c r="A540" s="19"/>
      <c r="B540" s="19"/>
      <c r="C540" s="19"/>
      <c r="E540" s="19"/>
    </row>
    <row r="541">
      <c r="A541" s="19"/>
      <c r="B541" s="19"/>
      <c r="C541" s="19"/>
      <c r="E541" s="19"/>
    </row>
    <row r="542">
      <c r="A542" s="19"/>
      <c r="B542" s="19"/>
      <c r="C542" s="19"/>
      <c r="E542" s="19"/>
    </row>
    <row r="543">
      <c r="A543" s="19"/>
      <c r="B543" s="19"/>
      <c r="C543" s="19"/>
      <c r="E543" s="19"/>
    </row>
    <row r="544">
      <c r="A544" s="19"/>
      <c r="B544" s="19"/>
      <c r="C544" s="19"/>
      <c r="E544" s="19"/>
    </row>
    <row r="545">
      <c r="A545" s="19"/>
      <c r="B545" s="19"/>
      <c r="C545" s="19"/>
      <c r="E545" s="19"/>
    </row>
    <row r="546">
      <c r="A546" s="19"/>
      <c r="B546" s="19"/>
      <c r="C546" s="19"/>
      <c r="E546" s="19"/>
    </row>
    <row r="547">
      <c r="A547" s="19"/>
      <c r="B547" s="19"/>
      <c r="C547" s="19"/>
      <c r="E547" s="19"/>
    </row>
    <row r="548">
      <c r="A548" s="19"/>
      <c r="B548" s="19"/>
      <c r="C548" s="19"/>
      <c r="E548" s="19"/>
    </row>
    <row r="549">
      <c r="A549" s="19"/>
      <c r="B549" s="19"/>
      <c r="C549" s="19"/>
      <c r="E549" s="19"/>
    </row>
    <row r="550">
      <c r="A550" s="19"/>
      <c r="B550" s="19"/>
      <c r="C550" s="19"/>
      <c r="E550" s="19"/>
    </row>
    <row r="551">
      <c r="A551" s="19"/>
      <c r="B551" s="19"/>
      <c r="C551" s="19"/>
      <c r="E551" s="19"/>
    </row>
    <row r="552">
      <c r="A552" s="19"/>
      <c r="B552" s="19"/>
      <c r="C552" s="19"/>
      <c r="E552" s="19"/>
    </row>
    <row r="553">
      <c r="A553" s="19"/>
      <c r="B553" s="19"/>
      <c r="C553" s="19"/>
      <c r="E553" s="19"/>
    </row>
    <row r="554">
      <c r="A554" s="19"/>
      <c r="B554" s="19"/>
      <c r="C554" s="19"/>
      <c r="E554" s="19"/>
    </row>
    <row r="555">
      <c r="A555" s="19"/>
      <c r="B555" s="19"/>
      <c r="C555" s="19"/>
      <c r="E555" s="19"/>
    </row>
    <row r="556">
      <c r="A556" s="19"/>
      <c r="B556" s="19"/>
      <c r="C556" s="19"/>
      <c r="E556" s="19"/>
    </row>
    <row r="557">
      <c r="A557" s="19"/>
      <c r="B557" s="19"/>
      <c r="C557" s="19"/>
      <c r="E557" s="19"/>
    </row>
    <row r="558">
      <c r="A558" s="19"/>
      <c r="B558" s="19"/>
      <c r="C558" s="19"/>
      <c r="E558" s="19"/>
    </row>
    <row r="559">
      <c r="A559" s="19"/>
      <c r="B559" s="19"/>
      <c r="C559" s="19"/>
      <c r="E559" s="19"/>
    </row>
    <row r="560">
      <c r="A560" s="19"/>
      <c r="B560" s="19"/>
      <c r="C560" s="19"/>
      <c r="E560" s="19"/>
    </row>
    <row r="561">
      <c r="A561" s="19"/>
      <c r="B561" s="19"/>
      <c r="C561" s="19"/>
      <c r="E561" s="19"/>
    </row>
    <row r="562">
      <c r="A562" s="19"/>
      <c r="B562" s="19"/>
      <c r="C562" s="19"/>
      <c r="E562" s="19"/>
    </row>
    <row r="563">
      <c r="A563" s="19"/>
      <c r="B563" s="19"/>
      <c r="C563" s="19"/>
      <c r="E563" s="19"/>
    </row>
    <row r="564">
      <c r="A564" s="19"/>
      <c r="B564" s="19"/>
      <c r="C564" s="19"/>
      <c r="E564" s="19"/>
    </row>
    <row r="565">
      <c r="A565" s="19"/>
      <c r="B565" s="19"/>
      <c r="C565" s="19"/>
      <c r="E565" s="19"/>
    </row>
    <row r="566">
      <c r="A566" s="19"/>
      <c r="B566" s="19"/>
      <c r="C566" s="19"/>
      <c r="E566" s="19"/>
    </row>
    <row r="567">
      <c r="A567" s="19"/>
      <c r="B567" s="19"/>
      <c r="C567" s="19"/>
      <c r="E567" s="19"/>
    </row>
    <row r="568">
      <c r="A568" s="19"/>
      <c r="B568" s="19"/>
      <c r="C568" s="19"/>
      <c r="E568" s="19"/>
    </row>
    <row r="569">
      <c r="A569" s="19"/>
      <c r="B569" s="19"/>
      <c r="C569" s="19"/>
      <c r="E569" s="19"/>
    </row>
    <row r="570">
      <c r="A570" s="19"/>
      <c r="B570" s="19"/>
      <c r="C570" s="19"/>
      <c r="E570" s="19"/>
    </row>
    <row r="571">
      <c r="A571" s="19"/>
      <c r="B571" s="19"/>
      <c r="C571" s="19"/>
      <c r="E571" s="19"/>
    </row>
    <row r="572">
      <c r="A572" s="19"/>
      <c r="B572" s="19"/>
      <c r="C572" s="19"/>
      <c r="E572" s="19"/>
    </row>
    <row r="573">
      <c r="A573" s="19"/>
      <c r="B573" s="19"/>
      <c r="C573" s="19"/>
      <c r="E573" s="19"/>
    </row>
    <row r="574">
      <c r="A574" s="19"/>
      <c r="B574" s="19"/>
      <c r="C574" s="19"/>
      <c r="E574" s="19"/>
    </row>
    <row r="575">
      <c r="A575" s="19"/>
      <c r="B575" s="19"/>
      <c r="C575" s="19"/>
      <c r="E575" s="19"/>
    </row>
    <row r="576">
      <c r="A576" s="19"/>
      <c r="B576" s="19"/>
      <c r="C576" s="19"/>
      <c r="E576" s="19"/>
    </row>
    <row r="577">
      <c r="A577" s="19"/>
      <c r="B577" s="19"/>
      <c r="C577" s="19"/>
      <c r="E577" s="19"/>
    </row>
    <row r="578">
      <c r="A578" s="19"/>
      <c r="B578" s="19"/>
      <c r="C578" s="19"/>
      <c r="E578" s="19"/>
    </row>
    <row r="579">
      <c r="A579" s="19"/>
      <c r="B579" s="19"/>
      <c r="C579" s="19"/>
      <c r="E579" s="19"/>
    </row>
    <row r="580">
      <c r="A580" s="19"/>
      <c r="B580" s="19"/>
      <c r="C580" s="19"/>
      <c r="E580" s="19"/>
    </row>
    <row r="581">
      <c r="A581" s="19"/>
      <c r="B581" s="19"/>
      <c r="C581" s="19"/>
      <c r="E581" s="19"/>
    </row>
    <row r="582">
      <c r="A582" s="19"/>
      <c r="B582" s="19"/>
      <c r="C582" s="19"/>
      <c r="E582" s="19"/>
    </row>
    <row r="583">
      <c r="A583" s="19"/>
      <c r="B583" s="19"/>
      <c r="C583" s="19"/>
      <c r="E583" s="19"/>
    </row>
    <row r="584">
      <c r="A584" s="19"/>
      <c r="B584" s="19"/>
      <c r="C584" s="19"/>
      <c r="E584" s="19"/>
    </row>
    <row r="585">
      <c r="A585" s="19"/>
      <c r="B585" s="19"/>
      <c r="C585" s="19"/>
      <c r="E585" s="19"/>
    </row>
    <row r="586">
      <c r="A586" s="19"/>
      <c r="B586" s="19"/>
      <c r="C586" s="19"/>
      <c r="E586" s="19"/>
    </row>
    <row r="587">
      <c r="A587" s="19"/>
      <c r="B587" s="19"/>
      <c r="C587" s="19"/>
      <c r="E587" s="19"/>
    </row>
    <row r="588">
      <c r="A588" s="19"/>
      <c r="B588" s="19"/>
      <c r="C588" s="19"/>
      <c r="E588" s="19"/>
    </row>
    <row r="589">
      <c r="A589" s="19"/>
      <c r="B589" s="19"/>
      <c r="C589" s="19"/>
      <c r="E589" s="19"/>
    </row>
    <row r="590">
      <c r="A590" s="19"/>
      <c r="B590" s="19"/>
      <c r="C590" s="19"/>
      <c r="E590" s="19"/>
    </row>
    <row r="591">
      <c r="A591" s="19"/>
      <c r="B591" s="19"/>
      <c r="C591" s="19"/>
      <c r="E591" s="19"/>
    </row>
    <row r="592">
      <c r="A592" s="19"/>
      <c r="B592" s="19"/>
      <c r="C592" s="19"/>
      <c r="E592" s="19"/>
    </row>
    <row r="593">
      <c r="A593" s="19"/>
      <c r="B593" s="19"/>
      <c r="C593" s="19"/>
      <c r="E593" s="19"/>
    </row>
    <row r="594">
      <c r="A594" s="19"/>
      <c r="B594" s="19"/>
      <c r="C594" s="19"/>
      <c r="E594" s="19"/>
    </row>
    <row r="595">
      <c r="A595" s="19"/>
      <c r="B595" s="19"/>
      <c r="C595" s="19"/>
      <c r="E595" s="19"/>
    </row>
    <row r="596">
      <c r="A596" s="19"/>
      <c r="B596" s="19"/>
      <c r="C596" s="19"/>
      <c r="E596" s="19"/>
    </row>
    <row r="597">
      <c r="A597" s="19"/>
      <c r="B597" s="19"/>
      <c r="C597" s="19"/>
      <c r="E597" s="19"/>
    </row>
    <row r="598">
      <c r="A598" s="19"/>
      <c r="B598" s="19"/>
      <c r="C598" s="19"/>
      <c r="E598" s="19"/>
    </row>
    <row r="599">
      <c r="A599" s="19"/>
      <c r="B599" s="19"/>
      <c r="C599" s="19"/>
      <c r="E599" s="19"/>
    </row>
    <row r="600">
      <c r="A600" s="19"/>
      <c r="B600" s="19"/>
      <c r="C600" s="19"/>
      <c r="E600" s="19"/>
    </row>
    <row r="601">
      <c r="A601" s="19"/>
      <c r="B601" s="19"/>
      <c r="C601" s="19"/>
      <c r="E601" s="19"/>
    </row>
    <row r="602">
      <c r="A602" s="19"/>
      <c r="B602" s="19"/>
      <c r="C602" s="19"/>
      <c r="E602" s="19"/>
    </row>
    <row r="603">
      <c r="A603" s="19"/>
      <c r="B603" s="19"/>
      <c r="C603" s="19"/>
      <c r="E603" s="19"/>
    </row>
    <row r="604">
      <c r="A604" s="19"/>
      <c r="B604" s="19"/>
      <c r="C604" s="19"/>
      <c r="E604" s="19"/>
    </row>
    <row r="605">
      <c r="A605" s="19"/>
      <c r="B605" s="19"/>
      <c r="C605" s="19"/>
      <c r="E605" s="19"/>
    </row>
    <row r="606">
      <c r="A606" s="19"/>
      <c r="B606" s="19"/>
      <c r="C606" s="19"/>
      <c r="E606" s="19"/>
    </row>
    <row r="607">
      <c r="A607" s="19"/>
      <c r="B607" s="19"/>
      <c r="C607" s="19"/>
      <c r="E607" s="19"/>
    </row>
    <row r="608">
      <c r="A608" s="19"/>
      <c r="B608" s="19"/>
      <c r="C608" s="19"/>
      <c r="E608" s="19"/>
    </row>
    <row r="609">
      <c r="A609" s="19"/>
      <c r="B609" s="19"/>
      <c r="C609" s="19"/>
      <c r="E609" s="19"/>
    </row>
    <row r="610">
      <c r="A610" s="19"/>
      <c r="B610" s="19"/>
      <c r="C610" s="19"/>
      <c r="E610" s="19"/>
    </row>
    <row r="611">
      <c r="A611" s="19"/>
      <c r="B611" s="19"/>
      <c r="C611" s="19"/>
      <c r="E611" s="19"/>
    </row>
    <row r="612">
      <c r="A612" s="19"/>
      <c r="B612" s="19"/>
      <c r="C612" s="19"/>
      <c r="E612" s="19"/>
    </row>
    <row r="613">
      <c r="A613" s="19"/>
      <c r="B613" s="19"/>
      <c r="C613" s="19"/>
      <c r="E613" s="19"/>
    </row>
    <row r="614">
      <c r="A614" s="19"/>
      <c r="B614" s="19"/>
      <c r="C614" s="19"/>
      <c r="E614" s="19"/>
    </row>
    <row r="615">
      <c r="A615" s="19"/>
      <c r="B615" s="19"/>
      <c r="C615" s="19"/>
      <c r="E615" s="19"/>
    </row>
    <row r="616">
      <c r="A616" s="19"/>
      <c r="B616" s="19"/>
      <c r="C616" s="19"/>
      <c r="E616" s="19"/>
    </row>
    <row r="617">
      <c r="A617" s="19"/>
      <c r="B617" s="19"/>
      <c r="C617" s="19"/>
      <c r="E617" s="19"/>
    </row>
    <row r="618">
      <c r="A618" s="19"/>
      <c r="B618" s="19"/>
      <c r="C618" s="19"/>
      <c r="E618" s="19"/>
    </row>
    <row r="619">
      <c r="A619" s="19"/>
      <c r="B619" s="19"/>
      <c r="C619" s="19"/>
      <c r="E619" s="19"/>
    </row>
    <row r="620">
      <c r="A620" s="19"/>
      <c r="B620" s="19"/>
      <c r="C620" s="19"/>
      <c r="E620" s="19"/>
    </row>
    <row r="621">
      <c r="A621" s="19"/>
      <c r="B621" s="19"/>
      <c r="C621" s="19"/>
      <c r="E621" s="19"/>
    </row>
    <row r="622">
      <c r="A622" s="19"/>
      <c r="B622" s="19"/>
      <c r="C622" s="19"/>
      <c r="E622" s="19"/>
    </row>
    <row r="623">
      <c r="A623" s="19"/>
      <c r="B623" s="19"/>
      <c r="C623" s="19"/>
      <c r="E623" s="19"/>
    </row>
    <row r="624">
      <c r="A624" s="19"/>
      <c r="B624" s="19"/>
      <c r="C624" s="19"/>
      <c r="E624" s="19"/>
    </row>
    <row r="625">
      <c r="A625" s="19"/>
      <c r="B625" s="19"/>
      <c r="C625" s="19"/>
      <c r="E625" s="19"/>
    </row>
    <row r="626">
      <c r="A626" s="19"/>
      <c r="B626" s="19"/>
      <c r="C626" s="19"/>
      <c r="E626" s="19"/>
    </row>
    <row r="627">
      <c r="A627" s="19"/>
      <c r="B627" s="19"/>
      <c r="C627" s="19"/>
      <c r="E627" s="19"/>
    </row>
    <row r="628">
      <c r="A628" s="19"/>
      <c r="B628" s="19"/>
      <c r="C628" s="19"/>
      <c r="E628" s="19"/>
    </row>
    <row r="629">
      <c r="A629" s="19"/>
      <c r="B629" s="19"/>
      <c r="C629" s="19"/>
      <c r="E629" s="19"/>
    </row>
    <row r="630">
      <c r="A630" s="19"/>
      <c r="B630" s="19"/>
      <c r="C630" s="19"/>
      <c r="E630" s="19"/>
    </row>
    <row r="631">
      <c r="A631" s="19"/>
      <c r="B631" s="19"/>
      <c r="C631" s="19"/>
      <c r="E631" s="19"/>
    </row>
    <row r="632">
      <c r="A632" s="19"/>
      <c r="B632" s="19"/>
      <c r="C632" s="19"/>
      <c r="E632" s="19"/>
    </row>
    <row r="633">
      <c r="A633" s="19"/>
      <c r="B633" s="19"/>
      <c r="C633" s="19"/>
      <c r="E633" s="19"/>
    </row>
    <row r="634">
      <c r="A634" s="19"/>
      <c r="B634" s="19"/>
      <c r="C634" s="19"/>
      <c r="E634" s="19"/>
    </row>
    <row r="635">
      <c r="A635" s="19"/>
      <c r="B635" s="19"/>
      <c r="C635" s="19"/>
      <c r="E635" s="19"/>
    </row>
    <row r="636">
      <c r="A636" s="19"/>
      <c r="B636" s="19"/>
      <c r="C636" s="19"/>
      <c r="E636" s="19"/>
    </row>
    <row r="637">
      <c r="A637" s="19"/>
      <c r="B637" s="19"/>
      <c r="C637" s="19"/>
      <c r="E637" s="19"/>
    </row>
    <row r="638">
      <c r="A638" s="19"/>
      <c r="B638" s="19"/>
      <c r="C638" s="19"/>
      <c r="E638" s="19"/>
    </row>
    <row r="639">
      <c r="A639" s="19"/>
      <c r="B639" s="19"/>
      <c r="C639" s="19"/>
      <c r="E639" s="19"/>
    </row>
    <row r="640">
      <c r="A640" s="19"/>
      <c r="B640" s="19"/>
      <c r="C640" s="19"/>
      <c r="E640" s="19"/>
    </row>
    <row r="641">
      <c r="A641" s="19"/>
      <c r="B641" s="19"/>
      <c r="C641" s="19"/>
      <c r="E641" s="19"/>
    </row>
    <row r="642">
      <c r="A642" s="19"/>
      <c r="B642" s="19"/>
      <c r="C642" s="19"/>
      <c r="E642" s="19"/>
    </row>
    <row r="643">
      <c r="A643" s="19"/>
      <c r="B643" s="19"/>
      <c r="C643" s="19"/>
      <c r="E643" s="19"/>
    </row>
    <row r="644">
      <c r="A644" s="19"/>
      <c r="B644" s="19"/>
      <c r="C644" s="19"/>
      <c r="E644" s="19"/>
    </row>
    <row r="645">
      <c r="A645" s="19"/>
      <c r="B645" s="19"/>
      <c r="C645" s="19"/>
      <c r="E645" s="19"/>
    </row>
    <row r="646">
      <c r="A646" s="19"/>
      <c r="B646" s="19"/>
      <c r="C646" s="19"/>
      <c r="E646" s="19"/>
    </row>
    <row r="647">
      <c r="A647" s="19"/>
      <c r="B647" s="19"/>
      <c r="C647" s="19"/>
      <c r="E647" s="19"/>
    </row>
    <row r="648">
      <c r="A648" s="19"/>
      <c r="B648" s="19"/>
      <c r="C648" s="19"/>
      <c r="E648" s="19"/>
    </row>
    <row r="649">
      <c r="A649" s="19"/>
      <c r="B649" s="19"/>
      <c r="C649" s="19"/>
      <c r="E649" s="19"/>
    </row>
    <row r="650">
      <c r="A650" s="19"/>
      <c r="B650" s="19"/>
      <c r="C650" s="19"/>
      <c r="E650" s="19"/>
    </row>
    <row r="651">
      <c r="A651" s="19"/>
      <c r="B651" s="19"/>
      <c r="C651" s="19"/>
      <c r="E651" s="19"/>
    </row>
    <row r="652">
      <c r="A652" s="19"/>
      <c r="B652" s="19"/>
      <c r="C652" s="19"/>
      <c r="E652" s="19"/>
    </row>
    <row r="653">
      <c r="A653" s="19"/>
      <c r="B653" s="19"/>
      <c r="C653" s="19"/>
      <c r="E653" s="19"/>
    </row>
    <row r="654">
      <c r="A654" s="19"/>
      <c r="B654" s="19"/>
      <c r="C654" s="19"/>
      <c r="E654" s="19"/>
    </row>
    <row r="655">
      <c r="A655" s="19"/>
      <c r="B655" s="19"/>
      <c r="C655" s="19"/>
      <c r="E655" s="19"/>
    </row>
    <row r="656">
      <c r="A656" s="19"/>
      <c r="B656" s="19"/>
      <c r="C656" s="19"/>
      <c r="E656" s="19"/>
    </row>
    <row r="657">
      <c r="A657" s="19"/>
      <c r="B657" s="19"/>
      <c r="C657" s="19"/>
      <c r="E657" s="19"/>
    </row>
    <row r="658">
      <c r="A658" s="19"/>
      <c r="B658" s="19"/>
      <c r="C658" s="19"/>
      <c r="E658" s="19"/>
    </row>
    <row r="659">
      <c r="A659" s="19"/>
      <c r="B659" s="19"/>
      <c r="C659" s="19"/>
      <c r="E659" s="19"/>
    </row>
    <row r="660">
      <c r="A660" s="19"/>
      <c r="B660" s="19"/>
      <c r="C660" s="19"/>
      <c r="E660" s="19"/>
    </row>
    <row r="661">
      <c r="A661" s="19"/>
      <c r="B661" s="19"/>
      <c r="C661" s="19"/>
      <c r="E661" s="19"/>
    </row>
    <row r="662">
      <c r="A662" s="19"/>
      <c r="B662" s="19"/>
      <c r="C662" s="19"/>
      <c r="E662" s="19"/>
    </row>
    <row r="663">
      <c r="A663" s="19"/>
      <c r="B663" s="19"/>
      <c r="C663" s="19"/>
      <c r="E663" s="19"/>
    </row>
    <row r="664">
      <c r="A664" s="19"/>
      <c r="B664" s="19"/>
      <c r="C664" s="19"/>
      <c r="E664" s="19"/>
    </row>
    <row r="665">
      <c r="A665" s="19"/>
      <c r="B665" s="19"/>
      <c r="C665" s="19"/>
      <c r="E665" s="19"/>
    </row>
    <row r="666">
      <c r="A666" s="19"/>
      <c r="B666" s="19"/>
      <c r="C666" s="19"/>
      <c r="E666" s="19"/>
    </row>
    <row r="667">
      <c r="A667" s="19"/>
      <c r="B667" s="19"/>
      <c r="C667" s="19"/>
      <c r="E667" s="19"/>
    </row>
    <row r="668">
      <c r="A668" s="19"/>
      <c r="B668" s="19"/>
      <c r="C668" s="19"/>
      <c r="E668" s="19"/>
    </row>
    <row r="669">
      <c r="A669" s="19"/>
      <c r="B669" s="19"/>
      <c r="C669" s="19"/>
      <c r="E669" s="19"/>
    </row>
    <row r="670">
      <c r="A670" s="19"/>
      <c r="B670" s="19"/>
      <c r="C670" s="19"/>
      <c r="E670" s="19"/>
    </row>
    <row r="671">
      <c r="A671" s="19"/>
      <c r="B671" s="19"/>
      <c r="C671" s="19"/>
      <c r="E671" s="19"/>
    </row>
    <row r="672">
      <c r="A672" s="19"/>
      <c r="B672" s="19"/>
      <c r="C672" s="19"/>
      <c r="E672" s="19"/>
    </row>
    <row r="673">
      <c r="A673" s="19"/>
      <c r="B673" s="19"/>
      <c r="C673" s="19"/>
      <c r="E673" s="19"/>
    </row>
    <row r="674">
      <c r="A674" s="19"/>
      <c r="B674" s="19"/>
      <c r="C674" s="19"/>
      <c r="E674" s="19"/>
    </row>
    <row r="675">
      <c r="A675" s="19"/>
      <c r="B675" s="19"/>
      <c r="C675" s="19"/>
      <c r="E675" s="19"/>
    </row>
    <row r="676">
      <c r="A676" s="19"/>
      <c r="B676" s="19"/>
      <c r="C676" s="19"/>
      <c r="E676" s="19"/>
    </row>
    <row r="677">
      <c r="A677" s="19"/>
      <c r="B677" s="19"/>
      <c r="C677" s="19"/>
      <c r="E677" s="19"/>
    </row>
    <row r="678">
      <c r="A678" s="19"/>
      <c r="B678" s="19"/>
      <c r="C678" s="19"/>
      <c r="E678" s="19"/>
    </row>
    <row r="679">
      <c r="A679" s="19"/>
      <c r="B679" s="19"/>
      <c r="C679" s="19"/>
      <c r="E679" s="19"/>
    </row>
    <row r="680">
      <c r="A680" s="19"/>
      <c r="B680" s="19"/>
      <c r="C680" s="19"/>
      <c r="E680" s="19"/>
    </row>
    <row r="681">
      <c r="A681" s="19"/>
      <c r="B681" s="19"/>
      <c r="C681" s="19"/>
      <c r="E681" s="19"/>
    </row>
    <row r="682">
      <c r="A682" s="19"/>
      <c r="B682" s="19"/>
      <c r="C682" s="19"/>
      <c r="E682" s="19"/>
    </row>
    <row r="683">
      <c r="A683" s="19"/>
      <c r="B683" s="19"/>
      <c r="C683" s="19"/>
      <c r="E683" s="19"/>
    </row>
    <row r="684">
      <c r="A684" s="19"/>
      <c r="B684" s="19"/>
      <c r="C684" s="19"/>
      <c r="E684" s="19"/>
    </row>
    <row r="685">
      <c r="A685" s="19"/>
      <c r="B685" s="19"/>
      <c r="C685" s="19"/>
      <c r="E685" s="19"/>
    </row>
    <row r="686">
      <c r="A686" s="19"/>
      <c r="B686" s="19"/>
      <c r="C686" s="19"/>
      <c r="E686" s="19"/>
    </row>
    <row r="687">
      <c r="A687" s="19"/>
      <c r="B687" s="19"/>
      <c r="C687" s="19"/>
      <c r="E687" s="19"/>
    </row>
    <row r="688">
      <c r="A688" s="19"/>
      <c r="B688" s="19"/>
      <c r="C688" s="19"/>
      <c r="E688" s="19"/>
    </row>
    <row r="689">
      <c r="A689" s="19"/>
      <c r="B689" s="19"/>
      <c r="C689" s="19"/>
      <c r="E689" s="19"/>
    </row>
    <row r="690">
      <c r="A690" s="19"/>
      <c r="B690" s="19"/>
      <c r="C690" s="19"/>
      <c r="E690" s="19"/>
    </row>
    <row r="691">
      <c r="A691" s="19"/>
      <c r="B691" s="19"/>
      <c r="C691" s="19"/>
      <c r="E691" s="19"/>
    </row>
    <row r="692">
      <c r="A692" s="19"/>
      <c r="B692" s="19"/>
      <c r="C692" s="19"/>
      <c r="E692" s="19"/>
    </row>
    <row r="693">
      <c r="A693" s="19"/>
      <c r="B693" s="19"/>
      <c r="C693" s="19"/>
      <c r="E693" s="19"/>
    </row>
    <row r="694">
      <c r="A694" s="19"/>
      <c r="B694" s="19"/>
      <c r="C694" s="19"/>
      <c r="E694" s="19"/>
    </row>
    <row r="695">
      <c r="A695" s="19"/>
      <c r="B695" s="19"/>
      <c r="C695" s="19"/>
      <c r="E695" s="19"/>
    </row>
    <row r="696">
      <c r="A696" s="19"/>
      <c r="B696" s="19"/>
      <c r="C696" s="19"/>
      <c r="E696" s="19"/>
    </row>
    <row r="697">
      <c r="A697" s="19"/>
      <c r="B697" s="19"/>
      <c r="C697" s="19"/>
      <c r="E697" s="19"/>
    </row>
    <row r="698">
      <c r="A698" s="19"/>
      <c r="B698" s="19"/>
      <c r="C698" s="19"/>
      <c r="E698" s="19"/>
    </row>
    <row r="699">
      <c r="A699" s="19"/>
      <c r="B699" s="19"/>
      <c r="C699" s="19"/>
      <c r="E699" s="19"/>
    </row>
    <row r="700">
      <c r="A700" s="19"/>
      <c r="B700" s="19"/>
      <c r="C700" s="19"/>
      <c r="E700" s="19"/>
    </row>
    <row r="701">
      <c r="A701" s="19"/>
      <c r="B701" s="19"/>
      <c r="C701" s="19"/>
      <c r="E701" s="19"/>
    </row>
    <row r="702">
      <c r="A702" s="19"/>
      <c r="B702" s="19"/>
      <c r="C702" s="19"/>
      <c r="E702" s="19"/>
    </row>
    <row r="703">
      <c r="A703" s="19"/>
      <c r="B703" s="19"/>
      <c r="C703" s="19"/>
      <c r="E703" s="19"/>
    </row>
    <row r="704">
      <c r="A704" s="19"/>
      <c r="B704" s="19"/>
      <c r="C704" s="19"/>
      <c r="E704" s="19"/>
    </row>
    <row r="705">
      <c r="A705" s="19"/>
      <c r="B705" s="19"/>
      <c r="C705" s="19"/>
      <c r="E705" s="19"/>
    </row>
    <row r="706">
      <c r="A706" s="19"/>
      <c r="B706" s="19"/>
      <c r="C706" s="19"/>
      <c r="E706" s="19"/>
    </row>
    <row r="707">
      <c r="A707" s="19"/>
      <c r="B707" s="19"/>
      <c r="C707" s="19"/>
      <c r="E707" s="19"/>
    </row>
    <row r="708">
      <c r="A708" s="19"/>
      <c r="B708" s="19"/>
      <c r="C708" s="19"/>
      <c r="E708" s="19"/>
    </row>
    <row r="709">
      <c r="A709" s="19"/>
      <c r="B709" s="19"/>
      <c r="C709" s="19"/>
      <c r="E709" s="19"/>
    </row>
    <row r="710">
      <c r="A710" s="19"/>
      <c r="B710" s="19"/>
      <c r="C710" s="19"/>
      <c r="E710" s="19"/>
    </row>
    <row r="711">
      <c r="A711" s="19"/>
      <c r="B711" s="19"/>
      <c r="C711" s="19"/>
      <c r="E711" s="19"/>
    </row>
    <row r="712">
      <c r="A712" s="19"/>
      <c r="B712" s="19"/>
      <c r="C712" s="19"/>
      <c r="E712" s="19"/>
    </row>
    <row r="713">
      <c r="A713" s="19"/>
      <c r="B713" s="19"/>
      <c r="C713" s="19"/>
      <c r="E713" s="19"/>
    </row>
    <row r="714">
      <c r="A714" s="19"/>
      <c r="B714" s="19"/>
      <c r="C714" s="19"/>
      <c r="E714" s="19"/>
    </row>
    <row r="715">
      <c r="A715" s="19"/>
      <c r="B715" s="19"/>
      <c r="C715" s="19"/>
      <c r="E715" s="19"/>
    </row>
    <row r="716">
      <c r="A716" s="19"/>
      <c r="B716" s="19"/>
      <c r="C716" s="19"/>
      <c r="E716" s="19"/>
    </row>
    <row r="717">
      <c r="A717" s="19"/>
      <c r="B717" s="19"/>
      <c r="C717" s="19"/>
      <c r="E717" s="19"/>
    </row>
    <row r="718">
      <c r="A718" s="19"/>
      <c r="B718" s="19"/>
      <c r="C718" s="19"/>
      <c r="E718" s="19"/>
    </row>
    <row r="719">
      <c r="A719" s="19"/>
      <c r="B719" s="19"/>
      <c r="C719" s="19"/>
      <c r="E719" s="19"/>
    </row>
    <row r="720">
      <c r="A720" s="19"/>
      <c r="B720" s="19"/>
      <c r="C720" s="19"/>
      <c r="E720" s="19"/>
    </row>
    <row r="721">
      <c r="A721" s="19"/>
      <c r="B721" s="19"/>
      <c r="C721" s="19"/>
      <c r="E721" s="19"/>
    </row>
    <row r="722">
      <c r="A722" s="19"/>
      <c r="B722" s="19"/>
      <c r="C722" s="19"/>
      <c r="E722" s="19"/>
    </row>
    <row r="723">
      <c r="A723" s="19"/>
      <c r="B723" s="19"/>
      <c r="C723" s="19"/>
      <c r="E723" s="19"/>
    </row>
    <row r="724">
      <c r="A724" s="19"/>
      <c r="B724" s="19"/>
      <c r="C724" s="19"/>
      <c r="E724" s="19"/>
    </row>
    <row r="725">
      <c r="A725" s="19"/>
      <c r="B725" s="19"/>
      <c r="C725" s="19"/>
      <c r="E725" s="19"/>
    </row>
    <row r="726">
      <c r="A726" s="19"/>
      <c r="B726" s="19"/>
      <c r="C726" s="19"/>
      <c r="E726" s="19"/>
    </row>
    <row r="727">
      <c r="A727" s="19"/>
      <c r="B727" s="19"/>
      <c r="C727" s="19"/>
      <c r="E727" s="19"/>
    </row>
    <row r="728">
      <c r="A728" s="19"/>
      <c r="B728" s="19"/>
      <c r="C728" s="19"/>
      <c r="E728" s="19"/>
    </row>
    <row r="729">
      <c r="A729" s="19"/>
      <c r="B729" s="19"/>
      <c r="C729" s="19"/>
      <c r="E729" s="19"/>
    </row>
    <row r="730">
      <c r="A730" s="19"/>
      <c r="B730" s="19"/>
      <c r="C730" s="19"/>
      <c r="E730" s="19"/>
    </row>
    <row r="731">
      <c r="A731" s="19"/>
      <c r="B731" s="19"/>
      <c r="C731" s="19"/>
      <c r="E731" s="19"/>
    </row>
    <row r="732">
      <c r="A732" s="19"/>
      <c r="B732" s="19"/>
      <c r="C732" s="19"/>
      <c r="E732" s="19"/>
    </row>
    <row r="733">
      <c r="A733" s="19"/>
      <c r="B733" s="19"/>
      <c r="C733" s="19"/>
      <c r="E733" s="19"/>
    </row>
    <row r="734">
      <c r="A734" s="19"/>
      <c r="B734" s="19"/>
      <c r="C734" s="19"/>
      <c r="E734" s="19"/>
    </row>
    <row r="735">
      <c r="A735" s="19"/>
      <c r="B735" s="19"/>
      <c r="C735" s="19"/>
      <c r="E735" s="19"/>
    </row>
    <row r="736">
      <c r="A736" s="19"/>
      <c r="B736" s="19"/>
      <c r="C736" s="19"/>
      <c r="E736" s="19"/>
    </row>
    <row r="737">
      <c r="A737" s="19"/>
      <c r="B737" s="19"/>
      <c r="C737" s="19"/>
      <c r="E737" s="19"/>
    </row>
    <row r="738">
      <c r="A738" s="19"/>
      <c r="B738" s="19"/>
      <c r="C738" s="19"/>
      <c r="E738" s="19"/>
    </row>
    <row r="739">
      <c r="A739" s="19"/>
      <c r="B739" s="19"/>
      <c r="C739" s="19"/>
      <c r="E739" s="19"/>
    </row>
    <row r="740">
      <c r="A740" s="19"/>
      <c r="B740" s="19"/>
      <c r="C740" s="19"/>
      <c r="E740" s="19"/>
    </row>
    <row r="741">
      <c r="A741" s="19"/>
      <c r="B741" s="19"/>
      <c r="C741" s="19"/>
      <c r="E741" s="19"/>
    </row>
    <row r="742">
      <c r="A742" s="19"/>
      <c r="B742" s="19"/>
      <c r="C742" s="19"/>
      <c r="E742" s="19"/>
    </row>
    <row r="743">
      <c r="A743" s="19"/>
      <c r="B743" s="19"/>
      <c r="C743" s="19"/>
      <c r="E743" s="19"/>
    </row>
    <row r="744">
      <c r="A744" s="19"/>
      <c r="B744" s="19"/>
      <c r="C744" s="19"/>
      <c r="E744" s="19"/>
    </row>
    <row r="745">
      <c r="A745" s="19"/>
      <c r="B745" s="19"/>
      <c r="C745" s="19"/>
      <c r="E745" s="19"/>
    </row>
    <row r="746">
      <c r="A746" s="19"/>
      <c r="B746" s="19"/>
      <c r="C746" s="19"/>
      <c r="E746" s="19"/>
    </row>
    <row r="747">
      <c r="A747" s="19"/>
      <c r="B747" s="19"/>
      <c r="C747" s="19"/>
      <c r="E747" s="19"/>
    </row>
    <row r="748">
      <c r="A748" s="19"/>
      <c r="B748" s="19"/>
      <c r="C748" s="19"/>
      <c r="E748" s="19"/>
    </row>
    <row r="749">
      <c r="A749" s="19"/>
      <c r="B749" s="19"/>
      <c r="C749" s="19"/>
      <c r="E749" s="19"/>
    </row>
    <row r="750">
      <c r="A750" s="19"/>
      <c r="B750" s="19"/>
      <c r="C750" s="19"/>
      <c r="E750" s="19"/>
    </row>
    <row r="751">
      <c r="A751" s="19"/>
      <c r="B751" s="19"/>
      <c r="C751" s="19"/>
      <c r="E751" s="19"/>
    </row>
    <row r="752">
      <c r="A752" s="19"/>
      <c r="B752" s="19"/>
      <c r="C752" s="19"/>
      <c r="E752" s="19"/>
    </row>
    <row r="753">
      <c r="A753" s="19"/>
      <c r="B753" s="19"/>
      <c r="C753" s="19"/>
      <c r="E753" s="19"/>
    </row>
    <row r="754">
      <c r="A754" s="19"/>
      <c r="B754" s="19"/>
      <c r="C754" s="19"/>
      <c r="E754" s="19"/>
    </row>
    <row r="755">
      <c r="A755" s="19"/>
      <c r="B755" s="19"/>
      <c r="C755" s="19"/>
      <c r="E755" s="19"/>
    </row>
    <row r="756">
      <c r="A756" s="19"/>
      <c r="B756" s="19"/>
      <c r="C756" s="19"/>
      <c r="E756" s="19"/>
    </row>
    <row r="757">
      <c r="A757" s="19"/>
      <c r="B757" s="19"/>
      <c r="C757" s="19"/>
      <c r="E757" s="19"/>
    </row>
    <row r="758">
      <c r="A758" s="19"/>
      <c r="B758" s="19"/>
      <c r="C758" s="19"/>
      <c r="E758" s="19"/>
    </row>
    <row r="759">
      <c r="A759" s="19"/>
      <c r="B759" s="19"/>
      <c r="C759" s="19"/>
      <c r="E759" s="19"/>
    </row>
    <row r="760">
      <c r="A760" s="19"/>
      <c r="B760" s="19"/>
      <c r="C760" s="19"/>
      <c r="E760" s="19"/>
    </row>
    <row r="761">
      <c r="A761" s="19"/>
      <c r="B761" s="19"/>
      <c r="C761" s="19"/>
      <c r="E761" s="19"/>
    </row>
    <row r="762">
      <c r="A762" s="19"/>
      <c r="B762" s="19"/>
      <c r="C762" s="19"/>
      <c r="E762" s="19"/>
    </row>
    <row r="763">
      <c r="A763" s="19"/>
      <c r="B763" s="19"/>
      <c r="C763" s="19"/>
      <c r="E763" s="19"/>
    </row>
    <row r="764">
      <c r="A764" s="19"/>
      <c r="B764" s="19"/>
      <c r="C764" s="19"/>
      <c r="E764" s="19"/>
    </row>
    <row r="765">
      <c r="A765" s="19"/>
      <c r="B765" s="19"/>
      <c r="C765" s="19"/>
      <c r="E765" s="19"/>
    </row>
    <row r="766">
      <c r="A766" s="19"/>
      <c r="B766" s="19"/>
      <c r="C766" s="19"/>
      <c r="E766" s="19"/>
    </row>
    <row r="767">
      <c r="A767" s="19"/>
      <c r="B767" s="19"/>
      <c r="C767" s="19"/>
      <c r="E767" s="19"/>
    </row>
    <row r="768">
      <c r="A768" s="19"/>
      <c r="B768" s="19"/>
      <c r="C768" s="19"/>
      <c r="E768" s="19"/>
    </row>
    <row r="769">
      <c r="A769" s="19"/>
      <c r="B769" s="19"/>
      <c r="C769" s="19"/>
      <c r="E769" s="19"/>
    </row>
    <row r="770">
      <c r="A770" s="19"/>
      <c r="B770" s="19"/>
      <c r="C770" s="19"/>
      <c r="E770" s="19"/>
    </row>
    <row r="771">
      <c r="A771" s="19"/>
      <c r="B771" s="19"/>
      <c r="C771" s="19"/>
      <c r="E771" s="19"/>
    </row>
    <row r="772">
      <c r="A772" s="19"/>
      <c r="B772" s="19"/>
      <c r="C772" s="19"/>
      <c r="E772" s="19"/>
    </row>
    <row r="773">
      <c r="A773" s="19"/>
      <c r="B773" s="19"/>
      <c r="C773" s="19"/>
      <c r="E773" s="19"/>
    </row>
    <row r="774">
      <c r="A774" s="19"/>
      <c r="B774" s="19"/>
      <c r="C774" s="19"/>
      <c r="E774" s="19"/>
    </row>
    <row r="775">
      <c r="A775" s="19"/>
      <c r="B775" s="19"/>
      <c r="C775" s="19"/>
      <c r="E775" s="19"/>
    </row>
    <row r="776">
      <c r="A776" s="19"/>
      <c r="B776" s="19"/>
      <c r="C776" s="19"/>
      <c r="E776" s="19"/>
    </row>
    <row r="777">
      <c r="A777" s="19"/>
      <c r="B777" s="19"/>
      <c r="C777" s="19"/>
      <c r="E777" s="19"/>
    </row>
    <row r="778">
      <c r="A778" s="19"/>
      <c r="B778" s="19"/>
      <c r="C778" s="19"/>
      <c r="E778" s="19"/>
    </row>
    <row r="779">
      <c r="A779" s="19"/>
      <c r="B779" s="19"/>
      <c r="C779" s="19"/>
      <c r="E779" s="19"/>
    </row>
    <row r="780">
      <c r="A780" s="19"/>
      <c r="B780" s="19"/>
      <c r="C780" s="19"/>
      <c r="E780" s="19"/>
    </row>
    <row r="781">
      <c r="A781" s="19"/>
      <c r="B781" s="19"/>
      <c r="C781" s="19"/>
      <c r="E781" s="19"/>
    </row>
    <row r="782">
      <c r="A782" s="19"/>
      <c r="B782" s="19"/>
      <c r="C782" s="19"/>
      <c r="E782" s="19"/>
    </row>
    <row r="783">
      <c r="A783" s="19"/>
      <c r="B783" s="19"/>
      <c r="C783" s="19"/>
      <c r="E783" s="19"/>
    </row>
    <row r="784">
      <c r="A784" s="19"/>
      <c r="B784" s="19"/>
      <c r="C784" s="19"/>
      <c r="E784" s="19"/>
    </row>
    <row r="785">
      <c r="A785" s="19"/>
      <c r="B785" s="19"/>
      <c r="C785" s="19"/>
      <c r="E785" s="19"/>
    </row>
    <row r="786">
      <c r="A786" s="19"/>
      <c r="B786" s="19"/>
      <c r="C786" s="19"/>
      <c r="E786" s="19"/>
    </row>
    <row r="787">
      <c r="A787" s="19"/>
      <c r="B787" s="19"/>
      <c r="C787" s="19"/>
      <c r="E787" s="19"/>
    </row>
    <row r="788">
      <c r="A788" s="19"/>
      <c r="B788" s="19"/>
      <c r="C788" s="19"/>
      <c r="E788" s="19"/>
    </row>
    <row r="789">
      <c r="A789" s="19"/>
      <c r="B789" s="19"/>
      <c r="C789" s="19"/>
      <c r="E789" s="19"/>
    </row>
    <row r="790">
      <c r="A790" s="19"/>
      <c r="B790" s="19"/>
      <c r="C790" s="19"/>
      <c r="E790" s="19"/>
    </row>
    <row r="791">
      <c r="A791" s="19"/>
      <c r="B791" s="19"/>
      <c r="C791" s="19"/>
      <c r="E791" s="19"/>
    </row>
    <row r="792">
      <c r="A792" s="19"/>
      <c r="B792" s="19"/>
      <c r="C792" s="19"/>
      <c r="E792" s="19"/>
    </row>
    <row r="793">
      <c r="A793" s="19"/>
      <c r="B793" s="19"/>
      <c r="C793" s="19"/>
      <c r="E793" s="19"/>
    </row>
    <row r="794">
      <c r="A794" s="19"/>
      <c r="B794" s="19"/>
      <c r="C794" s="19"/>
      <c r="E794" s="19"/>
    </row>
    <row r="795">
      <c r="A795" s="19"/>
      <c r="B795" s="19"/>
      <c r="C795" s="19"/>
      <c r="E795" s="19"/>
    </row>
    <row r="796">
      <c r="A796" s="19"/>
      <c r="B796" s="19"/>
      <c r="C796" s="19"/>
      <c r="E796" s="19"/>
    </row>
    <row r="797">
      <c r="A797" s="19"/>
      <c r="B797" s="19"/>
      <c r="C797" s="19"/>
      <c r="E797" s="19"/>
    </row>
    <row r="798">
      <c r="A798" s="19"/>
      <c r="B798" s="19"/>
      <c r="C798" s="19"/>
      <c r="E798" s="19"/>
    </row>
    <row r="799">
      <c r="A799" s="19"/>
      <c r="B799" s="19"/>
      <c r="C799" s="19"/>
      <c r="E799" s="19"/>
    </row>
    <row r="800">
      <c r="A800" s="19"/>
      <c r="B800" s="19"/>
      <c r="C800" s="19"/>
      <c r="E800" s="19"/>
    </row>
    <row r="801">
      <c r="A801" s="19"/>
      <c r="B801" s="19"/>
      <c r="C801" s="19"/>
      <c r="E801" s="19"/>
    </row>
    <row r="802">
      <c r="A802" s="19"/>
      <c r="B802" s="19"/>
      <c r="C802" s="19"/>
      <c r="E802" s="19"/>
    </row>
    <row r="803">
      <c r="A803" s="19"/>
      <c r="B803" s="19"/>
      <c r="C803" s="19"/>
      <c r="E803" s="19"/>
    </row>
    <row r="804">
      <c r="A804" s="19"/>
      <c r="B804" s="19"/>
      <c r="C804" s="19"/>
      <c r="E804" s="19"/>
    </row>
    <row r="805">
      <c r="A805" s="19"/>
      <c r="B805" s="19"/>
      <c r="C805" s="19"/>
      <c r="E805" s="19"/>
    </row>
    <row r="806">
      <c r="A806" s="19"/>
      <c r="B806" s="19"/>
      <c r="C806" s="19"/>
      <c r="E806" s="19"/>
    </row>
    <row r="807">
      <c r="A807" s="19"/>
      <c r="B807" s="19"/>
      <c r="C807" s="19"/>
      <c r="E807" s="19"/>
    </row>
    <row r="808">
      <c r="A808" s="19"/>
      <c r="B808" s="19"/>
      <c r="C808" s="19"/>
      <c r="E808" s="19"/>
    </row>
    <row r="809">
      <c r="A809" s="19"/>
      <c r="B809" s="19"/>
      <c r="C809" s="19"/>
      <c r="E809" s="19"/>
    </row>
    <row r="810">
      <c r="A810" s="19"/>
      <c r="B810" s="19"/>
      <c r="C810" s="19"/>
      <c r="E810" s="19"/>
    </row>
    <row r="811">
      <c r="A811" s="19"/>
      <c r="B811" s="19"/>
      <c r="C811" s="19"/>
      <c r="E811" s="19"/>
    </row>
    <row r="812">
      <c r="A812" s="19"/>
      <c r="B812" s="19"/>
      <c r="C812" s="19"/>
      <c r="E812" s="19"/>
    </row>
    <row r="813">
      <c r="A813" s="19"/>
      <c r="B813" s="19"/>
      <c r="C813" s="19"/>
      <c r="E813" s="19"/>
    </row>
    <row r="814">
      <c r="A814" s="19"/>
      <c r="B814" s="19"/>
      <c r="C814" s="19"/>
      <c r="E814" s="19"/>
    </row>
    <row r="815">
      <c r="A815" s="19"/>
      <c r="B815" s="19"/>
      <c r="C815" s="19"/>
      <c r="E815" s="19"/>
    </row>
    <row r="816">
      <c r="A816" s="19"/>
      <c r="B816" s="19"/>
      <c r="C816" s="19"/>
      <c r="E816" s="19"/>
    </row>
    <row r="817">
      <c r="A817" s="19"/>
      <c r="B817" s="19"/>
      <c r="C817" s="19"/>
      <c r="E817" s="19"/>
    </row>
    <row r="818">
      <c r="A818" s="19"/>
      <c r="B818" s="19"/>
      <c r="C818" s="19"/>
      <c r="E818" s="19"/>
    </row>
    <row r="819">
      <c r="A819" s="19"/>
      <c r="B819" s="19"/>
      <c r="C819" s="19"/>
      <c r="E819" s="19"/>
    </row>
    <row r="820">
      <c r="A820" s="19"/>
      <c r="B820" s="19"/>
      <c r="C820" s="19"/>
      <c r="E820" s="19"/>
    </row>
    <row r="821">
      <c r="A821" s="19"/>
      <c r="B821" s="19"/>
      <c r="C821" s="19"/>
      <c r="E821" s="19"/>
    </row>
    <row r="822">
      <c r="A822" s="19"/>
      <c r="B822" s="19"/>
      <c r="C822" s="19"/>
      <c r="E822" s="19"/>
    </row>
    <row r="823">
      <c r="A823" s="19"/>
      <c r="B823" s="19"/>
      <c r="C823" s="19"/>
      <c r="E823" s="19"/>
    </row>
    <row r="824">
      <c r="A824" s="19"/>
      <c r="B824" s="19"/>
      <c r="C824" s="19"/>
      <c r="E824" s="19"/>
    </row>
    <row r="825">
      <c r="A825" s="19"/>
      <c r="B825" s="19"/>
      <c r="C825" s="19"/>
      <c r="E825" s="19"/>
    </row>
    <row r="826">
      <c r="A826" s="19"/>
      <c r="B826" s="19"/>
      <c r="C826" s="19"/>
      <c r="E826" s="19"/>
    </row>
    <row r="827">
      <c r="A827" s="19"/>
      <c r="B827" s="19"/>
      <c r="C827" s="19"/>
      <c r="E827" s="19"/>
    </row>
    <row r="828">
      <c r="A828" s="19"/>
      <c r="B828" s="19"/>
      <c r="C828" s="19"/>
      <c r="E828" s="19"/>
    </row>
    <row r="829">
      <c r="A829" s="19"/>
      <c r="B829" s="19"/>
      <c r="C829" s="19"/>
      <c r="E829" s="19"/>
    </row>
    <row r="830">
      <c r="A830" s="19"/>
      <c r="B830" s="19"/>
      <c r="C830" s="19"/>
      <c r="E830" s="19"/>
    </row>
    <row r="831">
      <c r="A831" s="19"/>
      <c r="B831" s="19"/>
      <c r="C831" s="19"/>
      <c r="E831" s="19"/>
    </row>
    <row r="832">
      <c r="A832" s="19"/>
      <c r="B832" s="19"/>
      <c r="C832" s="19"/>
      <c r="E832" s="19"/>
    </row>
    <row r="833">
      <c r="A833" s="19"/>
      <c r="B833" s="19"/>
      <c r="C833" s="19"/>
      <c r="E833" s="19"/>
    </row>
    <row r="834">
      <c r="A834" s="19"/>
      <c r="B834" s="19"/>
      <c r="C834" s="19"/>
      <c r="E834" s="19"/>
    </row>
    <row r="835">
      <c r="A835" s="19"/>
      <c r="B835" s="19"/>
      <c r="C835" s="19"/>
      <c r="E835" s="19"/>
    </row>
    <row r="836">
      <c r="A836" s="19"/>
      <c r="B836" s="19"/>
      <c r="C836" s="19"/>
      <c r="E836" s="19"/>
    </row>
    <row r="837">
      <c r="A837" s="19"/>
      <c r="B837" s="19"/>
      <c r="C837" s="19"/>
      <c r="E837" s="19"/>
    </row>
    <row r="838">
      <c r="A838" s="19"/>
      <c r="B838" s="19"/>
      <c r="C838" s="19"/>
      <c r="E838" s="19"/>
    </row>
    <row r="839">
      <c r="A839" s="19"/>
      <c r="B839" s="19"/>
      <c r="C839" s="19"/>
      <c r="E839" s="19"/>
    </row>
    <row r="840">
      <c r="A840" s="19"/>
      <c r="B840" s="19"/>
      <c r="C840" s="19"/>
      <c r="E840" s="19"/>
    </row>
    <row r="841">
      <c r="A841" s="19"/>
      <c r="B841" s="19"/>
      <c r="C841" s="19"/>
      <c r="E841" s="19"/>
    </row>
    <row r="842">
      <c r="A842" s="19"/>
      <c r="B842" s="19"/>
      <c r="C842" s="19"/>
      <c r="E842" s="19"/>
    </row>
    <row r="843">
      <c r="A843" s="19"/>
      <c r="B843" s="19"/>
      <c r="C843" s="19"/>
      <c r="E843" s="19"/>
    </row>
    <row r="844">
      <c r="A844" s="19"/>
      <c r="B844" s="19"/>
      <c r="C844" s="19"/>
      <c r="E844" s="19"/>
    </row>
    <row r="845">
      <c r="A845" s="19"/>
      <c r="B845" s="19"/>
      <c r="C845" s="19"/>
      <c r="E845" s="19"/>
    </row>
    <row r="846">
      <c r="A846" s="19"/>
      <c r="B846" s="19"/>
      <c r="C846" s="19"/>
      <c r="E846" s="19"/>
    </row>
    <row r="847">
      <c r="A847" s="19"/>
      <c r="B847" s="19"/>
      <c r="C847" s="19"/>
      <c r="E847" s="19"/>
    </row>
    <row r="848">
      <c r="A848" s="19"/>
      <c r="B848" s="19"/>
      <c r="C848" s="19"/>
      <c r="E848" s="19"/>
    </row>
    <row r="849">
      <c r="A849" s="19"/>
      <c r="B849" s="19"/>
      <c r="C849" s="19"/>
      <c r="E849" s="19"/>
    </row>
    <row r="850">
      <c r="A850" s="19"/>
      <c r="B850" s="19"/>
      <c r="C850" s="19"/>
      <c r="E850" s="19"/>
    </row>
    <row r="851">
      <c r="A851" s="19"/>
      <c r="B851" s="19"/>
      <c r="C851" s="19"/>
      <c r="E851" s="19"/>
    </row>
    <row r="852">
      <c r="A852" s="19"/>
      <c r="B852" s="19"/>
      <c r="C852" s="19"/>
      <c r="E852" s="19"/>
    </row>
    <row r="853">
      <c r="A853" s="19"/>
      <c r="B853" s="19"/>
      <c r="C853" s="19"/>
      <c r="E853" s="19"/>
    </row>
    <row r="854">
      <c r="A854" s="19"/>
      <c r="B854" s="19"/>
      <c r="C854" s="19"/>
      <c r="E854" s="19"/>
    </row>
    <row r="855">
      <c r="A855" s="19"/>
      <c r="B855" s="19"/>
      <c r="C855" s="19"/>
      <c r="E855" s="19"/>
    </row>
    <row r="856">
      <c r="A856" s="19"/>
      <c r="B856" s="19"/>
      <c r="C856" s="19"/>
      <c r="E856" s="19"/>
    </row>
    <row r="857">
      <c r="A857" s="19"/>
      <c r="B857" s="19"/>
      <c r="C857" s="19"/>
      <c r="E857" s="19"/>
    </row>
    <row r="858">
      <c r="A858" s="19"/>
      <c r="B858" s="19"/>
      <c r="C858" s="19"/>
      <c r="E858" s="19"/>
    </row>
    <row r="859">
      <c r="A859" s="19"/>
      <c r="B859" s="19"/>
      <c r="C859" s="19"/>
      <c r="E859" s="19"/>
    </row>
    <row r="860">
      <c r="A860" s="19"/>
      <c r="B860" s="19"/>
      <c r="C860" s="19"/>
      <c r="E860" s="19"/>
    </row>
    <row r="861">
      <c r="A861" s="19"/>
      <c r="B861" s="19"/>
      <c r="C861" s="19"/>
      <c r="E861" s="19"/>
    </row>
    <row r="862">
      <c r="A862" s="19"/>
      <c r="B862" s="19"/>
      <c r="C862" s="19"/>
      <c r="E862" s="19"/>
    </row>
    <row r="863">
      <c r="A863" s="19"/>
      <c r="B863" s="19"/>
      <c r="C863" s="19"/>
      <c r="E863" s="19"/>
    </row>
    <row r="864">
      <c r="A864" s="19"/>
      <c r="B864" s="19"/>
      <c r="C864" s="19"/>
      <c r="E864" s="19"/>
    </row>
    <row r="865">
      <c r="A865" s="19"/>
      <c r="B865" s="19"/>
      <c r="C865" s="19"/>
      <c r="E865" s="19"/>
    </row>
    <row r="866">
      <c r="A866" s="19"/>
      <c r="B866" s="19"/>
      <c r="C866" s="19"/>
      <c r="E866" s="19"/>
    </row>
    <row r="867">
      <c r="A867" s="19"/>
      <c r="B867" s="19"/>
      <c r="C867" s="19"/>
      <c r="E867" s="19"/>
    </row>
    <row r="868">
      <c r="A868" s="19"/>
      <c r="B868" s="19"/>
      <c r="C868" s="19"/>
      <c r="E868" s="19"/>
    </row>
    <row r="869">
      <c r="A869" s="19"/>
      <c r="B869" s="19"/>
      <c r="C869" s="19"/>
      <c r="E869" s="19"/>
    </row>
    <row r="870">
      <c r="A870" s="19"/>
      <c r="B870" s="19"/>
      <c r="C870" s="19"/>
      <c r="E870" s="19"/>
    </row>
    <row r="871">
      <c r="A871" s="19"/>
      <c r="B871" s="19"/>
      <c r="C871" s="19"/>
      <c r="E871" s="19"/>
    </row>
    <row r="872">
      <c r="A872" s="19"/>
      <c r="B872" s="19"/>
      <c r="C872" s="19"/>
      <c r="E872" s="19"/>
    </row>
    <row r="873">
      <c r="A873" s="19"/>
      <c r="B873" s="19"/>
      <c r="C873" s="19"/>
      <c r="E873" s="19"/>
    </row>
    <row r="874">
      <c r="A874" s="19"/>
      <c r="B874" s="19"/>
      <c r="C874" s="19"/>
      <c r="E874" s="19"/>
    </row>
    <row r="875">
      <c r="A875" s="19"/>
      <c r="B875" s="19"/>
      <c r="C875" s="19"/>
      <c r="E875" s="19"/>
    </row>
    <row r="876">
      <c r="A876" s="19"/>
      <c r="B876" s="19"/>
      <c r="C876" s="19"/>
      <c r="E876" s="19"/>
    </row>
    <row r="877">
      <c r="A877" s="19"/>
      <c r="B877" s="19"/>
      <c r="C877" s="19"/>
      <c r="E877" s="19"/>
    </row>
    <row r="878">
      <c r="A878" s="19"/>
      <c r="B878" s="19"/>
      <c r="C878" s="19"/>
      <c r="E878" s="19"/>
    </row>
    <row r="879">
      <c r="A879" s="19"/>
      <c r="B879" s="19"/>
      <c r="C879" s="19"/>
      <c r="E879" s="19"/>
    </row>
    <row r="880">
      <c r="A880" s="19"/>
      <c r="B880" s="19"/>
      <c r="C880" s="19"/>
      <c r="E880" s="19"/>
    </row>
    <row r="881">
      <c r="A881" s="19"/>
      <c r="B881" s="19"/>
      <c r="C881" s="19"/>
      <c r="E881" s="19"/>
    </row>
    <row r="882">
      <c r="A882" s="19"/>
      <c r="B882" s="19"/>
      <c r="C882" s="19"/>
      <c r="E882" s="19"/>
    </row>
    <row r="883">
      <c r="A883" s="19"/>
      <c r="B883" s="19"/>
      <c r="C883" s="19"/>
      <c r="E883" s="19"/>
    </row>
    <row r="884">
      <c r="A884" s="19"/>
      <c r="B884" s="19"/>
      <c r="C884" s="19"/>
      <c r="E884" s="19"/>
    </row>
    <row r="885">
      <c r="A885" s="19"/>
      <c r="B885" s="19"/>
      <c r="C885" s="19"/>
      <c r="E885" s="19"/>
    </row>
    <row r="886">
      <c r="A886" s="19"/>
      <c r="B886" s="19"/>
      <c r="C886" s="19"/>
      <c r="E886" s="19"/>
    </row>
    <row r="887">
      <c r="A887" s="19"/>
      <c r="B887" s="19"/>
      <c r="C887" s="19"/>
      <c r="E887" s="19"/>
    </row>
    <row r="888">
      <c r="A888" s="19"/>
      <c r="B888" s="19"/>
      <c r="C888" s="19"/>
      <c r="E888" s="19"/>
    </row>
    <row r="889">
      <c r="A889" s="19"/>
      <c r="B889" s="19"/>
      <c r="C889" s="19"/>
      <c r="E889" s="19"/>
    </row>
    <row r="890">
      <c r="A890" s="19"/>
      <c r="B890" s="19"/>
      <c r="C890" s="19"/>
      <c r="E890" s="19"/>
    </row>
    <row r="891">
      <c r="A891" s="19"/>
      <c r="B891" s="19"/>
      <c r="C891" s="19"/>
      <c r="E891" s="19"/>
    </row>
    <row r="892">
      <c r="A892" s="19"/>
      <c r="B892" s="19"/>
      <c r="C892" s="19"/>
      <c r="E892" s="19"/>
    </row>
    <row r="893">
      <c r="A893" s="19"/>
      <c r="B893" s="19"/>
      <c r="C893" s="19"/>
      <c r="E893" s="19"/>
    </row>
    <row r="894">
      <c r="A894" s="19"/>
      <c r="B894" s="19"/>
      <c r="C894" s="19"/>
      <c r="E894" s="19"/>
    </row>
    <row r="895">
      <c r="A895" s="19"/>
      <c r="B895" s="19"/>
      <c r="C895" s="19"/>
      <c r="E895" s="19"/>
    </row>
    <row r="896">
      <c r="A896" s="19"/>
      <c r="B896" s="19"/>
      <c r="C896" s="19"/>
      <c r="E896" s="19"/>
    </row>
    <row r="897">
      <c r="A897" s="19"/>
      <c r="B897" s="19"/>
      <c r="C897" s="19"/>
      <c r="E897" s="19"/>
    </row>
    <row r="898">
      <c r="A898" s="19"/>
      <c r="B898" s="19"/>
      <c r="C898" s="19"/>
      <c r="E898" s="19"/>
    </row>
    <row r="899">
      <c r="A899" s="19"/>
      <c r="B899" s="19"/>
      <c r="C899" s="19"/>
      <c r="E899" s="19"/>
    </row>
    <row r="900">
      <c r="A900" s="19"/>
      <c r="B900" s="19"/>
      <c r="C900" s="19"/>
      <c r="E900" s="19"/>
    </row>
    <row r="901">
      <c r="A901" s="19"/>
      <c r="B901" s="19"/>
      <c r="C901" s="19"/>
      <c r="E901" s="19"/>
    </row>
    <row r="902">
      <c r="A902" s="19"/>
      <c r="B902" s="19"/>
      <c r="C902" s="19"/>
      <c r="E902" s="19"/>
    </row>
    <row r="903">
      <c r="A903" s="19"/>
      <c r="B903" s="19"/>
      <c r="C903" s="19"/>
      <c r="E903" s="19"/>
    </row>
    <row r="904">
      <c r="A904" s="19"/>
      <c r="B904" s="19"/>
      <c r="C904" s="19"/>
      <c r="E904" s="19"/>
    </row>
    <row r="905">
      <c r="A905" s="19"/>
      <c r="B905" s="19"/>
      <c r="C905" s="19"/>
      <c r="E905" s="19"/>
    </row>
    <row r="906">
      <c r="A906" s="19"/>
      <c r="B906" s="19"/>
      <c r="C906" s="19"/>
      <c r="E906" s="19"/>
    </row>
    <row r="907">
      <c r="A907" s="19"/>
      <c r="B907" s="19"/>
      <c r="C907" s="19"/>
      <c r="E907" s="19"/>
    </row>
    <row r="908">
      <c r="A908" s="19"/>
      <c r="B908" s="19"/>
      <c r="C908" s="19"/>
      <c r="E908" s="19"/>
    </row>
    <row r="909">
      <c r="A909" s="19"/>
      <c r="B909" s="19"/>
      <c r="C909" s="19"/>
      <c r="E909" s="19"/>
    </row>
    <row r="910">
      <c r="A910" s="19"/>
      <c r="B910" s="19"/>
      <c r="C910" s="19"/>
      <c r="E910" s="19"/>
    </row>
    <row r="911">
      <c r="A911" s="19"/>
      <c r="B911" s="19"/>
      <c r="C911" s="19"/>
      <c r="E911" s="19"/>
    </row>
    <row r="912">
      <c r="A912" s="19"/>
      <c r="B912" s="19"/>
      <c r="C912" s="19"/>
      <c r="E912" s="19"/>
    </row>
    <row r="913">
      <c r="A913" s="19"/>
      <c r="B913" s="19"/>
      <c r="C913" s="19"/>
      <c r="E913" s="19"/>
    </row>
    <row r="914">
      <c r="A914" s="19"/>
      <c r="B914" s="19"/>
      <c r="C914" s="19"/>
      <c r="E914" s="19"/>
    </row>
    <row r="915">
      <c r="A915" s="19"/>
      <c r="B915" s="19"/>
      <c r="C915" s="19"/>
      <c r="E915" s="19"/>
    </row>
    <row r="916">
      <c r="A916" s="19"/>
      <c r="B916" s="19"/>
      <c r="C916" s="19"/>
      <c r="E916" s="19"/>
    </row>
    <row r="917">
      <c r="A917" s="19"/>
      <c r="B917" s="19"/>
      <c r="C917" s="19"/>
      <c r="E917" s="19"/>
    </row>
    <row r="918">
      <c r="A918" s="19"/>
      <c r="B918" s="19"/>
      <c r="C918" s="19"/>
      <c r="E918" s="19"/>
    </row>
    <row r="919">
      <c r="A919" s="19"/>
      <c r="B919" s="19"/>
      <c r="C919" s="19"/>
      <c r="E919" s="19"/>
    </row>
    <row r="920">
      <c r="A920" s="19"/>
      <c r="B920" s="19"/>
      <c r="C920" s="19"/>
      <c r="E920" s="19"/>
    </row>
    <row r="921">
      <c r="A921" s="19"/>
      <c r="B921" s="19"/>
      <c r="C921" s="19"/>
      <c r="E921" s="19"/>
    </row>
    <row r="922">
      <c r="A922" s="19"/>
      <c r="B922" s="19"/>
      <c r="C922" s="19"/>
      <c r="E922" s="19"/>
    </row>
    <row r="923">
      <c r="A923" s="19"/>
      <c r="B923" s="19"/>
      <c r="C923" s="19"/>
      <c r="E923" s="19"/>
    </row>
    <row r="924">
      <c r="A924" s="19"/>
      <c r="B924" s="19"/>
      <c r="C924" s="19"/>
      <c r="E924" s="19"/>
    </row>
    <row r="925">
      <c r="A925" s="19"/>
      <c r="B925" s="19"/>
      <c r="C925" s="19"/>
      <c r="E925" s="19"/>
    </row>
    <row r="926">
      <c r="A926" s="19"/>
      <c r="B926" s="19"/>
      <c r="C926" s="19"/>
      <c r="E926" s="19"/>
    </row>
    <row r="927">
      <c r="A927" s="19"/>
      <c r="B927" s="19"/>
      <c r="C927" s="19"/>
      <c r="E927" s="19"/>
    </row>
    <row r="928">
      <c r="A928" s="19"/>
      <c r="B928" s="19"/>
      <c r="C928" s="19"/>
      <c r="E928" s="19"/>
    </row>
    <row r="929">
      <c r="A929" s="19"/>
      <c r="B929" s="19"/>
      <c r="C929" s="19"/>
      <c r="E929" s="19"/>
    </row>
    <row r="930">
      <c r="A930" s="19"/>
      <c r="B930" s="19"/>
      <c r="C930" s="19"/>
      <c r="E930" s="19"/>
    </row>
    <row r="931">
      <c r="A931" s="19"/>
      <c r="B931" s="19"/>
      <c r="C931" s="19"/>
      <c r="E931" s="19"/>
    </row>
    <row r="932">
      <c r="A932" s="19"/>
      <c r="B932" s="19"/>
      <c r="C932" s="19"/>
      <c r="E932" s="19"/>
    </row>
    <row r="933">
      <c r="A933" s="19"/>
      <c r="B933" s="19"/>
      <c r="C933" s="19"/>
      <c r="E933" s="19"/>
    </row>
    <row r="934">
      <c r="A934" s="19"/>
      <c r="B934" s="19"/>
      <c r="C934" s="19"/>
      <c r="E934" s="19"/>
    </row>
    <row r="935">
      <c r="A935" s="19"/>
      <c r="B935" s="19"/>
      <c r="C935" s="19"/>
      <c r="E935" s="19"/>
    </row>
    <row r="936">
      <c r="A936" s="19"/>
      <c r="B936" s="19"/>
      <c r="C936" s="19"/>
      <c r="E936" s="19"/>
    </row>
    <row r="937">
      <c r="A937" s="19"/>
      <c r="B937" s="19"/>
      <c r="C937" s="19"/>
      <c r="E937" s="19"/>
    </row>
    <row r="938">
      <c r="A938" s="19"/>
      <c r="B938" s="19"/>
      <c r="C938" s="19"/>
      <c r="E938" s="19"/>
    </row>
    <row r="939">
      <c r="A939" s="19"/>
      <c r="B939" s="19"/>
      <c r="C939" s="19"/>
      <c r="E939" s="19"/>
    </row>
    <row r="940">
      <c r="A940" s="19"/>
      <c r="B940" s="19"/>
      <c r="C940" s="19"/>
      <c r="E940" s="19"/>
    </row>
    <row r="941">
      <c r="A941" s="19"/>
      <c r="B941" s="19"/>
      <c r="C941" s="19"/>
      <c r="E941" s="19"/>
    </row>
    <row r="942">
      <c r="A942" s="19"/>
      <c r="B942" s="19"/>
      <c r="C942" s="19"/>
      <c r="E942" s="19"/>
    </row>
    <row r="943">
      <c r="A943" s="19"/>
      <c r="B943" s="19"/>
      <c r="C943" s="19"/>
      <c r="E943" s="19"/>
    </row>
    <row r="944">
      <c r="A944" s="19"/>
      <c r="B944" s="19"/>
      <c r="C944" s="19"/>
      <c r="E944" s="19"/>
    </row>
    <row r="945">
      <c r="A945" s="19"/>
      <c r="B945" s="19"/>
      <c r="C945" s="19"/>
      <c r="E945" s="19"/>
    </row>
    <row r="946">
      <c r="A946" s="19"/>
      <c r="B946" s="19"/>
      <c r="C946" s="19"/>
      <c r="E946" s="19"/>
    </row>
    <row r="947">
      <c r="A947" s="19"/>
      <c r="B947" s="19"/>
      <c r="C947" s="19"/>
      <c r="E947" s="19"/>
    </row>
    <row r="948">
      <c r="A948" s="19"/>
      <c r="B948" s="19"/>
      <c r="C948" s="19"/>
      <c r="E948" s="19"/>
    </row>
    <row r="949">
      <c r="A949" s="19"/>
      <c r="B949" s="19"/>
      <c r="C949" s="19"/>
      <c r="E949" s="19"/>
    </row>
    <row r="950">
      <c r="A950" s="19"/>
      <c r="B950" s="19"/>
      <c r="C950" s="19"/>
      <c r="E950" s="19"/>
    </row>
    <row r="951">
      <c r="A951" s="19"/>
      <c r="B951" s="19"/>
      <c r="C951" s="19"/>
      <c r="E951" s="19"/>
    </row>
    <row r="952">
      <c r="A952" s="19"/>
      <c r="B952" s="19"/>
      <c r="C952" s="19"/>
      <c r="E952" s="19"/>
    </row>
    <row r="953">
      <c r="A953" s="19"/>
      <c r="B953" s="19"/>
      <c r="C953" s="19"/>
      <c r="E953" s="19"/>
    </row>
    <row r="954">
      <c r="A954" s="19"/>
      <c r="B954" s="19"/>
      <c r="C954" s="19"/>
      <c r="E954" s="19"/>
    </row>
    <row r="955">
      <c r="A955" s="19"/>
      <c r="B955" s="19"/>
      <c r="C955" s="19"/>
      <c r="E955" s="19"/>
    </row>
    <row r="956">
      <c r="A956" s="19"/>
      <c r="B956" s="19"/>
      <c r="C956" s="19"/>
      <c r="E956" s="19"/>
    </row>
    <row r="957">
      <c r="A957" s="19"/>
      <c r="B957" s="19"/>
      <c r="C957" s="19"/>
      <c r="E957" s="19"/>
    </row>
    <row r="958">
      <c r="A958" s="19"/>
      <c r="B958" s="19"/>
      <c r="C958" s="19"/>
      <c r="E958" s="19"/>
    </row>
    <row r="959">
      <c r="A959" s="19"/>
      <c r="B959" s="19"/>
      <c r="C959" s="19"/>
      <c r="E959" s="19"/>
    </row>
    <row r="960">
      <c r="A960" s="19"/>
      <c r="B960" s="19"/>
      <c r="C960" s="19"/>
      <c r="E960" s="19"/>
    </row>
    <row r="961">
      <c r="A961" s="19"/>
      <c r="B961" s="19"/>
      <c r="C961" s="19"/>
      <c r="E961" s="19"/>
    </row>
    <row r="962">
      <c r="A962" s="19"/>
      <c r="B962" s="19"/>
      <c r="C962" s="19"/>
      <c r="E962" s="19"/>
    </row>
    <row r="963">
      <c r="A963" s="19"/>
      <c r="B963" s="19"/>
      <c r="C963" s="19"/>
      <c r="E963" s="19"/>
    </row>
    <row r="964">
      <c r="A964" s="19"/>
      <c r="B964" s="19"/>
      <c r="C964" s="19"/>
      <c r="E964" s="19"/>
    </row>
    <row r="965">
      <c r="A965" s="19"/>
      <c r="B965" s="19"/>
      <c r="C965" s="19"/>
      <c r="E965" s="19"/>
    </row>
    <row r="966">
      <c r="A966" s="19"/>
      <c r="B966" s="19"/>
      <c r="C966" s="19"/>
      <c r="E966" s="19"/>
    </row>
    <row r="967">
      <c r="A967" s="19"/>
      <c r="B967" s="19"/>
      <c r="C967" s="19"/>
      <c r="E967" s="19"/>
    </row>
    <row r="968">
      <c r="A968" s="19"/>
      <c r="B968" s="19"/>
      <c r="C968" s="19"/>
      <c r="E968" s="19"/>
    </row>
    <row r="969">
      <c r="A969" s="19"/>
      <c r="B969" s="19"/>
      <c r="C969" s="19"/>
      <c r="E969" s="19"/>
    </row>
    <row r="970">
      <c r="A970" s="19"/>
      <c r="B970" s="19"/>
      <c r="C970" s="19"/>
      <c r="E970" s="19"/>
    </row>
    <row r="971">
      <c r="A971" s="19"/>
      <c r="B971" s="19"/>
      <c r="C971" s="19"/>
      <c r="E971" s="19"/>
    </row>
    <row r="972">
      <c r="A972" s="19"/>
      <c r="B972" s="19"/>
      <c r="C972" s="19"/>
      <c r="E972" s="19"/>
    </row>
    <row r="973">
      <c r="A973" s="19"/>
      <c r="B973" s="19"/>
      <c r="C973" s="19"/>
      <c r="E973" s="19"/>
    </row>
    <row r="974">
      <c r="A974" s="19"/>
      <c r="B974" s="19"/>
      <c r="C974" s="19"/>
      <c r="E974" s="19"/>
    </row>
    <row r="975">
      <c r="A975" s="19"/>
      <c r="B975" s="19"/>
      <c r="C975" s="19"/>
      <c r="E975" s="19"/>
    </row>
    <row r="976">
      <c r="A976" s="19"/>
      <c r="B976" s="19"/>
      <c r="C976" s="19"/>
      <c r="E976" s="19"/>
    </row>
    <row r="977">
      <c r="A977" s="19"/>
      <c r="B977" s="19"/>
      <c r="C977" s="19"/>
      <c r="E977" s="19"/>
    </row>
    <row r="978">
      <c r="A978" s="19"/>
      <c r="B978" s="19"/>
      <c r="C978" s="19"/>
      <c r="E978" s="19"/>
    </row>
    <row r="979">
      <c r="A979" s="19"/>
      <c r="B979" s="19"/>
      <c r="C979" s="19"/>
      <c r="E979" s="19"/>
    </row>
    <row r="980">
      <c r="A980" s="19"/>
      <c r="B980" s="19"/>
      <c r="C980" s="19"/>
      <c r="E980" s="19"/>
    </row>
    <row r="981">
      <c r="A981" s="19"/>
      <c r="B981" s="19"/>
      <c r="C981" s="19"/>
      <c r="E981" s="19"/>
    </row>
    <row r="982">
      <c r="A982" s="19"/>
      <c r="B982" s="19"/>
      <c r="C982" s="19"/>
      <c r="E982" s="19"/>
    </row>
    <row r="983">
      <c r="A983" s="19"/>
      <c r="B983" s="19"/>
      <c r="C983" s="19"/>
      <c r="E983" s="19"/>
    </row>
    <row r="984">
      <c r="A984" s="19"/>
      <c r="B984" s="19"/>
      <c r="C984" s="19"/>
      <c r="E984" s="19"/>
    </row>
    <row r="985">
      <c r="A985" s="19"/>
      <c r="B985" s="19"/>
      <c r="C985" s="19"/>
      <c r="E985" s="19"/>
    </row>
    <row r="986">
      <c r="A986" s="19"/>
      <c r="B986" s="19"/>
      <c r="C986" s="19"/>
      <c r="E986" s="19"/>
    </row>
    <row r="987">
      <c r="A987" s="19"/>
      <c r="B987" s="19"/>
      <c r="C987" s="19"/>
      <c r="E987" s="19"/>
    </row>
    <row r="988">
      <c r="A988" s="19"/>
      <c r="B988" s="19"/>
      <c r="C988" s="19"/>
      <c r="E988" s="19"/>
    </row>
    <row r="989">
      <c r="A989" s="19"/>
      <c r="B989" s="19"/>
      <c r="C989" s="19"/>
      <c r="E989" s="19"/>
    </row>
    <row r="990">
      <c r="A990" s="19"/>
      <c r="B990" s="19"/>
      <c r="C990" s="19"/>
      <c r="E990" s="19"/>
    </row>
    <row r="991">
      <c r="A991" s="19"/>
      <c r="B991" s="19"/>
      <c r="C991" s="19"/>
      <c r="E991" s="19"/>
    </row>
    <row r="992">
      <c r="A992" s="19"/>
      <c r="B992" s="19"/>
      <c r="C992" s="19"/>
      <c r="E992" s="19"/>
    </row>
    <row r="993">
      <c r="A993" s="19"/>
      <c r="B993" s="19"/>
      <c r="C993" s="19"/>
      <c r="E993" s="19"/>
    </row>
    <row r="994">
      <c r="A994" s="19"/>
      <c r="B994" s="19"/>
      <c r="C994" s="19"/>
      <c r="E994" s="19"/>
    </row>
    <row r="995">
      <c r="A995" s="19"/>
      <c r="B995" s="19"/>
      <c r="C995" s="19"/>
      <c r="E995" s="19"/>
    </row>
    <row r="996">
      <c r="A996" s="19"/>
      <c r="B996" s="19"/>
      <c r="C996" s="19"/>
      <c r="E996" s="19"/>
    </row>
    <row r="997">
      <c r="A997" s="19"/>
      <c r="B997" s="19"/>
      <c r="C997" s="19"/>
      <c r="E997" s="19"/>
    </row>
    <row r="998">
      <c r="A998" s="19"/>
      <c r="B998" s="19"/>
      <c r="C998" s="19"/>
      <c r="E998" s="19"/>
    </row>
    <row r="999">
      <c r="A999" s="19"/>
      <c r="B999" s="19"/>
      <c r="C999" s="19"/>
      <c r="E999" s="19"/>
    </row>
  </sheetData>
  <autoFilter ref="$C$1:$C$999"/>
  <dataValidations>
    <dataValidation type="list" allowBlank="1" showErrorMessage="1" sqref="D2:D9 D11:D16 D18:D23 D25:D30 D32:D37 D39:D44 D46:D51 D53:D58 D60:D65 D67:D72 D74:D76 D78:D83 D85:D93">
      <formula1>"-----------------------,📄 ТЗ,⏳ На согласовании,🎨 Дизайн,💻 Разработка,🧪 Тестирование,🔄 Доработка,📤 Сдан заказчику,🚀 Продакшен,✅ Завершён,⏸️ Приостановлен,❌ Клиент отказался,🚫 Отменён"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0.75"/>
    <col customWidth="1" min="3" max="3" width="10.25"/>
    <col customWidth="1" min="4" max="4" width="14.38"/>
    <col customWidth="1" min="5" max="5" width="24.5"/>
    <col customWidth="1" min="6" max="6" width="34.25"/>
    <col customWidth="1" min="7" max="7" width="14.38"/>
    <col customWidth="1" min="8" max="8" width="17.5"/>
    <col customWidth="1" min="9" max="9" width="11.63"/>
    <col customWidth="1" min="10" max="10" width="13.75"/>
    <col customWidth="1" min="11" max="11" width="23.25"/>
    <col customWidth="1" min="12" max="22" width="8.88"/>
  </cols>
  <sheetData>
    <row r="1">
      <c r="A1" s="140" t="s">
        <v>233</v>
      </c>
      <c r="B1" s="140" t="s">
        <v>234</v>
      </c>
      <c r="C1" s="140" t="s">
        <v>235</v>
      </c>
      <c r="D1" s="141" t="s">
        <v>236</v>
      </c>
      <c r="E1" s="141" t="s">
        <v>237</v>
      </c>
      <c r="F1" s="142" t="s">
        <v>238</v>
      </c>
      <c r="G1" s="141" t="s">
        <v>239</v>
      </c>
      <c r="H1" s="140" t="s">
        <v>240</v>
      </c>
      <c r="I1" s="142" t="s">
        <v>241</v>
      </c>
      <c r="J1" s="142" t="s">
        <v>242</v>
      </c>
      <c r="K1" s="141" t="s">
        <v>243</v>
      </c>
      <c r="L1" s="142"/>
      <c r="M1" s="142" t="s">
        <v>244</v>
      </c>
      <c r="N1" s="141" t="s">
        <v>245</v>
      </c>
      <c r="O1" s="141" t="s">
        <v>246</v>
      </c>
      <c r="P1" s="142" t="s">
        <v>247</v>
      </c>
      <c r="Q1" s="140" t="s">
        <v>248</v>
      </c>
      <c r="R1" s="140" t="s">
        <v>249</v>
      </c>
      <c r="S1" s="140" t="s">
        <v>250</v>
      </c>
      <c r="T1" s="140" t="s">
        <v>251</v>
      </c>
      <c r="U1" s="143" t="s">
        <v>250</v>
      </c>
      <c r="V1" s="143" t="s">
        <v>251</v>
      </c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</row>
    <row r="2">
      <c r="A2" s="144"/>
      <c r="B2" s="144"/>
      <c r="C2" s="7"/>
      <c r="D2" s="11" t="s">
        <v>15</v>
      </c>
      <c r="E2" s="11" t="s">
        <v>252</v>
      </c>
      <c r="F2" s="145" t="s">
        <v>253</v>
      </c>
      <c r="G2" s="146" t="s">
        <v>254</v>
      </c>
      <c r="H2" s="18" t="s">
        <v>194</v>
      </c>
      <c r="I2" s="113" t="s">
        <v>199</v>
      </c>
      <c r="J2" s="147" t="s">
        <v>255</v>
      </c>
      <c r="K2" s="148" t="s">
        <v>256</v>
      </c>
      <c r="L2" s="113"/>
      <c r="M2" s="11"/>
      <c r="N2" s="7"/>
      <c r="O2" s="7"/>
      <c r="P2" s="7"/>
      <c r="Q2" s="7"/>
      <c r="R2" s="7"/>
      <c r="S2" s="7"/>
      <c r="T2" s="7"/>
      <c r="U2" s="149"/>
      <c r="V2" s="149"/>
    </row>
    <row r="3">
      <c r="A3" s="7"/>
      <c r="B3" s="23"/>
      <c r="C3" s="7"/>
      <c r="D3" s="11" t="s">
        <v>39</v>
      </c>
      <c r="E3" s="11" t="s">
        <v>252</v>
      </c>
      <c r="F3" s="150" t="s">
        <v>257</v>
      </c>
      <c r="G3" s="146" t="s">
        <v>254</v>
      </c>
      <c r="H3" s="18" t="s">
        <v>194</v>
      </c>
      <c r="I3" s="113" t="s">
        <v>199</v>
      </c>
      <c r="J3" s="147" t="s">
        <v>255</v>
      </c>
      <c r="K3" s="26" t="s">
        <v>258</v>
      </c>
      <c r="L3" s="113"/>
      <c r="M3" s="11"/>
      <c r="N3" s="7"/>
      <c r="O3" s="7"/>
      <c r="P3" s="7"/>
      <c r="Q3" s="7"/>
      <c r="R3" s="7"/>
      <c r="S3" s="7"/>
      <c r="T3" s="7"/>
      <c r="U3" s="149"/>
      <c r="V3" s="149"/>
    </row>
    <row r="4">
      <c r="A4" s="7"/>
      <c r="B4" s="23"/>
      <c r="C4" s="7"/>
      <c r="D4" s="11" t="s">
        <v>64</v>
      </c>
      <c r="E4" s="11" t="s">
        <v>252</v>
      </c>
      <c r="F4" s="150" t="s">
        <v>259</v>
      </c>
      <c r="G4" s="146" t="s">
        <v>254</v>
      </c>
      <c r="H4" s="18" t="s">
        <v>194</v>
      </c>
      <c r="I4" s="113" t="s">
        <v>199</v>
      </c>
      <c r="J4" s="147" t="s">
        <v>255</v>
      </c>
      <c r="K4" s="11" t="s">
        <v>260</v>
      </c>
      <c r="L4" s="113"/>
      <c r="M4" s="11"/>
      <c r="N4" s="7"/>
      <c r="O4" s="7"/>
      <c r="P4" s="7"/>
      <c r="Q4" s="7"/>
      <c r="R4" s="7"/>
      <c r="S4" s="7"/>
      <c r="T4" s="7"/>
      <c r="U4" s="149"/>
      <c r="V4" s="149"/>
    </row>
    <row r="5">
      <c r="A5" s="7"/>
      <c r="B5" s="23"/>
      <c r="C5" s="7"/>
      <c r="D5" s="11" t="s">
        <v>64</v>
      </c>
      <c r="E5" s="11" t="s">
        <v>252</v>
      </c>
      <c r="F5" s="11" t="s">
        <v>261</v>
      </c>
      <c r="G5" s="146" t="s">
        <v>254</v>
      </c>
      <c r="H5" s="18" t="s">
        <v>196</v>
      </c>
      <c r="I5" s="113" t="s">
        <v>199</v>
      </c>
      <c r="J5" s="147" t="s">
        <v>255</v>
      </c>
      <c r="K5" s="11" t="s">
        <v>262</v>
      </c>
      <c r="L5" s="113"/>
      <c r="M5" s="11"/>
      <c r="N5" s="7"/>
      <c r="O5" s="7"/>
      <c r="P5" s="7"/>
      <c r="Q5" s="7"/>
      <c r="R5" s="7"/>
      <c r="S5" s="7"/>
      <c r="T5" s="7"/>
      <c r="U5" s="149"/>
      <c r="V5" s="149"/>
    </row>
    <row r="6">
      <c r="A6" s="7"/>
      <c r="B6" s="23"/>
      <c r="C6" s="7"/>
      <c r="D6" s="11" t="s">
        <v>64</v>
      </c>
      <c r="E6" s="11" t="s">
        <v>252</v>
      </c>
      <c r="F6" s="151" t="s">
        <v>263</v>
      </c>
      <c r="G6" s="146" t="s">
        <v>254</v>
      </c>
      <c r="H6" s="18" t="s">
        <v>194</v>
      </c>
      <c r="I6" s="113" t="s">
        <v>199</v>
      </c>
      <c r="J6" s="147" t="s">
        <v>255</v>
      </c>
      <c r="K6" s="152" t="s">
        <v>264</v>
      </c>
      <c r="L6" s="113"/>
      <c r="M6" s="11"/>
      <c r="N6" s="7"/>
      <c r="O6" s="7"/>
      <c r="P6" s="7"/>
      <c r="Q6" s="7"/>
      <c r="R6" s="7"/>
      <c r="S6" s="7"/>
      <c r="T6" s="7"/>
      <c r="U6" s="149"/>
      <c r="V6" s="149"/>
    </row>
    <row r="7">
      <c r="A7" s="7"/>
      <c r="B7" s="23"/>
      <c r="C7" s="7"/>
      <c r="D7" s="11" t="s">
        <v>64</v>
      </c>
      <c r="E7" s="11" t="s">
        <v>252</v>
      </c>
      <c r="F7" s="150" t="s">
        <v>265</v>
      </c>
      <c r="G7" s="146" t="s">
        <v>254</v>
      </c>
      <c r="H7" s="18" t="s">
        <v>194</v>
      </c>
      <c r="I7" s="113" t="s">
        <v>199</v>
      </c>
      <c r="J7" s="147" t="s">
        <v>255</v>
      </c>
      <c r="K7" s="11" t="s">
        <v>266</v>
      </c>
      <c r="L7" s="113"/>
      <c r="M7" s="11"/>
      <c r="N7" s="7"/>
      <c r="O7" s="7"/>
      <c r="P7" s="7"/>
      <c r="Q7" s="7"/>
      <c r="R7" s="7"/>
      <c r="S7" s="7"/>
      <c r="T7" s="7"/>
      <c r="U7" s="149"/>
      <c r="V7" s="149"/>
    </row>
    <row r="8">
      <c r="A8" s="7"/>
      <c r="B8" s="23"/>
      <c r="C8" s="7"/>
      <c r="D8" s="11" t="s">
        <v>64</v>
      </c>
      <c r="E8" s="11" t="s">
        <v>252</v>
      </c>
      <c r="F8" s="11" t="s">
        <v>267</v>
      </c>
      <c r="G8" s="146" t="s">
        <v>254</v>
      </c>
      <c r="H8" s="18" t="s">
        <v>196</v>
      </c>
      <c r="I8" s="113" t="s">
        <v>199</v>
      </c>
      <c r="J8" s="147" t="s">
        <v>255</v>
      </c>
      <c r="K8" s="11" t="s">
        <v>268</v>
      </c>
      <c r="L8" s="113"/>
      <c r="M8" s="11"/>
      <c r="N8" s="7"/>
      <c r="O8" s="7"/>
      <c r="P8" s="7"/>
      <c r="Q8" s="7"/>
      <c r="R8" s="7"/>
      <c r="S8" s="7"/>
      <c r="T8" s="7"/>
      <c r="U8" s="149"/>
      <c r="V8" s="149"/>
    </row>
    <row r="9">
      <c r="A9" s="7"/>
      <c r="B9" s="23"/>
      <c r="C9" s="7"/>
      <c r="D9" s="11" t="s">
        <v>64</v>
      </c>
      <c r="E9" s="11" t="s">
        <v>252</v>
      </c>
      <c r="F9" s="11" t="s">
        <v>269</v>
      </c>
      <c r="G9" s="146" t="s">
        <v>254</v>
      </c>
      <c r="H9" s="18" t="s">
        <v>196</v>
      </c>
      <c r="I9" s="113" t="s">
        <v>199</v>
      </c>
      <c r="J9" s="147" t="s">
        <v>255</v>
      </c>
      <c r="K9" s="11" t="s">
        <v>270</v>
      </c>
      <c r="L9" s="113"/>
      <c r="M9" s="11"/>
      <c r="N9" s="7"/>
      <c r="O9" s="7"/>
      <c r="P9" s="7"/>
      <c r="Q9" s="7"/>
      <c r="R9" s="7"/>
      <c r="S9" s="7"/>
      <c r="T9" s="7"/>
      <c r="U9" s="149"/>
      <c r="V9" s="149"/>
    </row>
    <row r="10">
      <c r="A10" s="7"/>
      <c r="B10" s="7"/>
      <c r="C10" s="7"/>
      <c r="D10" s="11" t="s">
        <v>64</v>
      </c>
      <c r="E10" s="11" t="s">
        <v>252</v>
      </c>
      <c r="F10" s="11" t="s">
        <v>271</v>
      </c>
      <c r="G10" s="146" t="s">
        <v>254</v>
      </c>
      <c r="H10" s="18" t="s">
        <v>196</v>
      </c>
      <c r="I10" s="113" t="s">
        <v>199</v>
      </c>
      <c r="J10" s="147" t="s">
        <v>255</v>
      </c>
      <c r="K10" s="11" t="s">
        <v>272</v>
      </c>
      <c r="L10" s="113"/>
      <c r="M10" s="11"/>
      <c r="N10" s="7"/>
      <c r="O10" s="7"/>
      <c r="P10" s="7"/>
      <c r="Q10" s="7"/>
      <c r="R10" s="7"/>
      <c r="S10" s="7"/>
      <c r="T10" s="7"/>
      <c r="U10" s="149"/>
      <c r="V10" s="149"/>
    </row>
    <row r="11">
      <c r="A11" s="7"/>
      <c r="B11" s="7"/>
      <c r="C11" s="7"/>
      <c r="D11" s="11" t="s">
        <v>39</v>
      </c>
      <c r="E11" s="11" t="s">
        <v>252</v>
      </c>
      <c r="F11" s="153" t="s">
        <v>273</v>
      </c>
      <c r="G11" s="146" t="s">
        <v>254</v>
      </c>
      <c r="H11" s="18" t="s">
        <v>194</v>
      </c>
      <c r="I11" s="113" t="s">
        <v>199</v>
      </c>
      <c r="J11" s="147" t="s">
        <v>255</v>
      </c>
      <c r="K11" s="11" t="s">
        <v>274</v>
      </c>
      <c r="L11" s="113"/>
      <c r="M11" s="11"/>
      <c r="N11" s="7"/>
      <c r="O11" s="7"/>
      <c r="P11" s="7"/>
      <c r="Q11" s="7"/>
      <c r="R11" s="7"/>
      <c r="S11" s="7"/>
      <c r="T11" s="7"/>
      <c r="U11" s="149"/>
      <c r="V11" s="149"/>
    </row>
    <row r="12">
      <c r="A12" s="7"/>
      <c r="B12" s="7"/>
      <c r="C12" s="7"/>
      <c r="D12" s="11" t="s">
        <v>39</v>
      </c>
      <c r="E12" s="11" t="s">
        <v>252</v>
      </c>
      <c r="F12" s="11" t="s">
        <v>275</v>
      </c>
      <c r="G12" s="146" t="s">
        <v>254</v>
      </c>
      <c r="H12" s="18" t="s">
        <v>196</v>
      </c>
      <c r="I12" s="113" t="s">
        <v>199</v>
      </c>
      <c r="J12" s="147" t="s">
        <v>255</v>
      </c>
      <c r="K12" s="11" t="s">
        <v>276</v>
      </c>
      <c r="L12" s="113"/>
      <c r="M12" s="11"/>
      <c r="N12" s="7"/>
      <c r="O12" s="7"/>
      <c r="P12" s="7"/>
      <c r="Q12" s="7"/>
      <c r="R12" s="7"/>
      <c r="S12" s="7"/>
      <c r="T12" s="7"/>
      <c r="U12" s="149"/>
      <c r="V12" s="149"/>
    </row>
    <row r="13">
      <c r="A13" s="7"/>
      <c r="B13" s="7"/>
      <c r="C13" s="7"/>
      <c r="D13" s="11" t="s">
        <v>39</v>
      </c>
      <c r="E13" s="11" t="s">
        <v>252</v>
      </c>
      <c r="F13" s="11" t="s">
        <v>277</v>
      </c>
      <c r="G13" s="146" t="s">
        <v>254</v>
      </c>
      <c r="H13" s="18" t="s">
        <v>196</v>
      </c>
      <c r="I13" s="113" t="s">
        <v>199</v>
      </c>
      <c r="J13" s="147" t="s">
        <v>255</v>
      </c>
      <c r="K13" s="11" t="s">
        <v>278</v>
      </c>
      <c r="L13" s="113"/>
      <c r="M13" s="11"/>
      <c r="N13" s="7"/>
      <c r="O13" s="7"/>
      <c r="P13" s="7"/>
      <c r="Q13" s="7"/>
      <c r="R13" s="7"/>
      <c r="S13" s="7"/>
      <c r="T13" s="7"/>
      <c r="U13" s="149"/>
      <c r="V13" s="149"/>
    </row>
    <row r="14">
      <c r="A14" s="144" t="s">
        <v>279</v>
      </c>
      <c r="B14" s="154">
        <v>46123.0</v>
      </c>
      <c r="C14" s="7"/>
      <c r="D14" s="11" t="s">
        <v>25</v>
      </c>
      <c r="E14" s="11" t="s">
        <v>108</v>
      </c>
      <c r="F14" s="155" t="s">
        <v>280</v>
      </c>
      <c r="G14" s="146" t="s">
        <v>254</v>
      </c>
      <c r="H14" s="18" t="s">
        <v>194</v>
      </c>
      <c r="I14" s="113" t="s">
        <v>199</v>
      </c>
      <c r="J14" s="147" t="s">
        <v>255</v>
      </c>
      <c r="K14" s="156" t="s">
        <v>281</v>
      </c>
      <c r="L14" s="113"/>
      <c r="M14" s="11"/>
      <c r="N14" s="7"/>
      <c r="O14" s="7"/>
      <c r="P14" s="7"/>
      <c r="Q14" s="7"/>
      <c r="R14" s="7"/>
      <c r="S14" s="7"/>
      <c r="T14" s="7"/>
      <c r="U14" s="149"/>
      <c r="V14" s="149"/>
    </row>
    <row r="15">
      <c r="A15" s="144" t="s">
        <v>279</v>
      </c>
      <c r="B15" s="144"/>
      <c r="C15" s="7"/>
      <c r="D15" s="11" t="s">
        <v>25</v>
      </c>
      <c r="E15" s="11" t="s">
        <v>108</v>
      </c>
      <c r="F15" s="157" t="s">
        <v>282</v>
      </c>
      <c r="G15" s="146" t="s">
        <v>254</v>
      </c>
      <c r="H15" s="18" t="s">
        <v>194</v>
      </c>
      <c r="I15" s="113" t="s">
        <v>199</v>
      </c>
      <c r="J15" s="147" t="s">
        <v>255</v>
      </c>
      <c r="K15" s="158" t="s">
        <v>283</v>
      </c>
      <c r="L15" s="113"/>
      <c r="M15" s="11"/>
      <c r="N15" s="7"/>
      <c r="O15" s="7"/>
      <c r="P15" s="7"/>
      <c r="Q15" s="7"/>
      <c r="R15" s="7"/>
      <c r="S15" s="7"/>
      <c r="T15" s="7"/>
      <c r="U15" s="149"/>
      <c r="V15" s="149"/>
    </row>
    <row r="16">
      <c r="A16" s="144" t="s">
        <v>279</v>
      </c>
      <c r="B16" s="144"/>
      <c r="C16" s="7"/>
      <c r="D16" s="11" t="s">
        <v>25</v>
      </c>
      <c r="E16" s="11" t="s">
        <v>108</v>
      </c>
      <c r="F16" s="159" t="s">
        <v>284</v>
      </c>
      <c r="G16" s="146" t="s">
        <v>254</v>
      </c>
      <c r="H16" s="18" t="s">
        <v>194</v>
      </c>
      <c r="I16" s="113" t="s">
        <v>199</v>
      </c>
      <c r="J16" s="147" t="s">
        <v>255</v>
      </c>
      <c r="K16" s="160" t="s">
        <v>285</v>
      </c>
      <c r="L16" s="113"/>
      <c r="M16" s="11"/>
      <c r="N16" s="7"/>
      <c r="O16" s="7"/>
      <c r="P16" s="7"/>
      <c r="Q16" s="7"/>
      <c r="R16" s="7"/>
      <c r="S16" s="7"/>
      <c r="T16" s="7"/>
      <c r="U16" s="149"/>
      <c r="V16" s="149"/>
    </row>
    <row r="17">
      <c r="A17" s="144" t="s">
        <v>279</v>
      </c>
      <c r="B17" s="144"/>
      <c r="C17" s="7"/>
      <c r="D17" s="11" t="s">
        <v>25</v>
      </c>
      <c r="E17" s="11" t="s">
        <v>108</v>
      </c>
      <c r="F17" s="161" t="s">
        <v>286</v>
      </c>
      <c r="G17" s="146" t="s">
        <v>254</v>
      </c>
      <c r="H17" s="18" t="s">
        <v>194</v>
      </c>
      <c r="I17" s="113" t="s">
        <v>199</v>
      </c>
      <c r="J17" s="147" t="s">
        <v>255</v>
      </c>
      <c r="K17" s="162" t="s">
        <v>287</v>
      </c>
      <c r="L17" s="113"/>
      <c r="M17" s="11"/>
      <c r="N17" s="7"/>
      <c r="O17" s="7"/>
      <c r="P17" s="7"/>
      <c r="Q17" s="7"/>
      <c r="R17" s="7"/>
      <c r="S17" s="7"/>
      <c r="T17" s="7"/>
      <c r="U17" s="149"/>
      <c r="V17" s="149"/>
    </row>
    <row r="18">
      <c r="A18" s="144" t="s">
        <v>279</v>
      </c>
      <c r="B18" s="163">
        <v>46160.0</v>
      </c>
      <c r="C18" s="7"/>
      <c r="D18" s="11" t="s">
        <v>25</v>
      </c>
      <c r="E18" s="11" t="s">
        <v>108</v>
      </c>
      <c r="F18" s="161" t="s">
        <v>288</v>
      </c>
      <c r="G18" s="146" t="s">
        <v>254</v>
      </c>
      <c r="H18" s="18" t="s">
        <v>194</v>
      </c>
      <c r="I18" s="113" t="s">
        <v>199</v>
      </c>
      <c r="J18" s="147" t="s">
        <v>255</v>
      </c>
      <c r="K18" s="164" t="s">
        <v>289</v>
      </c>
      <c r="L18" s="113"/>
      <c r="M18" s="11"/>
      <c r="N18" s="7"/>
      <c r="O18" s="7"/>
      <c r="P18" s="7"/>
      <c r="Q18" s="7"/>
      <c r="R18" s="7"/>
      <c r="S18" s="7"/>
      <c r="T18" s="7"/>
      <c r="U18" s="149"/>
      <c r="V18" s="149"/>
    </row>
    <row r="19">
      <c r="A19" s="144" t="s">
        <v>279</v>
      </c>
      <c r="B19" s="144"/>
      <c r="C19" s="7"/>
      <c r="D19" s="11" t="s">
        <v>25</v>
      </c>
      <c r="E19" s="11" t="s">
        <v>108</v>
      </c>
      <c r="F19" s="157" t="s">
        <v>290</v>
      </c>
      <c r="G19" s="146" t="s">
        <v>254</v>
      </c>
      <c r="H19" s="18" t="s">
        <v>194</v>
      </c>
      <c r="I19" s="113" t="s">
        <v>199</v>
      </c>
      <c r="J19" s="147" t="s">
        <v>255</v>
      </c>
      <c r="K19" s="148" t="s">
        <v>291</v>
      </c>
      <c r="L19" s="113"/>
      <c r="M19" s="11"/>
      <c r="N19" s="7"/>
      <c r="O19" s="7"/>
      <c r="P19" s="7"/>
      <c r="Q19" s="7"/>
      <c r="R19" s="7"/>
      <c r="S19" s="7"/>
      <c r="T19" s="7"/>
      <c r="U19" s="149"/>
      <c r="V19" s="149"/>
    </row>
    <row r="20">
      <c r="A20" s="144" t="s">
        <v>279</v>
      </c>
      <c r="B20" s="144"/>
      <c r="C20" s="7"/>
      <c r="D20" s="11" t="s">
        <v>25</v>
      </c>
      <c r="E20" s="11" t="s">
        <v>108</v>
      </c>
      <c r="F20" s="157" t="s">
        <v>292</v>
      </c>
      <c r="G20" s="146" t="s">
        <v>254</v>
      </c>
      <c r="H20" s="18" t="s">
        <v>194</v>
      </c>
      <c r="I20" s="113" t="s">
        <v>199</v>
      </c>
      <c r="J20" s="147" t="s">
        <v>255</v>
      </c>
      <c r="K20" s="162" t="s">
        <v>293</v>
      </c>
      <c r="L20" s="113"/>
      <c r="M20" s="11"/>
      <c r="N20" s="7"/>
      <c r="O20" s="7"/>
      <c r="P20" s="7"/>
      <c r="Q20" s="7"/>
      <c r="R20" s="7"/>
      <c r="S20" s="7"/>
      <c r="T20" s="7"/>
      <c r="U20" s="149"/>
      <c r="V20" s="149"/>
    </row>
    <row r="21">
      <c r="A21" s="144" t="s">
        <v>279</v>
      </c>
      <c r="B21" s="144"/>
      <c r="C21" s="7"/>
      <c r="D21" s="11" t="s">
        <v>25</v>
      </c>
      <c r="E21" s="11" t="s">
        <v>108</v>
      </c>
      <c r="F21" s="26" t="s">
        <v>294</v>
      </c>
      <c r="G21" s="146" t="s">
        <v>254</v>
      </c>
      <c r="H21" s="18" t="s">
        <v>196</v>
      </c>
      <c r="I21" s="113" t="s">
        <v>199</v>
      </c>
      <c r="J21" s="147" t="s">
        <v>255</v>
      </c>
      <c r="K21" s="165" t="s">
        <v>295</v>
      </c>
      <c r="L21" s="113"/>
      <c r="M21" s="11"/>
      <c r="N21" s="7"/>
      <c r="O21" s="7"/>
      <c r="P21" s="7"/>
      <c r="Q21" s="7"/>
      <c r="R21" s="7"/>
      <c r="S21" s="7"/>
      <c r="T21" s="7"/>
      <c r="U21" s="149"/>
      <c r="V21" s="149"/>
    </row>
    <row r="22">
      <c r="A22" s="144"/>
      <c r="B22" s="144"/>
      <c r="C22" s="7"/>
      <c r="D22" s="11" t="s">
        <v>15</v>
      </c>
      <c r="E22" s="11" t="s">
        <v>108</v>
      </c>
      <c r="F22" s="161" t="s">
        <v>296</v>
      </c>
      <c r="G22" s="146" t="s">
        <v>254</v>
      </c>
      <c r="H22" s="18" t="s">
        <v>194</v>
      </c>
      <c r="I22" s="113" t="s">
        <v>199</v>
      </c>
      <c r="J22" s="147" t="s">
        <v>255</v>
      </c>
      <c r="K22" s="26" t="s">
        <v>297</v>
      </c>
      <c r="L22" s="113"/>
      <c r="M22" s="11"/>
      <c r="N22" s="7"/>
      <c r="O22" s="7"/>
      <c r="P22" s="7"/>
      <c r="Q22" s="7"/>
      <c r="R22" s="7"/>
      <c r="S22" s="7"/>
      <c r="T22" s="7"/>
      <c r="U22" s="149"/>
      <c r="V22" s="149"/>
    </row>
    <row r="23">
      <c r="A23" s="7"/>
      <c r="B23" s="7"/>
      <c r="C23" s="7"/>
      <c r="D23" s="11" t="s">
        <v>39</v>
      </c>
      <c r="E23" s="11" t="s">
        <v>108</v>
      </c>
      <c r="F23" s="11" t="s">
        <v>298</v>
      </c>
      <c r="G23" s="146" t="s">
        <v>254</v>
      </c>
      <c r="H23" s="18" t="s">
        <v>196</v>
      </c>
      <c r="I23" s="113" t="s">
        <v>199</v>
      </c>
      <c r="J23" s="147" t="s">
        <v>255</v>
      </c>
      <c r="K23" s="11" t="s">
        <v>299</v>
      </c>
      <c r="L23" s="113"/>
      <c r="M23" s="11"/>
      <c r="N23" s="7"/>
      <c r="O23" s="7"/>
      <c r="P23" s="7"/>
      <c r="Q23" s="7"/>
      <c r="R23" s="7"/>
      <c r="S23" s="7"/>
      <c r="T23" s="7"/>
      <c r="U23" s="149"/>
      <c r="V23" s="149"/>
    </row>
    <row r="24">
      <c r="A24" s="7"/>
      <c r="B24" s="7"/>
      <c r="C24" s="7"/>
      <c r="D24" s="11" t="s">
        <v>39</v>
      </c>
      <c r="E24" s="11" t="s">
        <v>108</v>
      </c>
      <c r="F24" s="150" t="s">
        <v>300</v>
      </c>
      <c r="G24" s="146" t="s">
        <v>254</v>
      </c>
      <c r="H24" s="18" t="s">
        <v>195</v>
      </c>
      <c r="I24" s="113" t="s">
        <v>199</v>
      </c>
      <c r="J24" s="147" t="s">
        <v>255</v>
      </c>
      <c r="K24" s="7">
        <f>+996778810761</f>
        <v>996778810761</v>
      </c>
      <c r="L24" s="113"/>
      <c r="M24" s="11"/>
      <c r="N24" s="7"/>
      <c r="O24" s="7"/>
      <c r="P24" s="7"/>
      <c r="Q24" s="7"/>
      <c r="R24" s="7"/>
      <c r="S24" s="7"/>
      <c r="T24" s="7"/>
      <c r="U24" s="149"/>
      <c r="V24" s="149"/>
    </row>
    <row r="25">
      <c r="A25" s="144" t="s">
        <v>279</v>
      </c>
      <c r="B25" s="144"/>
      <c r="C25" s="7"/>
      <c r="D25" s="11" t="s">
        <v>64</v>
      </c>
      <c r="E25" s="146" t="s">
        <v>102</v>
      </c>
      <c r="F25" s="159" t="s">
        <v>301</v>
      </c>
      <c r="G25" s="146" t="s">
        <v>254</v>
      </c>
      <c r="H25" s="18" t="s">
        <v>194</v>
      </c>
      <c r="I25" s="113" t="s">
        <v>302</v>
      </c>
      <c r="J25" s="147" t="s">
        <v>255</v>
      </c>
      <c r="K25" s="166"/>
      <c r="L25" s="113"/>
      <c r="M25" s="11"/>
      <c r="N25" s="7"/>
      <c r="O25" s="7"/>
      <c r="P25" s="7"/>
      <c r="Q25" s="7"/>
      <c r="R25" s="7"/>
      <c r="S25" s="7"/>
      <c r="T25" s="7"/>
      <c r="U25" s="149"/>
      <c r="V25" s="149"/>
    </row>
    <row r="26">
      <c r="A26" s="144" t="s">
        <v>279</v>
      </c>
      <c r="B26" s="144"/>
      <c r="C26" s="7"/>
      <c r="D26" s="11" t="s">
        <v>39</v>
      </c>
      <c r="E26" s="146" t="s">
        <v>102</v>
      </c>
      <c r="F26" s="161" t="s">
        <v>303</v>
      </c>
      <c r="G26" s="146" t="s">
        <v>254</v>
      </c>
      <c r="H26" s="18" t="s">
        <v>194</v>
      </c>
      <c r="I26" s="113" t="s">
        <v>199</v>
      </c>
      <c r="J26" s="147" t="s">
        <v>255</v>
      </c>
      <c r="K26" s="167" t="s">
        <v>304</v>
      </c>
      <c r="L26" s="113"/>
      <c r="M26" s="11"/>
      <c r="N26" s="7"/>
      <c r="O26" s="7"/>
      <c r="P26" s="7"/>
      <c r="Q26" s="7"/>
      <c r="R26" s="7"/>
      <c r="S26" s="7"/>
      <c r="T26" s="7"/>
      <c r="U26" s="149"/>
      <c r="V26" s="149"/>
    </row>
    <row r="27">
      <c r="A27" s="144" t="s">
        <v>279</v>
      </c>
      <c r="B27" s="144"/>
      <c r="C27" s="7"/>
      <c r="D27" s="11" t="s">
        <v>39</v>
      </c>
      <c r="E27" s="146" t="s">
        <v>102</v>
      </c>
      <c r="F27" s="161" t="s">
        <v>305</v>
      </c>
      <c r="G27" s="146" t="s">
        <v>254</v>
      </c>
      <c r="H27" s="18" t="s">
        <v>194</v>
      </c>
      <c r="I27" s="113" t="s">
        <v>199</v>
      </c>
      <c r="J27" s="147" t="s">
        <v>255</v>
      </c>
      <c r="K27" s="11" t="s">
        <v>306</v>
      </c>
      <c r="L27" s="113"/>
      <c r="M27" s="11"/>
      <c r="N27" s="7"/>
      <c r="O27" s="7"/>
      <c r="P27" s="7"/>
      <c r="Q27" s="7"/>
      <c r="R27" s="7"/>
      <c r="S27" s="7"/>
      <c r="T27" s="7"/>
      <c r="U27" s="149"/>
      <c r="V27" s="149"/>
    </row>
    <row r="28">
      <c r="A28" s="144" t="s">
        <v>279</v>
      </c>
      <c r="B28" s="163">
        <v>46160.0</v>
      </c>
      <c r="C28" s="7"/>
      <c r="D28" s="11" t="s">
        <v>39</v>
      </c>
      <c r="E28" s="146" t="s">
        <v>102</v>
      </c>
      <c r="F28" s="161" t="s">
        <v>307</v>
      </c>
      <c r="G28" s="146" t="s">
        <v>254</v>
      </c>
      <c r="H28" s="18" t="s">
        <v>194</v>
      </c>
      <c r="I28" s="113" t="s">
        <v>199</v>
      </c>
      <c r="J28" s="147" t="s">
        <v>255</v>
      </c>
      <c r="K28" s="11" t="s">
        <v>308</v>
      </c>
      <c r="L28" s="113"/>
      <c r="M28" s="11"/>
      <c r="N28" s="7"/>
      <c r="O28" s="7"/>
      <c r="P28" s="7"/>
      <c r="Q28" s="7"/>
      <c r="R28" s="7"/>
      <c r="S28" s="7"/>
      <c r="T28" s="7"/>
      <c r="U28" s="149"/>
      <c r="V28" s="149"/>
    </row>
    <row r="29">
      <c r="A29" s="144" t="s">
        <v>279</v>
      </c>
      <c r="B29" s="163">
        <v>46160.0</v>
      </c>
      <c r="C29" s="7"/>
      <c r="D29" s="11" t="s">
        <v>64</v>
      </c>
      <c r="E29" s="146" t="s">
        <v>102</v>
      </c>
      <c r="F29" s="26" t="s">
        <v>309</v>
      </c>
      <c r="G29" s="146" t="s">
        <v>254</v>
      </c>
      <c r="H29" s="18" t="s">
        <v>195</v>
      </c>
      <c r="I29" s="113" t="s">
        <v>199</v>
      </c>
      <c r="J29" s="147" t="s">
        <v>255</v>
      </c>
      <c r="K29" s="168" t="s">
        <v>310</v>
      </c>
      <c r="L29" s="113"/>
      <c r="M29" s="11"/>
      <c r="N29" s="7"/>
      <c r="O29" s="7"/>
      <c r="P29" s="7"/>
      <c r="Q29" s="7"/>
      <c r="R29" s="7"/>
      <c r="S29" s="7"/>
      <c r="T29" s="7"/>
      <c r="U29" s="149"/>
      <c r="V29" s="149"/>
    </row>
    <row r="30">
      <c r="A30" s="144" t="s">
        <v>279</v>
      </c>
      <c r="B30" s="163">
        <v>46168.0</v>
      </c>
      <c r="C30" s="7"/>
      <c r="D30" s="11" t="s">
        <v>64</v>
      </c>
      <c r="E30" s="146" t="s">
        <v>102</v>
      </c>
      <c r="F30" s="169" t="s">
        <v>311</v>
      </c>
      <c r="G30" s="146" t="s">
        <v>254</v>
      </c>
      <c r="H30" s="18" t="s">
        <v>194</v>
      </c>
      <c r="I30" s="113" t="s">
        <v>199</v>
      </c>
      <c r="J30" s="147" t="s">
        <v>255</v>
      </c>
      <c r="K30" s="162" t="s">
        <v>312</v>
      </c>
      <c r="L30" s="113"/>
      <c r="M30" s="11"/>
      <c r="N30" s="7"/>
      <c r="O30" s="7"/>
      <c r="P30" s="7"/>
      <c r="Q30" s="7"/>
      <c r="R30" s="7"/>
      <c r="S30" s="7"/>
      <c r="T30" s="7"/>
      <c r="U30" s="149"/>
      <c r="V30" s="149"/>
    </row>
    <row r="31">
      <c r="A31" s="144" t="s">
        <v>279</v>
      </c>
      <c r="B31" s="144"/>
      <c r="C31" s="7"/>
      <c r="D31" s="11" t="s">
        <v>64</v>
      </c>
      <c r="E31" s="146" t="s">
        <v>102</v>
      </c>
      <c r="F31" s="159" t="s">
        <v>313</v>
      </c>
      <c r="G31" s="146" t="s">
        <v>254</v>
      </c>
      <c r="H31" s="18" t="s">
        <v>194</v>
      </c>
      <c r="I31" s="113" t="s">
        <v>199</v>
      </c>
      <c r="J31" s="147" t="s">
        <v>255</v>
      </c>
      <c r="K31" s="162" t="s">
        <v>314</v>
      </c>
      <c r="L31" s="113"/>
      <c r="M31" s="11"/>
      <c r="N31" s="7"/>
      <c r="O31" s="7"/>
      <c r="P31" s="7"/>
      <c r="Q31" s="7"/>
      <c r="R31" s="7"/>
      <c r="S31" s="7"/>
      <c r="T31" s="7"/>
      <c r="U31" s="149"/>
      <c r="V31" s="149"/>
    </row>
    <row r="32">
      <c r="A32" s="11"/>
      <c r="B32" s="144"/>
      <c r="C32" s="7"/>
      <c r="D32" s="11" t="s">
        <v>15</v>
      </c>
      <c r="E32" s="146" t="s">
        <v>102</v>
      </c>
      <c r="F32" s="161" t="s">
        <v>315</v>
      </c>
      <c r="G32" s="146" t="s">
        <v>254</v>
      </c>
      <c r="H32" s="18" t="s">
        <v>194</v>
      </c>
      <c r="I32" s="113" t="s">
        <v>199</v>
      </c>
      <c r="J32" s="147" t="s">
        <v>255</v>
      </c>
      <c r="K32" s="26" t="s">
        <v>316</v>
      </c>
      <c r="L32" s="113"/>
      <c r="M32" s="11"/>
      <c r="N32" s="7"/>
      <c r="O32" s="7"/>
      <c r="P32" s="7"/>
      <c r="Q32" s="7"/>
      <c r="R32" s="7"/>
      <c r="S32" s="7"/>
      <c r="T32" s="7"/>
      <c r="U32" s="149"/>
      <c r="V32" s="149"/>
    </row>
    <row r="33">
      <c r="A33" s="7"/>
      <c r="B33" s="144"/>
      <c r="C33" s="7"/>
      <c r="D33" s="11" t="s">
        <v>78</v>
      </c>
      <c r="E33" s="146" t="s">
        <v>102</v>
      </c>
      <c r="F33" s="150" t="s">
        <v>317</v>
      </c>
      <c r="G33" s="146" t="s">
        <v>254</v>
      </c>
      <c r="H33" s="18" t="s">
        <v>194</v>
      </c>
      <c r="I33" s="113" t="s">
        <v>199</v>
      </c>
      <c r="J33" s="147" t="s">
        <v>255</v>
      </c>
      <c r="K33" s="170">
        <f>+996708820764</f>
        <v>996708820764</v>
      </c>
      <c r="L33" s="113"/>
      <c r="M33" s="11"/>
      <c r="N33" s="7"/>
      <c r="O33" s="7"/>
      <c r="P33" s="7"/>
      <c r="Q33" s="7"/>
      <c r="R33" s="7"/>
      <c r="S33" s="7"/>
      <c r="T33" s="7"/>
      <c r="U33" s="149"/>
      <c r="V33" s="149"/>
    </row>
    <row r="34">
      <c r="A34" s="144" t="s">
        <v>279</v>
      </c>
      <c r="B34" s="144"/>
      <c r="C34" s="7"/>
      <c r="D34" s="11" t="s">
        <v>25</v>
      </c>
      <c r="E34" s="171" t="s">
        <v>94</v>
      </c>
      <c r="F34" s="172" t="s">
        <v>318</v>
      </c>
      <c r="G34" s="146" t="s">
        <v>254</v>
      </c>
      <c r="H34" s="18" t="s">
        <v>194</v>
      </c>
      <c r="I34" s="113" t="s">
        <v>199</v>
      </c>
      <c r="J34" s="147" t="s">
        <v>255</v>
      </c>
      <c r="K34" s="173" t="s">
        <v>319</v>
      </c>
      <c r="L34" s="113"/>
      <c r="M34" s="11"/>
      <c r="N34" s="7"/>
      <c r="O34" s="7"/>
      <c r="P34" s="7"/>
      <c r="Q34" s="7"/>
      <c r="R34" s="7"/>
      <c r="S34" s="7"/>
      <c r="T34" s="7"/>
      <c r="U34" s="149"/>
      <c r="V34" s="149"/>
    </row>
    <row r="35">
      <c r="A35" s="144" t="s">
        <v>279</v>
      </c>
      <c r="B35" s="144"/>
      <c r="C35" s="7"/>
      <c r="D35" s="11" t="s">
        <v>25</v>
      </c>
      <c r="E35" s="171" t="s">
        <v>94</v>
      </c>
      <c r="F35" s="174" t="s">
        <v>320</v>
      </c>
      <c r="G35" s="146" t="s">
        <v>254</v>
      </c>
      <c r="H35" s="18" t="s">
        <v>194</v>
      </c>
      <c r="I35" s="113" t="s">
        <v>199</v>
      </c>
      <c r="J35" s="147" t="s">
        <v>255</v>
      </c>
      <c r="K35" s="173" t="s">
        <v>321</v>
      </c>
      <c r="L35" s="113"/>
      <c r="M35" s="11"/>
      <c r="N35" s="7"/>
      <c r="O35" s="7"/>
      <c r="P35" s="7"/>
      <c r="Q35" s="7"/>
      <c r="R35" s="7"/>
      <c r="S35" s="7"/>
      <c r="T35" s="7"/>
      <c r="U35" s="149"/>
      <c r="V35" s="149"/>
    </row>
    <row r="36">
      <c r="A36" s="144" t="s">
        <v>279</v>
      </c>
      <c r="B36" s="144"/>
      <c r="C36" s="7"/>
      <c r="D36" s="11" t="s">
        <v>78</v>
      </c>
      <c r="E36" s="171" t="s">
        <v>94</v>
      </c>
      <c r="F36" s="175" t="s">
        <v>322</v>
      </c>
      <c r="G36" s="146" t="s">
        <v>254</v>
      </c>
      <c r="H36" s="18" t="s">
        <v>195</v>
      </c>
      <c r="I36" s="113" t="s">
        <v>199</v>
      </c>
      <c r="J36" s="147" t="s">
        <v>255</v>
      </c>
      <c r="K36" s="173" t="s">
        <v>323</v>
      </c>
      <c r="L36" s="113"/>
      <c r="M36" s="11"/>
      <c r="N36" s="7"/>
      <c r="O36" s="7"/>
      <c r="P36" s="7"/>
      <c r="Q36" s="7"/>
      <c r="R36" s="7"/>
      <c r="S36" s="7"/>
      <c r="T36" s="7"/>
      <c r="U36" s="149"/>
      <c r="V36" s="149"/>
    </row>
    <row r="37">
      <c r="A37" s="144" t="s">
        <v>279</v>
      </c>
      <c r="B37" s="154">
        <v>46121.0</v>
      </c>
      <c r="C37" s="7"/>
      <c r="D37" s="11" t="s">
        <v>25</v>
      </c>
      <c r="E37" s="171" t="s">
        <v>94</v>
      </c>
      <c r="F37" s="155" t="s">
        <v>324</v>
      </c>
      <c r="G37" s="146" t="s">
        <v>254</v>
      </c>
      <c r="H37" s="18" t="s">
        <v>194</v>
      </c>
      <c r="I37" s="113" t="s">
        <v>199</v>
      </c>
      <c r="J37" s="147" t="s">
        <v>255</v>
      </c>
      <c r="K37" s="156" t="s">
        <v>325</v>
      </c>
      <c r="L37" s="113"/>
      <c r="M37" s="11"/>
      <c r="N37" s="7"/>
      <c r="O37" s="7"/>
      <c r="P37" s="7"/>
      <c r="Q37" s="7"/>
      <c r="R37" s="7"/>
      <c r="S37" s="7"/>
      <c r="T37" s="7"/>
      <c r="U37" s="149"/>
      <c r="V37" s="149"/>
    </row>
    <row r="38">
      <c r="A38" s="144" t="s">
        <v>279</v>
      </c>
      <c r="B38" s="154">
        <v>46125.0</v>
      </c>
      <c r="C38" s="7"/>
      <c r="D38" s="11" t="s">
        <v>25</v>
      </c>
      <c r="E38" s="171" t="s">
        <v>94</v>
      </c>
      <c r="F38" s="176" t="s">
        <v>326</v>
      </c>
      <c r="G38" s="146" t="s">
        <v>254</v>
      </c>
      <c r="H38" s="18" t="s">
        <v>194</v>
      </c>
      <c r="I38" s="113" t="s">
        <v>199</v>
      </c>
      <c r="J38" s="147" t="s">
        <v>255</v>
      </c>
      <c r="K38" s="177" t="s">
        <v>327</v>
      </c>
      <c r="L38" s="113"/>
      <c r="M38" s="11"/>
      <c r="N38" s="7"/>
      <c r="O38" s="7"/>
      <c r="P38" s="7"/>
      <c r="Q38" s="7"/>
      <c r="R38" s="7"/>
      <c r="S38" s="7"/>
      <c r="T38" s="7"/>
      <c r="U38" s="149"/>
      <c r="V38" s="149"/>
    </row>
    <row r="39">
      <c r="A39" s="144" t="s">
        <v>279</v>
      </c>
      <c r="B39" s="154">
        <v>46128.0</v>
      </c>
      <c r="C39" s="7"/>
      <c r="D39" s="11" t="s">
        <v>25</v>
      </c>
      <c r="E39" s="171" t="s">
        <v>94</v>
      </c>
      <c r="F39" s="176" t="s">
        <v>328</v>
      </c>
      <c r="G39" s="146" t="s">
        <v>254</v>
      </c>
      <c r="H39" s="18" t="s">
        <v>194</v>
      </c>
      <c r="I39" s="113" t="s">
        <v>199</v>
      </c>
      <c r="J39" s="147" t="s">
        <v>255</v>
      </c>
      <c r="K39" s="178" t="s">
        <v>329</v>
      </c>
      <c r="L39" s="113"/>
      <c r="M39" s="11"/>
      <c r="N39" s="7"/>
      <c r="O39" s="7"/>
      <c r="P39" s="7"/>
      <c r="Q39" s="7"/>
      <c r="R39" s="7"/>
      <c r="S39" s="7"/>
      <c r="T39" s="7"/>
      <c r="U39" s="149"/>
      <c r="V39" s="149"/>
    </row>
    <row r="40">
      <c r="A40" s="144" t="s">
        <v>279</v>
      </c>
      <c r="B40" s="144"/>
      <c r="C40" s="7"/>
      <c r="D40" s="11" t="s">
        <v>39</v>
      </c>
      <c r="E40" s="171" t="s">
        <v>94</v>
      </c>
      <c r="F40" s="161" t="s">
        <v>330</v>
      </c>
      <c r="G40" s="146" t="s">
        <v>254</v>
      </c>
      <c r="H40" s="18" t="s">
        <v>194</v>
      </c>
      <c r="I40" s="113" t="s">
        <v>199</v>
      </c>
      <c r="J40" s="147" t="s">
        <v>255</v>
      </c>
      <c r="K40" s="164" t="s">
        <v>331</v>
      </c>
      <c r="L40" s="113"/>
      <c r="M40" s="11"/>
      <c r="N40" s="7"/>
      <c r="O40" s="7"/>
      <c r="P40" s="7"/>
      <c r="Q40" s="7"/>
      <c r="R40" s="7"/>
      <c r="S40" s="7"/>
      <c r="T40" s="7"/>
      <c r="U40" s="149"/>
      <c r="V40" s="149"/>
    </row>
    <row r="41">
      <c r="A41" s="144" t="s">
        <v>279</v>
      </c>
      <c r="B41" s="144"/>
      <c r="C41" s="7"/>
      <c r="D41" s="11" t="s">
        <v>39</v>
      </c>
      <c r="E41" s="171" t="s">
        <v>94</v>
      </c>
      <c r="F41" s="157" t="s">
        <v>332</v>
      </c>
      <c r="G41" s="146" t="s">
        <v>254</v>
      </c>
      <c r="H41" s="18" t="s">
        <v>194</v>
      </c>
      <c r="I41" s="113" t="s">
        <v>199</v>
      </c>
      <c r="J41" s="147" t="s">
        <v>255</v>
      </c>
      <c r="K41" s="164" t="s">
        <v>333</v>
      </c>
      <c r="L41" s="113"/>
      <c r="M41" s="11"/>
      <c r="N41" s="7"/>
      <c r="O41" s="7"/>
      <c r="P41" s="7"/>
      <c r="Q41" s="7"/>
      <c r="R41" s="7"/>
      <c r="S41" s="7"/>
      <c r="T41" s="7"/>
      <c r="U41" s="149"/>
      <c r="V41" s="149"/>
    </row>
    <row r="42">
      <c r="A42" s="144" t="s">
        <v>279</v>
      </c>
      <c r="B42" s="144"/>
      <c r="C42" s="7"/>
      <c r="D42" s="11" t="s">
        <v>64</v>
      </c>
      <c r="E42" s="171" t="s">
        <v>94</v>
      </c>
      <c r="F42" s="179" t="s">
        <v>334</v>
      </c>
      <c r="G42" s="146" t="s">
        <v>254</v>
      </c>
      <c r="H42" s="18" t="s">
        <v>194</v>
      </c>
      <c r="I42" s="113" t="s">
        <v>199</v>
      </c>
      <c r="J42" s="147" t="s">
        <v>255</v>
      </c>
      <c r="K42" s="162" t="s">
        <v>335</v>
      </c>
      <c r="L42" s="113"/>
      <c r="M42" s="11"/>
      <c r="N42" s="7"/>
      <c r="O42" s="7"/>
      <c r="P42" s="7"/>
      <c r="Q42" s="7"/>
      <c r="R42" s="7"/>
      <c r="S42" s="7"/>
      <c r="T42" s="7"/>
      <c r="U42" s="149"/>
      <c r="V42" s="149"/>
    </row>
    <row r="43">
      <c r="A43" s="144" t="s">
        <v>279</v>
      </c>
      <c r="B43" s="144"/>
      <c r="C43" s="7"/>
      <c r="D43" s="11" t="s">
        <v>64</v>
      </c>
      <c r="E43" s="171" t="s">
        <v>94</v>
      </c>
      <c r="F43" s="157" t="s">
        <v>336</v>
      </c>
      <c r="G43" s="146" t="s">
        <v>254</v>
      </c>
      <c r="H43" s="18" t="s">
        <v>194</v>
      </c>
      <c r="I43" s="113" t="s">
        <v>302</v>
      </c>
      <c r="J43" s="147" t="s">
        <v>255</v>
      </c>
      <c r="K43" s="162" t="s">
        <v>337</v>
      </c>
      <c r="L43" s="113"/>
      <c r="M43" s="11"/>
      <c r="N43" s="7"/>
      <c r="O43" s="7"/>
      <c r="P43" s="7"/>
      <c r="Q43" s="7"/>
      <c r="R43" s="7"/>
      <c r="S43" s="7"/>
      <c r="T43" s="7"/>
      <c r="U43" s="149"/>
      <c r="V43" s="149"/>
    </row>
    <row r="44">
      <c r="A44" s="144"/>
      <c r="B44" s="144"/>
      <c r="C44" s="7"/>
      <c r="D44" s="11" t="s">
        <v>39</v>
      </c>
      <c r="E44" s="11" t="s">
        <v>94</v>
      </c>
      <c r="F44" s="162" t="s">
        <v>338</v>
      </c>
      <c r="G44" s="146" t="s">
        <v>254</v>
      </c>
      <c r="H44" s="18" t="s">
        <v>194</v>
      </c>
      <c r="I44" s="113" t="s">
        <v>199</v>
      </c>
      <c r="J44" s="147" t="s">
        <v>255</v>
      </c>
      <c r="K44" s="162" t="s">
        <v>339</v>
      </c>
      <c r="L44" s="113"/>
      <c r="M44" s="7"/>
      <c r="N44" s="7"/>
      <c r="O44" s="7"/>
      <c r="P44" s="7"/>
      <c r="Q44" s="7"/>
      <c r="R44" s="7"/>
      <c r="S44" s="7"/>
      <c r="T44" s="7"/>
      <c r="U44" s="149"/>
      <c r="V44" s="149"/>
    </row>
    <row r="45">
      <c r="A45" s="144"/>
      <c r="B45" s="144"/>
      <c r="C45" s="7"/>
      <c r="D45" s="11" t="s">
        <v>64</v>
      </c>
      <c r="E45" s="171" t="s">
        <v>94</v>
      </c>
      <c r="F45" s="157" t="s">
        <v>340</v>
      </c>
      <c r="G45" s="146" t="s">
        <v>254</v>
      </c>
      <c r="H45" s="18" t="s">
        <v>194</v>
      </c>
      <c r="I45" s="113" t="s">
        <v>199</v>
      </c>
      <c r="J45" s="147" t="s">
        <v>255</v>
      </c>
      <c r="K45" s="162" t="s">
        <v>341</v>
      </c>
      <c r="L45" s="113"/>
      <c r="M45" s="7"/>
      <c r="N45" s="7"/>
      <c r="O45" s="7"/>
      <c r="P45" s="7"/>
      <c r="Q45" s="7"/>
      <c r="R45" s="7"/>
      <c r="S45" s="7"/>
      <c r="T45" s="7"/>
      <c r="U45" s="149"/>
      <c r="V45" s="149"/>
    </row>
    <row r="46">
      <c r="B46" s="144"/>
      <c r="C46" s="7"/>
      <c r="D46" s="11" t="s">
        <v>15</v>
      </c>
      <c r="E46" s="171" t="s">
        <v>94</v>
      </c>
      <c r="F46" s="161" t="s">
        <v>342</v>
      </c>
      <c r="G46" s="146" t="s">
        <v>254</v>
      </c>
      <c r="H46" s="18" t="s">
        <v>194</v>
      </c>
      <c r="I46" s="113" t="s">
        <v>199</v>
      </c>
      <c r="J46" s="147" t="s">
        <v>255</v>
      </c>
      <c r="K46" s="11" t="s">
        <v>343</v>
      </c>
      <c r="L46" s="113"/>
      <c r="M46" s="7"/>
      <c r="N46" s="7"/>
      <c r="O46" s="7"/>
      <c r="P46" s="7"/>
      <c r="Q46" s="7"/>
      <c r="R46" s="7"/>
      <c r="S46" s="7"/>
      <c r="T46" s="7"/>
      <c r="U46" s="149"/>
      <c r="V46" s="149"/>
    </row>
    <row r="47">
      <c r="A47" s="7"/>
      <c r="B47" s="144"/>
      <c r="C47" s="7"/>
      <c r="D47" s="11" t="s">
        <v>39</v>
      </c>
      <c r="E47" s="171" t="s">
        <v>94</v>
      </c>
      <c r="F47" s="150" t="s">
        <v>344</v>
      </c>
      <c r="G47" s="146" t="s">
        <v>254</v>
      </c>
      <c r="H47" s="18" t="s">
        <v>194</v>
      </c>
      <c r="I47" s="113" t="s">
        <v>199</v>
      </c>
      <c r="J47" s="147" t="s">
        <v>255</v>
      </c>
      <c r="K47" s="26" t="s">
        <v>345</v>
      </c>
      <c r="L47" s="113"/>
      <c r="M47" s="7"/>
      <c r="N47" s="7"/>
      <c r="O47" s="7"/>
      <c r="P47" s="7"/>
      <c r="Q47" s="7"/>
      <c r="R47" s="7"/>
      <c r="S47" s="7"/>
      <c r="T47" s="7"/>
      <c r="U47" s="149"/>
      <c r="V47" s="149"/>
    </row>
    <row r="48">
      <c r="A48" s="7"/>
      <c r="B48" s="23"/>
      <c r="C48" s="7"/>
      <c r="D48" s="11" t="s">
        <v>64</v>
      </c>
      <c r="E48" s="171" t="s">
        <v>94</v>
      </c>
      <c r="F48" s="150" t="s">
        <v>346</v>
      </c>
      <c r="G48" s="146" t="s">
        <v>254</v>
      </c>
      <c r="H48" s="18" t="s">
        <v>195</v>
      </c>
      <c r="I48" s="113" t="s">
        <v>199</v>
      </c>
      <c r="J48" s="147" t="s">
        <v>255</v>
      </c>
      <c r="K48" s="26" t="s">
        <v>347</v>
      </c>
      <c r="L48" s="113"/>
      <c r="M48" s="7"/>
      <c r="N48" s="7"/>
      <c r="O48" s="7"/>
      <c r="P48" s="7"/>
      <c r="Q48" s="7"/>
      <c r="R48" s="7"/>
      <c r="S48" s="7"/>
      <c r="T48" s="7"/>
      <c r="U48" s="149"/>
      <c r="V48" s="149"/>
    </row>
    <row r="49">
      <c r="A49" s="7"/>
      <c r="B49" s="7"/>
      <c r="C49" s="7"/>
      <c r="D49" s="11" t="s">
        <v>64</v>
      </c>
      <c r="E49" s="171" t="s">
        <v>94</v>
      </c>
      <c r="F49" s="150" t="s">
        <v>348</v>
      </c>
      <c r="G49" s="146" t="s">
        <v>254</v>
      </c>
      <c r="H49" s="18" t="s">
        <v>194</v>
      </c>
      <c r="I49" s="113" t="s">
        <v>199</v>
      </c>
      <c r="J49" s="147" t="s">
        <v>255</v>
      </c>
      <c r="K49" s="11" t="s">
        <v>349</v>
      </c>
      <c r="L49" s="113"/>
      <c r="M49" s="7"/>
      <c r="N49" s="7"/>
      <c r="O49" s="7"/>
      <c r="P49" s="7"/>
      <c r="Q49" s="7"/>
      <c r="R49" s="7"/>
      <c r="S49" s="7"/>
      <c r="T49" s="7"/>
      <c r="U49" s="149"/>
      <c r="V49" s="149"/>
    </row>
    <row r="50">
      <c r="A50" s="144" t="s">
        <v>279</v>
      </c>
      <c r="B50" s="144"/>
      <c r="C50" s="7"/>
      <c r="D50" s="11" t="s">
        <v>39</v>
      </c>
      <c r="E50" s="146" t="s">
        <v>99</v>
      </c>
      <c r="F50" s="180" t="s">
        <v>350</v>
      </c>
      <c r="G50" s="146" t="s">
        <v>254</v>
      </c>
      <c r="H50" s="18" t="s">
        <v>194</v>
      </c>
      <c r="I50" s="113" t="s">
        <v>199</v>
      </c>
      <c r="J50" s="147" t="s">
        <v>255</v>
      </c>
      <c r="K50" s="147" t="s">
        <v>351</v>
      </c>
      <c r="L50" s="113"/>
      <c r="M50" s="7"/>
      <c r="N50" s="7"/>
      <c r="O50" s="7"/>
      <c r="P50" s="7"/>
      <c r="Q50" s="7"/>
      <c r="R50" s="7"/>
      <c r="S50" s="7"/>
      <c r="T50" s="7"/>
      <c r="U50" s="149"/>
      <c r="V50" s="149"/>
    </row>
    <row r="51">
      <c r="A51" s="144" t="s">
        <v>279</v>
      </c>
      <c r="B51" s="144"/>
      <c r="C51" s="7"/>
      <c r="D51" s="11" t="s">
        <v>64</v>
      </c>
      <c r="E51" s="181" t="s">
        <v>99</v>
      </c>
      <c r="F51" s="157" t="s">
        <v>352</v>
      </c>
      <c r="G51" s="146" t="s">
        <v>254</v>
      </c>
      <c r="H51" s="18" t="s">
        <v>194</v>
      </c>
      <c r="I51" s="113" t="s">
        <v>199</v>
      </c>
      <c r="J51" s="147" t="s">
        <v>255</v>
      </c>
      <c r="K51" s="182" t="s">
        <v>353</v>
      </c>
      <c r="L51" s="113"/>
      <c r="M51" s="7"/>
      <c r="N51" s="7"/>
      <c r="O51" s="7"/>
      <c r="P51" s="7"/>
      <c r="Q51" s="7"/>
      <c r="R51" s="7"/>
      <c r="S51" s="7"/>
      <c r="T51" s="7"/>
      <c r="U51" s="149"/>
      <c r="V51" s="149"/>
    </row>
    <row r="52">
      <c r="A52" s="144" t="s">
        <v>279</v>
      </c>
      <c r="B52" s="144"/>
      <c r="C52" s="7"/>
      <c r="D52" s="11" t="s">
        <v>39</v>
      </c>
      <c r="E52" s="146" t="s">
        <v>99</v>
      </c>
      <c r="F52" s="157" t="s">
        <v>354</v>
      </c>
      <c r="G52" s="146" t="s">
        <v>254</v>
      </c>
      <c r="H52" s="18" t="s">
        <v>194</v>
      </c>
      <c r="I52" s="113" t="s">
        <v>199</v>
      </c>
      <c r="J52" s="147" t="s">
        <v>255</v>
      </c>
      <c r="K52" s="162" t="s">
        <v>355</v>
      </c>
      <c r="L52" s="114"/>
      <c r="M52" s="7"/>
      <c r="N52" s="7"/>
      <c r="O52" s="7"/>
      <c r="P52" s="7"/>
      <c r="Q52" s="7"/>
      <c r="R52" s="7"/>
      <c r="S52" s="7"/>
      <c r="T52" s="7"/>
      <c r="U52" s="149"/>
      <c r="V52" s="149"/>
    </row>
    <row r="53">
      <c r="A53" s="144" t="s">
        <v>279</v>
      </c>
      <c r="B53" s="144"/>
      <c r="C53" s="7"/>
      <c r="D53" s="11" t="s">
        <v>39</v>
      </c>
      <c r="E53" s="146" t="s">
        <v>99</v>
      </c>
      <c r="F53" s="161" t="s">
        <v>356</v>
      </c>
      <c r="G53" s="146" t="s">
        <v>254</v>
      </c>
      <c r="H53" s="18" t="s">
        <v>194</v>
      </c>
      <c r="I53" s="113" t="s">
        <v>199</v>
      </c>
      <c r="J53" s="147" t="s">
        <v>255</v>
      </c>
      <c r="K53" s="162" t="s">
        <v>357</v>
      </c>
      <c r="L53" s="114"/>
      <c r="M53" s="7"/>
      <c r="N53" s="7"/>
      <c r="O53" s="7"/>
      <c r="P53" s="7"/>
      <c r="Q53" s="7"/>
      <c r="R53" s="7"/>
      <c r="S53" s="7"/>
      <c r="T53" s="7"/>
      <c r="U53" s="149"/>
      <c r="V53" s="149"/>
    </row>
    <row r="54">
      <c r="A54" s="144" t="s">
        <v>279</v>
      </c>
      <c r="B54" s="163">
        <v>46160.0</v>
      </c>
      <c r="C54" s="7"/>
      <c r="D54" s="11" t="s">
        <v>39</v>
      </c>
      <c r="E54" s="146" t="s">
        <v>99</v>
      </c>
      <c r="F54" s="157" t="s">
        <v>358</v>
      </c>
      <c r="G54" s="146" t="s">
        <v>254</v>
      </c>
      <c r="H54" s="18" t="s">
        <v>194</v>
      </c>
      <c r="I54" s="113" t="s">
        <v>199</v>
      </c>
      <c r="J54" s="147" t="s">
        <v>255</v>
      </c>
      <c r="K54" s="148" t="s">
        <v>359</v>
      </c>
      <c r="L54" s="114"/>
      <c r="M54" s="7"/>
      <c r="N54" s="7"/>
      <c r="O54" s="7"/>
      <c r="P54" s="7"/>
      <c r="Q54" s="7"/>
      <c r="R54" s="7"/>
      <c r="S54" s="7"/>
      <c r="T54" s="7"/>
      <c r="U54" s="149"/>
      <c r="V54" s="149"/>
    </row>
    <row r="55">
      <c r="A55" s="144" t="s">
        <v>279</v>
      </c>
      <c r="B55" s="163">
        <v>46160.0</v>
      </c>
      <c r="C55" s="7"/>
      <c r="D55" s="11" t="s">
        <v>64</v>
      </c>
      <c r="E55" s="146" t="s">
        <v>99</v>
      </c>
      <c r="F55" s="157" t="s">
        <v>360</v>
      </c>
      <c r="G55" s="146" t="s">
        <v>254</v>
      </c>
      <c r="H55" s="18" t="s">
        <v>194</v>
      </c>
      <c r="I55" s="113" t="s">
        <v>199</v>
      </c>
      <c r="J55" s="147" t="s">
        <v>255</v>
      </c>
      <c r="K55" s="162" t="s">
        <v>361</v>
      </c>
      <c r="L55" s="114"/>
      <c r="M55" s="7"/>
      <c r="N55" s="7"/>
      <c r="O55" s="7"/>
      <c r="P55" s="7"/>
      <c r="Q55" s="7"/>
      <c r="R55" s="7"/>
      <c r="S55" s="7"/>
      <c r="T55" s="7"/>
      <c r="U55" s="149"/>
      <c r="V55" s="149"/>
    </row>
    <row r="56">
      <c r="A56" s="144" t="s">
        <v>279</v>
      </c>
      <c r="B56" s="163">
        <v>46163.0</v>
      </c>
      <c r="C56" s="7"/>
      <c r="D56" s="11" t="s">
        <v>64</v>
      </c>
      <c r="E56" s="146" t="s">
        <v>99</v>
      </c>
      <c r="F56" s="161" t="s">
        <v>362</v>
      </c>
      <c r="G56" s="146" t="s">
        <v>254</v>
      </c>
      <c r="H56" s="18" t="s">
        <v>194</v>
      </c>
      <c r="I56" s="113" t="s">
        <v>199</v>
      </c>
      <c r="J56" s="147" t="s">
        <v>255</v>
      </c>
      <c r="K56" s="148" t="s">
        <v>363</v>
      </c>
      <c r="L56" s="114"/>
      <c r="M56" s="7"/>
      <c r="N56" s="7"/>
      <c r="O56" s="7"/>
      <c r="P56" s="7"/>
      <c r="Q56" s="7"/>
      <c r="R56" s="7"/>
      <c r="S56" s="7"/>
      <c r="T56" s="7"/>
      <c r="U56" s="149"/>
      <c r="V56" s="149"/>
    </row>
    <row r="57">
      <c r="A57" s="144" t="s">
        <v>279</v>
      </c>
      <c r="B57" s="144"/>
      <c r="C57" s="7"/>
      <c r="D57" s="11" t="s">
        <v>64</v>
      </c>
      <c r="E57" s="146" t="s">
        <v>99</v>
      </c>
      <c r="F57" s="161" t="s">
        <v>364</v>
      </c>
      <c r="G57" s="146" t="s">
        <v>254</v>
      </c>
      <c r="H57" s="18" t="s">
        <v>194</v>
      </c>
      <c r="I57" s="113" t="s">
        <v>199</v>
      </c>
      <c r="J57" s="147" t="s">
        <v>255</v>
      </c>
      <c r="K57" s="26" t="s">
        <v>365</v>
      </c>
      <c r="L57" s="114"/>
      <c r="M57" s="7"/>
      <c r="N57" s="7"/>
      <c r="O57" s="7"/>
      <c r="P57" s="7"/>
      <c r="Q57" s="7"/>
      <c r="R57" s="7"/>
      <c r="S57" s="7"/>
      <c r="T57" s="7"/>
      <c r="U57" s="149"/>
      <c r="V57" s="149"/>
    </row>
    <row r="58">
      <c r="A58" s="144" t="s">
        <v>279</v>
      </c>
      <c r="B58" s="144"/>
      <c r="C58" s="7"/>
      <c r="D58" s="11" t="s">
        <v>39</v>
      </c>
      <c r="E58" s="146" t="s">
        <v>99</v>
      </c>
      <c r="F58" s="159" t="s">
        <v>366</v>
      </c>
      <c r="G58" s="146" t="s">
        <v>254</v>
      </c>
      <c r="H58" s="18" t="s">
        <v>194</v>
      </c>
      <c r="I58" s="113" t="s">
        <v>199</v>
      </c>
      <c r="J58" s="147" t="s">
        <v>255</v>
      </c>
      <c r="K58" s="162" t="s">
        <v>367</v>
      </c>
      <c r="L58" s="114"/>
      <c r="M58" s="7"/>
      <c r="N58" s="7"/>
      <c r="O58" s="7"/>
      <c r="P58" s="7"/>
      <c r="Q58" s="7"/>
      <c r="R58" s="7"/>
      <c r="S58" s="7"/>
      <c r="T58" s="7"/>
      <c r="U58" s="149"/>
      <c r="V58" s="149"/>
    </row>
    <row r="59">
      <c r="A59" s="144" t="s">
        <v>279</v>
      </c>
      <c r="B59" s="144"/>
      <c r="C59" s="7"/>
      <c r="D59" s="11" t="s">
        <v>78</v>
      </c>
      <c r="E59" s="146" t="s">
        <v>99</v>
      </c>
      <c r="F59" s="157" t="s">
        <v>368</v>
      </c>
      <c r="G59" s="146" t="s">
        <v>254</v>
      </c>
      <c r="H59" s="18" t="s">
        <v>194</v>
      </c>
      <c r="I59" s="113" t="s">
        <v>199</v>
      </c>
      <c r="J59" s="147" t="s">
        <v>255</v>
      </c>
      <c r="K59" s="148" t="s">
        <v>369</v>
      </c>
      <c r="L59" s="114"/>
      <c r="M59" s="7"/>
      <c r="N59" s="7"/>
      <c r="O59" s="7"/>
      <c r="P59" s="7"/>
      <c r="Q59" s="7"/>
      <c r="R59" s="7"/>
      <c r="S59" s="7"/>
      <c r="T59" s="7"/>
      <c r="U59" s="149"/>
      <c r="V59" s="149"/>
    </row>
    <row r="60">
      <c r="A60" s="144" t="s">
        <v>279</v>
      </c>
      <c r="B60" s="144"/>
      <c r="C60" s="7"/>
      <c r="D60" s="11" t="s">
        <v>78</v>
      </c>
      <c r="E60" s="146" t="s">
        <v>99</v>
      </c>
      <c r="F60" s="159" t="s">
        <v>370</v>
      </c>
      <c r="G60" s="146" t="s">
        <v>254</v>
      </c>
      <c r="H60" s="18" t="s">
        <v>194</v>
      </c>
      <c r="I60" s="113" t="s">
        <v>199</v>
      </c>
      <c r="J60" s="147" t="s">
        <v>255</v>
      </c>
      <c r="K60" s="11" t="s">
        <v>371</v>
      </c>
      <c r="L60" s="114"/>
      <c r="M60" s="7"/>
      <c r="N60" s="7"/>
      <c r="O60" s="7"/>
      <c r="P60" s="7"/>
      <c r="Q60" s="7"/>
      <c r="R60" s="7"/>
      <c r="S60" s="7"/>
      <c r="T60" s="7"/>
      <c r="U60" s="149"/>
      <c r="V60" s="149"/>
    </row>
    <row r="61">
      <c r="A61" s="144"/>
      <c r="B61" s="144"/>
      <c r="C61" s="7"/>
      <c r="D61" s="11" t="s">
        <v>15</v>
      </c>
      <c r="E61" s="146" t="s">
        <v>99</v>
      </c>
      <c r="F61" s="161" t="s">
        <v>372</v>
      </c>
      <c r="G61" s="146" t="s">
        <v>254</v>
      </c>
      <c r="H61" s="18" t="s">
        <v>194</v>
      </c>
      <c r="I61" s="113" t="s">
        <v>199</v>
      </c>
      <c r="J61" s="147" t="s">
        <v>255</v>
      </c>
      <c r="K61" s="26" t="s">
        <v>373</v>
      </c>
      <c r="L61" s="114"/>
      <c r="M61" s="7"/>
      <c r="N61" s="7"/>
      <c r="O61" s="7"/>
      <c r="P61" s="7"/>
      <c r="Q61" s="7"/>
      <c r="R61" s="7"/>
      <c r="S61" s="7"/>
      <c r="T61" s="7"/>
      <c r="U61" s="149"/>
      <c r="V61" s="149"/>
    </row>
    <row r="62">
      <c r="A62" s="144"/>
      <c r="B62" s="144"/>
      <c r="C62" s="7"/>
      <c r="D62" s="11" t="s">
        <v>78</v>
      </c>
      <c r="E62" s="146" t="s">
        <v>99</v>
      </c>
      <c r="F62" s="183" t="s">
        <v>374</v>
      </c>
      <c r="G62" s="146" t="s">
        <v>254</v>
      </c>
      <c r="H62" s="18" t="s">
        <v>194</v>
      </c>
      <c r="I62" s="113" t="s">
        <v>199</v>
      </c>
      <c r="J62" s="147" t="s">
        <v>255</v>
      </c>
      <c r="K62" s="4">
        <v>5.01136131E8</v>
      </c>
      <c r="L62" s="114"/>
      <c r="U62" s="184"/>
      <c r="V62" s="184"/>
    </row>
    <row r="63">
      <c r="A63" s="7"/>
      <c r="B63" s="7"/>
      <c r="C63" s="7"/>
      <c r="D63" s="11" t="s">
        <v>25</v>
      </c>
      <c r="E63" s="11" t="s">
        <v>375</v>
      </c>
      <c r="F63" s="11" t="s">
        <v>376</v>
      </c>
      <c r="G63" s="146" t="s">
        <v>254</v>
      </c>
      <c r="H63" s="18" t="s">
        <v>194</v>
      </c>
      <c r="I63" s="113" t="s">
        <v>199</v>
      </c>
      <c r="J63" s="147" t="s">
        <v>255</v>
      </c>
      <c r="K63" s="11" t="s">
        <v>377</v>
      </c>
      <c r="L63" s="185"/>
      <c r="U63" s="184"/>
      <c r="V63" s="184"/>
    </row>
    <row r="64">
      <c r="A64" s="144" t="s">
        <v>279</v>
      </c>
      <c r="B64" s="144"/>
      <c r="C64" s="7"/>
      <c r="D64" s="11" t="s">
        <v>25</v>
      </c>
      <c r="E64" s="11" t="s">
        <v>110</v>
      </c>
      <c r="F64" s="157" t="s">
        <v>378</v>
      </c>
      <c r="G64" s="146" t="s">
        <v>254</v>
      </c>
      <c r="H64" s="18" t="s">
        <v>194</v>
      </c>
      <c r="I64" s="113" t="s">
        <v>199</v>
      </c>
      <c r="J64" s="147" t="s">
        <v>255</v>
      </c>
      <c r="K64" s="162" t="s">
        <v>379</v>
      </c>
      <c r="L64" s="186"/>
      <c r="U64" s="184"/>
      <c r="V64" s="184"/>
    </row>
    <row r="65">
      <c r="A65" s="144"/>
      <c r="B65" s="144"/>
      <c r="C65" s="7"/>
      <c r="D65" s="11" t="s">
        <v>25</v>
      </c>
      <c r="E65" s="11" t="s">
        <v>110</v>
      </c>
      <c r="F65" s="157" t="s">
        <v>380</v>
      </c>
      <c r="G65" s="146" t="s">
        <v>254</v>
      </c>
      <c r="H65" s="18" t="s">
        <v>194</v>
      </c>
      <c r="I65" s="113" t="s">
        <v>199</v>
      </c>
      <c r="J65" s="147" t="s">
        <v>255</v>
      </c>
      <c r="K65" s="187" t="s">
        <v>381</v>
      </c>
      <c r="L65" s="186"/>
      <c r="U65" s="184"/>
      <c r="V65" s="184"/>
    </row>
    <row r="66">
      <c r="A66" s="144"/>
      <c r="B66" s="144"/>
      <c r="C66" s="7"/>
      <c r="D66" s="11" t="s">
        <v>25</v>
      </c>
      <c r="E66" s="11" t="s">
        <v>110</v>
      </c>
      <c r="F66" s="159" t="s">
        <v>382</v>
      </c>
      <c r="G66" s="146" t="s">
        <v>254</v>
      </c>
      <c r="H66" s="18" t="s">
        <v>194</v>
      </c>
      <c r="I66" s="113" t="s">
        <v>199</v>
      </c>
      <c r="J66" s="147" t="s">
        <v>255</v>
      </c>
      <c r="K66" s="168" t="s">
        <v>383</v>
      </c>
      <c r="L66" s="114"/>
      <c r="U66" s="184"/>
      <c r="V66" s="184"/>
    </row>
    <row r="67">
      <c r="A67" s="144"/>
      <c r="B67" s="144"/>
      <c r="C67" s="7"/>
      <c r="D67" s="11" t="s">
        <v>25</v>
      </c>
      <c r="E67" s="11" t="s">
        <v>110</v>
      </c>
      <c r="F67" s="150" t="s">
        <v>384</v>
      </c>
      <c r="G67" s="146" t="s">
        <v>254</v>
      </c>
      <c r="H67" s="18" t="s">
        <v>194</v>
      </c>
      <c r="I67" s="113" t="s">
        <v>302</v>
      </c>
      <c r="J67" s="147" t="s">
        <v>255</v>
      </c>
      <c r="K67" s="11" t="s">
        <v>385</v>
      </c>
      <c r="L67" s="114"/>
      <c r="U67" s="184"/>
      <c r="V67" s="184"/>
    </row>
    <row r="68">
      <c r="A68" s="7"/>
      <c r="B68" s="23"/>
      <c r="C68" s="7"/>
      <c r="D68" s="11" t="s">
        <v>15</v>
      </c>
      <c r="E68" s="11" t="s">
        <v>110</v>
      </c>
      <c r="F68" s="188" t="s">
        <v>386</v>
      </c>
      <c r="G68" s="146" t="s">
        <v>387</v>
      </c>
      <c r="H68" s="18" t="s">
        <v>194</v>
      </c>
      <c r="I68" s="113" t="s">
        <v>199</v>
      </c>
      <c r="J68" s="147" t="s">
        <v>255</v>
      </c>
      <c r="K68" s="26" t="s">
        <v>388</v>
      </c>
      <c r="L68" s="114"/>
      <c r="U68" s="184"/>
      <c r="V68" s="184"/>
    </row>
    <row r="69">
      <c r="A69" s="7"/>
      <c r="B69" s="7"/>
      <c r="C69" s="7"/>
      <c r="D69" s="11" t="s">
        <v>15</v>
      </c>
      <c r="E69" s="11" t="s">
        <v>110</v>
      </c>
      <c r="F69" s="150" t="s">
        <v>389</v>
      </c>
      <c r="G69" s="146" t="s">
        <v>254</v>
      </c>
      <c r="H69" s="18" t="s">
        <v>194</v>
      </c>
      <c r="I69" s="113" t="s">
        <v>199</v>
      </c>
      <c r="J69" s="147" t="s">
        <v>255</v>
      </c>
      <c r="K69" s="11" t="s">
        <v>390</v>
      </c>
      <c r="L69" s="114"/>
      <c r="U69" s="184"/>
      <c r="V69" s="184"/>
    </row>
    <row r="70">
      <c r="A70" s="144"/>
      <c r="B70" s="144"/>
      <c r="C70" s="7"/>
      <c r="D70" s="11" t="s">
        <v>25</v>
      </c>
      <c r="E70" s="11" t="s">
        <v>391</v>
      </c>
      <c r="F70" s="150" t="s">
        <v>392</v>
      </c>
      <c r="G70" s="146" t="s">
        <v>254</v>
      </c>
      <c r="H70" s="18" t="s">
        <v>194</v>
      </c>
      <c r="I70" s="113" t="s">
        <v>199</v>
      </c>
      <c r="J70" s="147" t="s">
        <v>255</v>
      </c>
      <c r="K70" s="11" t="s">
        <v>393</v>
      </c>
      <c r="L70" s="106"/>
      <c r="U70" s="184"/>
      <c r="V70" s="184"/>
    </row>
    <row r="71">
      <c r="A71" s="7"/>
      <c r="B71" s="23"/>
      <c r="C71" s="7"/>
      <c r="D71" s="11" t="s">
        <v>25</v>
      </c>
      <c r="E71" s="11" t="s">
        <v>391</v>
      </c>
      <c r="F71" s="189" t="s">
        <v>394</v>
      </c>
      <c r="G71" s="146" t="s">
        <v>387</v>
      </c>
      <c r="H71" s="18" t="s">
        <v>196</v>
      </c>
      <c r="I71" s="113" t="s">
        <v>302</v>
      </c>
      <c r="J71" s="147" t="s">
        <v>255</v>
      </c>
      <c r="K71" s="11" t="s">
        <v>395</v>
      </c>
      <c r="L71" s="106"/>
      <c r="U71" s="184"/>
      <c r="V71" s="184"/>
    </row>
    <row r="72">
      <c r="A72" s="7"/>
      <c r="B72" s="23"/>
      <c r="C72" s="7"/>
      <c r="D72" s="11" t="s">
        <v>25</v>
      </c>
      <c r="E72" s="11" t="s">
        <v>391</v>
      </c>
      <c r="F72" s="150" t="s">
        <v>396</v>
      </c>
      <c r="G72" s="146" t="s">
        <v>254</v>
      </c>
      <c r="H72" s="18" t="s">
        <v>194</v>
      </c>
      <c r="I72" s="113" t="s">
        <v>199</v>
      </c>
      <c r="J72" s="147" t="s">
        <v>255</v>
      </c>
      <c r="K72" s="11" t="s">
        <v>397</v>
      </c>
      <c r="L72" s="106"/>
      <c r="U72" s="184"/>
      <c r="V72" s="184"/>
    </row>
    <row r="73">
      <c r="A73" s="7"/>
      <c r="B73" s="23"/>
      <c r="C73" s="7"/>
      <c r="D73" s="11" t="s">
        <v>25</v>
      </c>
      <c r="E73" s="11" t="s">
        <v>391</v>
      </c>
      <c r="F73" s="150" t="s">
        <v>398</v>
      </c>
      <c r="G73" s="146" t="s">
        <v>254</v>
      </c>
      <c r="H73" s="18" t="s">
        <v>194</v>
      </c>
      <c r="I73" s="113" t="s">
        <v>302</v>
      </c>
      <c r="J73" s="147" t="s">
        <v>255</v>
      </c>
      <c r="K73" s="11" t="s">
        <v>399</v>
      </c>
      <c r="L73" s="106"/>
      <c r="U73" s="184"/>
      <c r="V73" s="184"/>
    </row>
    <row r="74">
      <c r="A74" s="7"/>
      <c r="B74" s="23"/>
      <c r="C74" s="7"/>
      <c r="D74" s="11" t="s">
        <v>25</v>
      </c>
      <c r="E74" s="11" t="s">
        <v>391</v>
      </c>
      <c r="F74" s="190" t="s">
        <v>400</v>
      </c>
      <c r="G74" s="146" t="s">
        <v>254</v>
      </c>
      <c r="H74" s="18" t="s">
        <v>196</v>
      </c>
      <c r="I74" s="113" t="s">
        <v>199</v>
      </c>
      <c r="J74" s="147" t="s">
        <v>255</v>
      </c>
      <c r="K74" s="191" t="s">
        <v>401</v>
      </c>
      <c r="L74" s="106"/>
      <c r="U74" s="184"/>
      <c r="V74" s="184"/>
    </row>
    <row r="75">
      <c r="A75" s="7"/>
      <c r="B75" s="23"/>
      <c r="C75" s="7"/>
      <c r="D75" s="11" t="s">
        <v>15</v>
      </c>
      <c r="E75" s="11" t="s">
        <v>391</v>
      </c>
      <c r="F75" s="150" t="s">
        <v>402</v>
      </c>
      <c r="G75" s="146" t="s">
        <v>254</v>
      </c>
      <c r="H75" s="18" t="s">
        <v>194</v>
      </c>
      <c r="I75" s="113" t="s">
        <v>199</v>
      </c>
      <c r="J75" s="147" t="s">
        <v>255</v>
      </c>
      <c r="K75" s="192" t="s">
        <v>403</v>
      </c>
      <c r="L75" s="106"/>
      <c r="U75" s="184"/>
      <c r="V75" s="184"/>
    </row>
    <row r="76">
      <c r="A76" s="144" t="s">
        <v>279</v>
      </c>
      <c r="B76" s="144"/>
      <c r="C76" s="7"/>
      <c r="D76" s="11" t="s">
        <v>78</v>
      </c>
      <c r="E76" s="11"/>
      <c r="F76" s="148" t="s">
        <v>404</v>
      </c>
      <c r="G76" s="146" t="s">
        <v>387</v>
      </c>
      <c r="H76" s="18" t="s">
        <v>194</v>
      </c>
      <c r="I76" s="113" t="s">
        <v>302</v>
      </c>
      <c r="J76" s="147" t="s">
        <v>255</v>
      </c>
      <c r="K76" s="193"/>
      <c r="L76" s="106"/>
      <c r="U76" s="184"/>
      <c r="V76" s="184"/>
    </row>
    <row r="77">
      <c r="A77" s="144"/>
      <c r="B77" s="144"/>
      <c r="C77" s="7"/>
      <c r="D77" s="11" t="s">
        <v>73</v>
      </c>
      <c r="E77" s="7"/>
      <c r="F77" s="11" t="s">
        <v>405</v>
      </c>
      <c r="G77" s="146" t="s">
        <v>406</v>
      </c>
      <c r="H77" s="18" t="s">
        <v>194</v>
      </c>
      <c r="I77" s="113" t="s">
        <v>199</v>
      </c>
      <c r="J77" s="147" t="s">
        <v>255</v>
      </c>
      <c r="K77" s="11">
        <v>7.04651636E8</v>
      </c>
      <c r="L77" s="106"/>
      <c r="U77" s="184"/>
      <c r="V77" s="184"/>
    </row>
    <row r="78">
      <c r="A78" s="144"/>
      <c r="B78" s="144"/>
      <c r="C78" s="7"/>
      <c r="D78" s="11" t="s">
        <v>73</v>
      </c>
      <c r="E78" s="7"/>
      <c r="F78" s="11" t="s">
        <v>407</v>
      </c>
      <c r="G78" s="146" t="s">
        <v>406</v>
      </c>
      <c r="H78" s="18" t="s">
        <v>194</v>
      </c>
      <c r="I78" s="113" t="s">
        <v>199</v>
      </c>
      <c r="J78" s="147" t="s">
        <v>255</v>
      </c>
      <c r="K78" s="11">
        <v>5.05880888E8</v>
      </c>
      <c r="L78" s="106"/>
      <c r="U78" s="184"/>
      <c r="V78" s="184"/>
    </row>
    <row r="79">
      <c r="A79" s="7"/>
      <c r="B79" s="7"/>
      <c r="C79" s="7"/>
      <c r="D79" s="11" t="s">
        <v>408</v>
      </c>
      <c r="E79" s="7"/>
      <c r="F79" s="7"/>
      <c r="G79" s="146" t="s">
        <v>406</v>
      </c>
      <c r="H79" s="18" t="s">
        <v>409</v>
      </c>
      <c r="I79" s="113" t="s">
        <v>255</v>
      </c>
      <c r="J79" s="147" t="s">
        <v>255</v>
      </c>
      <c r="K79" s="7"/>
      <c r="L79" s="106"/>
      <c r="U79" s="184"/>
      <c r="V79" s="184"/>
    </row>
    <row r="80">
      <c r="A80" s="7"/>
      <c r="B80" s="7"/>
      <c r="C80" s="7"/>
      <c r="D80" s="11" t="s">
        <v>408</v>
      </c>
      <c r="E80" s="7"/>
      <c r="F80" s="7"/>
      <c r="G80" s="146" t="s">
        <v>406</v>
      </c>
      <c r="H80" s="18" t="s">
        <v>409</v>
      </c>
      <c r="I80" s="113" t="s">
        <v>255</v>
      </c>
      <c r="J80" s="147" t="s">
        <v>255</v>
      </c>
      <c r="K80" s="7"/>
      <c r="L80" s="106"/>
      <c r="U80" s="184"/>
      <c r="V80" s="184"/>
    </row>
    <row r="81">
      <c r="A81" s="7"/>
      <c r="B81" s="7"/>
      <c r="C81" s="7"/>
      <c r="D81" s="11" t="s">
        <v>408</v>
      </c>
      <c r="E81" s="7"/>
      <c r="F81" s="7"/>
      <c r="G81" s="146" t="s">
        <v>406</v>
      </c>
      <c r="H81" s="18" t="s">
        <v>409</v>
      </c>
      <c r="I81" s="113" t="s">
        <v>255</v>
      </c>
      <c r="J81" s="147" t="s">
        <v>255</v>
      </c>
      <c r="K81" s="7"/>
      <c r="L81" s="106"/>
      <c r="U81" s="184"/>
      <c r="V81" s="184"/>
    </row>
    <row r="82">
      <c r="F82" s="19"/>
      <c r="H82" s="19"/>
      <c r="I82" s="194"/>
      <c r="L82" s="194"/>
      <c r="U82" s="184"/>
      <c r="V82" s="184"/>
    </row>
    <row r="83">
      <c r="F83" s="19"/>
      <c r="H83" s="19"/>
      <c r="I83" s="194"/>
      <c r="L83" s="194"/>
      <c r="U83" s="184"/>
      <c r="V83" s="184"/>
    </row>
    <row r="84">
      <c r="F84" s="19"/>
      <c r="H84" s="19"/>
      <c r="I84" s="194"/>
      <c r="L84" s="194"/>
      <c r="U84" s="184"/>
      <c r="V84" s="184"/>
    </row>
    <row r="85">
      <c r="F85" s="19"/>
      <c r="H85" s="19"/>
      <c r="I85" s="194"/>
      <c r="L85" s="194"/>
      <c r="U85" s="184"/>
      <c r="V85" s="184"/>
    </row>
    <row r="86">
      <c r="F86" s="19"/>
      <c r="H86" s="19"/>
      <c r="I86" s="194"/>
      <c r="L86" s="194"/>
      <c r="U86" s="184"/>
      <c r="V86" s="184"/>
    </row>
    <row r="87">
      <c r="F87" s="19"/>
      <c r="H87" s="19"/>
      <c r="I87" s="194"/>
      <c r="L87" s="194"/>
      <c r="U87" s="184"/>
      <c r="V87" s="184"/>
    </row>
    <row r="88">
      <c r="F88" s="19"/>
      <c r="H88" s="19"/>
      <c r="I88" s="194"/>
      <c r="L88" s="194"/>
      <c r="U88" s="184"/>
      <c r="V88" s="184"/>
    </row>
    <row r="89">
      <c r="F89" s="19"/>
      <c r="H89" s="19"/>
      <c r="I89" s="194"/>
      <c r="L89" s="194"/>
      <c r="U89" s="184"/>
      <c r="V89" s="184"/>
    </row>
    <row r="90">
      <c r="F90" s="19"/>
      <c r="H90" s="19"/>
      <c r="I90" s="194"/>
      <c r="L90" s="194"/>
      <c r="U90" s="184"/>
      <c r="V90" s="184"/>
    </row>
    <row r="91">
      <c r="F91" s="19"/>
      <c r="H91" s="19"/>
      <c r="I91" s="194"/>
      <c r="L91" s="194"/>
      <c r="U91" s="184"/>
      <c r="V91" s="184"/>
    </row>
    <row r="92">
      <c r="F92" s="19"/>
      <c r="H92" s="19"/>
      <c r="I92" s="194"/>
      <c r="L92" s="194"/>
      <c r="U92" s="184"/>
      <c r="V92" s="184"/>
    </row>
    <row r="93">
      <c r="F93" s="19"/>
      <c r="H93" s="19"/>
      <c r="I93" s="194"/>
      <c r="L93" s="194"/>
      <c r="U93" s="184"/>
      <c r="V93" s="184"/>
    </row>
    <row r="94">
      <c r="F94" s="19"/>
      <c r="H94" s="19"/>
      <c r="I94" s="194"/>
      <c r="L94" s="194"/>
      <c r="U94" s="184"/>
      <c r="V94" s="184"/>
    </row>
    <row r="95">
      <c r="F95" s="19"/>
      <c r="H95" s="19"/>
      <c r="I95" s="194"/>
      <c r="L95" s="194"/>
      <c r="U95" s="184"/>
      <c r="V95" s="184"/>
    </row>
    <row r="96">
      <c r="F96" s="19"/>
      <c r="H96" s="19"/>
      <c r="I96" s="194"/>
      <c r="L96" s="194"/>
      <c r="U96" s="184"/>
      <c r="V96" s="184"/>
    </row>
    <row r="97">
      <c r="F97" s="19"/>
      <c r="H97" s="19"/>
      <c r="I97" s="194"/>
      <c r="L97" s="194"/>
      <c r="U97" s="184"/>
      <c r="V97" s="184"/>
    </row>
    <row r="98">
      <c r="F98" s="19"/>
      <c r="H98" s="19"/>
      <c r="I98" s="194"/>
      <c r="L98" s="194"/>
      <c r="U98" s="184"/>
      <c r="V98" s="184"/>
    </row>
    <row r="99">
      <c r="F99" s="19"/>
      <c r="H99" s="19"/>
      <c r="I99" s="194"/>
      <c r="L99" s="194"/>
      <c r="U99" s="184"/>
      <c r="V99" s="184"/>
    </row>
    <row r="100">
      <c r="F100" s="19"/>
      <c r="H100" s="19"/>
      <c r="I100" s="194"/>
      <c r="L100" s="194"/>
      <c r="U100" s="184"/>
      <c r="V100" s="184"/>
    </row>
    <row r="101">
      <c r="F101" s="19"/>
      <c r="H101" s="19"/>
      <c r="I101" s="194"/>
      <c r="L101" s="194"/>
      <c r="U101" s="184"/>
      <c r="V101" s="184"/>
    </row>
    <row r="102">
      <c r="F102" s="19"/>
      <c r="H102" s="19"/>
      <c r="I102" s="194"/>
      <c r="L102" s="194"/>
      <c r="U102" s="184"/>
      <c r="V102" s="184"/>
    </row>
    <row r="103">
      <c r="F103" s="19"/>
      <c r="H103" s="19"/>
      <c r="I103" s="194"/>
      <c r="L103" s="194"/>
      <c r="U103" s="184"/>
      <c r="V103" s="184"/>
    </row>
    <row r="104">
      <c r="F104" s="19"/>
      <c r="H104" s="19"/>
      <c r="I104" s="194"/>
      <c r="L104" s="194"/>
      <c r="U104" s="184"/>
      <c r="V104" s="184"/>
    </row>
    <row r="105">
      <c r="F105" s="19"/>
      <c r="H105" s="19"/>
      <c r="I105" s="194"/>
      <c r="L105" s="194"/>
      <c r="U105" s="184"/>
      <c r="V105" s="184"/>
    </row>
    <row r="106">
      <c r="F106" s="19"/>
      <c r="H106" s="19"/>
      <c r="I106" s="194"/>
      <c r="L106" s="194"/>
      <c r="U106" s="184"/>
      <c r="V106" s="184"/>
    </row>
    <row r="107">
      <c r="F107" s="19"/>
      <c r="H107" s="19"/>
      <c r="I107" s="194"/>
      <c r="L107" s="194"/>
      <c r="U107" s="184"/>
      <c r="V107" s="184"/>
    </row>
    <row r="108">
      <c r="F108" s="19"/>
      <c r="H108" s="19"/>
      <c r="I108" s="194"/>
      <c r="L108" s="194"/>
      <c r="U108" s="184"/>
      <c r="V108" s="184"/>
    </row>
    <row r="109">
      <c r="F109" s="19"/>
      <c r="H109" s="19"/>
      <c r="I109" s="194"/>
      <c r="L109" s="194"/>
      <c r="U109" s="184"/>
      <c r="V109" s="184"/>
    </row>
    <row r="110">
      <c r="F110" s="19"/>
      <c r="H110" s="19"/>
      <c r="I110" s="194"/>
      <c r="L110" s="194"/>
      <c r="U110" s="184"/>
      <c r="V110" s="184"/>
    </row>
    <row r="111">
      <c r="F111" s="19"/>
      <c r="H111" s="19"/>
      <c r="I111" s="194"/>
      <c r="L111" s="194"/>
      <c r="U111" s="184"/>
      <c r="V111" s="184"/>
    </row>
    <row r="112">
      <c r="F112" s="19"/>
      <c r="H112" s="19"/>
      <c r="I112" s="194"/>
      <c r="L112" s="194"/>
      <c r="U112" s="184"/>
      <c r="V112" s="184"/>
    </row>
    <row r="113">
      <c r="F113" s="19"/>
      <c r="H113" s="19"/>
      <c r="I113" s="194"/>
      <c r="L113" s="194"/>
      <c r="U113" s="184"/>
      <c r="V113" s="184"/>
    </row>
    <row r="114">
      <c r="F114" s="19"/>
      <c r="H114" s="19"/>
      <c r="I114" s="194"/>
      <c r="L114" s="194"/>
      <c r="U114" s="184"/>
      <c r="V114" s="184"/>
    </row>
    <row r="115">
      <c r="F115" s="19"/>
      <c r="H115" s="19"/>
      <c r="I115" s="194"/>
      <c r="L115" s="194"/>
      <c r="U115" s="184"/>
      <c r="V115" s="184"/>
    </row>
    <row r="116">
      <c r="F116" s="19"/>
      <c r="H116" s="19"/>
      <c r="I116" s="194"/>
      <c r="L116" s="194"/>
      <c r="U116" s="184"/>
      <c r="V116" s="184"/>
    </row>
    <row r="117">
      <c r="F117" s="19"/>
      <c r="H117" s="19"/>
      <c r="I117" s="194"/>
      <c r="L117" s="194"/>
      <c r="U117" s="184"/>
      <c r="V117" s="184"/>
    </row>
    <row r="118">
      <c r="F118" s="19"/>
      <c r="H118" s="19"/>
      <c r="I118" s="194"/>
      <c r="L118" s="194"/>
      <c r="U118" s="184"/>
      <c r="V118" s="184"/>
    </row>
    <row r="119">
      <c r="F119" s="19"/>
      <c r="H119" s="19"/>
      <c r="I119" s="194"/>
      <c r="L119" s="194"/>
      <c r="U119" s="184"/>
      <c r="V119" s="184"/>
    </row>
    <row r="120">
      <c r="F120" s="19"/>
      <c r="H120" s="19"/>
      <c r="I120" s="194"/>
      <c r="L120" s="194"/>
      <c r="U120" s="184"/>
      <c r="V120" s="184"/>
    </row>
    <row r="121">
      <c r="F121" s="19"/>
      <c r="H121" s="19"/>
      <c r="I121" s="194"/>
      <c r="L121" s="194"/>
      <c r="U121" s="184"/>
      <c r="V121" s="184"/>
    </row>
    <row r="122">
      <c r="F122" s="19"/>
      <c r="H122" s="19"/>
      <c r="I122" s="194"/>
      <c r="L122" s="194"/>
      <c r="U122" s="184"/>
      <c r="V122" s="184"/>
    </row>
    <row r="123">
      <c r="F123" s="19"/>
      <c r="H123" s="19"/>
      <c r="I123" s="194"/>
      <c r="L123" s="194"/>
      <c r="U123" s="184"/>
      <c r="V123" s="184"/>
    </row>
    <row r="124">
      <c r="F124" s="19"/>
      <c r="H124" s="19"/>
      <c r="I124" s="194"/>
      <c r="L124" s="194"/>
      <c r="U124" s="184"/>
      <c r="V124" s="184"/>
    </row>
    <row r="125">
      <c r="F125" s="19"/>
      <c r="H125" s="19"/>
      <c r="I125" s="194"/>
      <c r="L125" s="194"/>
      <c r="U125" s="184"/>
      <c r="V125" s="184"/>
    </row>
    <row r="126">
      <c r="F126" s="19"/>
      <c r="H126" s="19"/>
      <c r="I126" s="194"/>
      <c r="L126" s="194"/>
      <c r="U126" s="184"/>
      <c r="V126" s="184"/>
    </row>
    <row r="127">
      <c r="F127" s="19"/>
      <c r="H127" s="19"/>
      <c r="I127" s="194"/>
      <c r="L127" s="194"/>
      <c r="U127" s="184"/>
      <c r="V127" s="184"/>
    </row>
    <row r="128">
      <c r="F128" s="19"/>
      <c r="H128" s="19"/>
      <c r="I128" s="194"/>
      <c r="L128" s="194"/>
      <c r="U128" s="184"/>
      <c r="V128" s="184"/>
    </row>
    <row r="129">
      <c r="F129" s="19"/>
      <c r="H129" s="19"/>
      <c r="I129" s="194"/>
      <c r="L129" s="194"/>
      <c r="U129" s="184"/>
      <c r="V129" s="184"/>
    </row>
    <row r="130">
      <c r="F130" s="19"/>
      <c r="H130" s="19"/>
      <c r="I130" s="194"/>
      <c r="L130" s="194"/>
      <c r="U130" s="184"/>
      <c r="V130" s="184"/>
    </row>
    <row r="131">
      <c r="F131" s="19"/>
      <c r="H131" s="19"/>
      <c r="I131" s="194"/>
      <c r="L131" s="194"/>
      <c r="U131" s="184"/>
      <c r="V131" s="184"/>
    </row>
    <row r="132">
      <c r="F132" s="19"/>
      <c r="H132" s="19"/>
      <c r="I132" s="194"/>
      <c r="L132" s="194"/>
      <c r="U132" s="184"/>
      <c r="V132" s="184"/>
    </row>
    <row r="133">
      <c r="F133" s="19"/>
      <c r="H133" s="19"/>
      <c r="I133" s="194"/>
      <c r="L133" s="194"/>
      <c r="U133" s="184"/>
      <c r="V133" s="184"/>
    </row>
    <row r="134">
      <c r="F134" s="19"/>
      <c r="H134" s="19"/>
      <c r="I134" s="194"/>
      <c r="L134" s="194"/>
      <c r="U134" s="184"/>
      <c r="V134" s="184"/>
    </row>
    <row r="135">
      <c r="F135" s="19"/>
      <c r="H135" s="19"/>
      <c r="I135" s="194"/>
      <c r="L135" s="194"/>
      <c r="U135" s="184"/>
      <c r="V135" s="184"/>
    </row>
    <row r="136">
      <c r="F136" s="19"/>
      <c r="H136" s="19"/>
      <c r="I136" s="194"/>
      <c r="L136" s="194"/>
      <c r="U136" s="184"/>
      <c r="V136" s="184"/>
    </row>
    <row r="137">
      <c r="F137" s="19"/>
      <c r="H137" s="19"/>
      <c r="I137" s="194"/>
      <c r="L137" s="194"/>
      <c r="U137" s="184"/>
      <c r="V137" s="184"/>
    </row>
    <row r="138">
      <c r="F138" s="19"/>
      <c r="H138" s="19"/>
      <c r="I138" s="194"/>
      <c r="L138" s="194"/>
      <c r="U138" s="184"/>
      <c r="V138" s="184"/>
    </row>
    <row r="139">
      <c r="F139" s="19"/>
      <c r="H139" s="19"/>
      <c r="I139" s="194"/>
      <c r="L139" s="194"/>
      <c r="U139" s="184"/>
      <c r="V139" s="184"/>
    </row>
    <row r="140">
      <c r="F140" s="19"/>
      <c r="H140" s="19"/>
      <c r="I140" s="194"/>
      <c r="L140" s="194"/>
      <c r="U140" s="184"/>
      <c r="V140" s="184"/>
    </row>
    <row r="141">
      <c r="F141" s="19"/>
      <c r="H141" s="19"/>
      <c r="I141" s="194"/>
      <c r="L141" s="194"/>
      <c r="U141" s="184"/>
      <c r="V141" s="184"/>
    </row>
    <row r="142">
      <c r="F142" s="19"/>
      <c r="H142" s="19"/>
      <c r="I142" s="194"/>
      <c r="L142" s="194"/>
      <c r="U142" s="184"/>
      <c r="V142" s="184"/>
    </row>
    <row r="143">
      <c r="F143" s="19"/>
      <c r="H143" s="19"/>
      <c r="I143" s="194"/>
      <c r="L143" s="194"/>
      <c r="U143" s="184"/>
      <c r="V143" s="184"/>
    </row>
    <row r="144">
      <c r="F144" s="19"/>
      <c r="H144" s="19"/>
      <c r="I144" s="194"/>
      <c r="L144" s="194"/>
      <c r="U144" s="184"/>
      <c r="V144" s="184"/>
    </row>
    <row r="145">
      <c r="F145" s="19"/>
      <c r="H145" s="19"/>
      <c r="I145" s="194"/>
      <c r="L145" s="194"/>
      <c r="U145" s="184"/>
      <c r="V145" s="184"/>
    </row>
    <row r="146">
      <c r="F146" s="19"/>
      <c r="H146" s="19"/>
      <c r="I146" s="194"/>
      <c r="L146" s="194"/>
      <c r="U146" s="184"/>
      <c r="V146" s="184"/>
    </row>
    <row r="147">
      <c r="F147" s="19"/>
      <c r="H147" s="19"/>
      <c r="I147" s="194"/>
      <c r="L147" s="194"/>
      <c r="U147" s="184"/>
      <c r="V147" s="184"/>
    </row>
    <row r="148">
      <c r="F148" s="19"/>
      <c r="H148" s="19"/>
      <c r="I148" s="194"/>
      <c r="L148" s="194"/>
      <c r="U148" s="184"/>
      <c r="V148" s="184"/>
    </row>
    <row r="149">
      <c r="F149" s="19"/>
      <c r="H149" s="19"/>
      <c r="I149" s="194"/>
      <c r="L149" s="194"/>
      <c r="U149" s="184"/>
      <c r="V149" s="184"/>
    </row>
    <row r="150">
      <c r="F150" s="19"/>
      <c r="H150" s="19"/>
      <c r="I150" s="194"/>
      <c r="L150" s="194"/>
      <c r="U150" s="184"/>
      <c r="V150" s="184"/>
    </row>
    <row r="151">
      <c r="F151" s="19"/>
      <c r="H151" s="19"/>
      <c r="I151" s="194"/>
      <c r="L151" s="194"/>
      <c r="U151" s="184"/>
      <c r="V151" s="184"/>
    </row>
    <row r="152">
      <c r="F152" s="19"/>
      <c r="H152" s="19"/>
      <c r="I152" s="194"/>
      <c r="L152" s="194"/>
      <c r="U152" s="184"/>
      <c r="V152" s="184"/>
    </row>
    <row r="153">
      <c r="F153" s="19"/>
      <c r="H153" s="19"/>
      <c r="I153" s="194"/>
      <c r="L153" s="194"/>
      <c r="U153" s="184"/>
      <c r="V153" s="184"/>
    </row>
    <row r="154">
      <c r="F154" s="19"/>
      <c r="H154" s="19"/>
      <c r="I154" s="194"/>
      <c r="L154" s="194"/>
      <c r="U154" s="184"/>
      <c r="V154" s="184"/>
    </row>
    <row r="155">
      <c r="F155" s="19"/>
      <c r="H155" s="19"/>
      <c r="I155" s="194"/>
      <c r="L155" s="194"/>
      <c r="U155" s="184"/>
      <c r="V155" s="184"/>
    </row>
    <row r="156">
      <c r="F156" s="19"/>
      <c r="H156" s="19"/>
      <c r="I156" s="194"/>
      <c r="L156" s="194"/>
      <c r="U156" s="184"/>
      <c r="V156" s="184"/>
    </row>
    <row r="157">
      <c r="F157" s="19"/>
      <c r="H157" s="19"/>
      <c r="I157" s="194"/>
      <c r="L157" s="194"/>
      <c r="U157" s="184"/>
      <c r="V157" s="184"/>
    </row>
    <row r="158">
      <c r="F158" s="19"/>
      <c r="H158" s="19"/>
      <c r="I158" s="194"/>
      <c r="L158" s="194"/>
      <c r="U158" s="184"/>
      <c r="V158" s="184"/>
    </row>
    <row r="159">
      <c r="F159" s="19"/>
      <c r="H159" s="19"/>
      <c r="I159" s="194"/>
      <c r="L159" s="194"/>
      <c r="U159" s="184"/>
      <c r="V159" s="184"/>
    </row>
    <row r="160">
      <c r="F160" s="19"/>
      <c r="H160" s="19"/>
      <c r="I160" s="194"/>
      <c r="L160" s="194"/>
      <c r="U160" s="184"/>
      <c r="V160" s="184"/>
    </row>
    <row r="161">
      <c r="F161" s="19"/>
      <c r="H161" s="19"/>
      <c r="I161" s="194"/>
      <c r="L161" s="194"/>
      <c r="U161" s="184"/>
      <c r="V161" s="184"/>
    </row>
    <row r="162">
      <c r="F162" s="19"/>
      <c r="H162" s="19"/>
      <c r="I162" s="194"/>
      <c r="L162" s="194"/>
      <c r="U162" s="184"/>
      <c r="V162" s="184"/>
    </row>
    <row r="163">
      <c r="F163" s="19"/>
      <c r="H163" s="19"/>
      <c r="I163" s="194"/>
      <c r="L163" s="194"/>
      <c r="U163" s="184"/>
      <c r="V163" s="184"/>
    </row>
    <row r="164">
      <c r="F164" s="19"/>
      <c r="H164" s="19"/>
      <c r="I164" s="194"/>
      <c r="L164" s="194"/>
      <c r="U164" s="184"/>
      <c r="V164" s="184"/>
    </row>
    <row r="165">
      <c r="F165" s="19"/>
      <c r="H165" s="19"/>
      <c r="I165" s="194"/>
      <c r="L165" s="194"/>
      <c r="U165" s="184"/>
      <c r="V165" s="184"/>
    </row>
    <row r="166">
      <c r="F166" s="19"/>
      <c r="H166" s="19"/>
      <c r="I166" s="194"/>
      <c r="L166" s="194"/>
      <c r="U166" s="184"/>
      <c r="V166" s="184"/>
    </row>
    <row r="167">
      <c r="F167" s="19"/>
      <c r="H167" s="19"/>
      <c r="I167" s="194"/>
      <c r="L167" s="194"/>
      <c r="U167" s="184"/>
      <c r="V167" s="184"/>
    </row>
    <row r="168">
      <c r="F168" s="19"/>
      <c r="H168" s="19"/>
      <c r="I168" s="194"/>
      <c r="L168" s="194"/>
      <c r="U168" s="184"/>
      <c r="V168" s="184"/>
    </row>
    <row r="169">
      <c r="F169" s="19"/>
      <c r="H169" s="19"/>
      <c r="I169" s="194"/>
      <c r="L169" s="194"/>
      <c r="U169" s="184"/>
      <c r="V169" s="184"/>
    </row>
    <row r="170">
      <c r="F170" s="19"/>
      <c r="H170" s="19"/>
      <c r="I170" s="194"/>
      <c r="L170" s="194"/>
      <c r="U170" s="184"/>
      <c r="V170" s="184"/>
    </row>
    <row r="171">
      <c r="F171" s="19"/>
      <c r="H171" s="19"/>
      <c r="I171" s="194"/>
      <c r="L171" s="194"/>
      <c r="U171" s="184"/>
      <c r="V171" s="184"/>
    </row>
    <row r="172">
      <c r="F172" s="19"/>
      <c r="H172" s="19"/>
      <c r="I172" s="194"/>
      <c r="L172" s="194"/>
      <c r="U172" s="184"/>
      <c r="V172" s="184"/>
    </row>
    <row r="173">
      <c r="F173" s="19"/>
      <c r="H173" s="19"/>
      <c r="I173" s="194"/>
      <c r="L173" s="194"/>
      <c r="U173" s="184"/>
      <c r="V173" s="184"/>
    </row>
    <row r="174">
      <c r="F174" s="19"/>
      <c r="H174" s="19"/>
      <c r="I174" s="194"/>
      <c r="L174" s="194"/>
      <c r="U174" s="184"/>
      <c r="V174" s="184"/>
    </row>
    <row r="175">
      <c r="F175" s="19"/>
      <c r="H175" s="19"/>
      <c r="I175" s="194"/>
      <c r="L175" s="194"/>
      <c r="U175" s="184"/>
      <c r="V175" s="184"/>
    </row>
    <row r="176">
      <c r="F176" s="19"/>
      <c r="H176" s="19"/>
      <c r="I176" s="194"/>
      <c r="L176" s="194"/>
      <c r="U176" s="184"/>
      <c r="V176" s="184"/>
    </row>
    <row r="177">
      <c r="F177" s="19"/>
      <c r="H177" s="19"/>
      <c r="I177" s="194"/>
      <c r="L177" s="194"/>
      <c r="U177" s="184"/>
      <c r="V177" s="184"/>
    </row>
    <row r="178">
      <c r="F178" s="19"/>
      <c r="H178" s="19"/>
      <c r="I178" s="194"/>
      <c r="L178" s="194"/>
      <c r="U178" s="184"/>
      <c r="V178" s="184"/>
    </row>
    <row r="179">
      <c r="F179" s="19"/>
      <c r="H179" s="19"/>
      <c r="I179" s="194"/>
      <c r="L179" s="194"/>
      <c r="U179" s="184"/>
      <c r="V179" s="184"/>
    </row>
    <row r="180">
      <c r="F180" s="19"/>
      <c r="H180" s="19"/>
      <c r="I180" s="194"/>
      <c r="L180" s="194"/>
      <c r="U180" s="184"/>
      <c r="V180" s="184"/>
    </row>
    <row r="181">
      <c r="F181" s="19"/>
      <c r="H181" s="19"/>
      <c r="I181" s="194"/>
      <c r="L181" s="194"/>
      <c r="U181" s="184"/>
      <c r="V181" s="184"/>
    </row>
    <row r="182">
      <c r="F182" s="19"/>
      <c r="H182" s="19"/>
      <c r="I182" s="194"/>
      <c r="L182" s="194"/>
      <c r="U182" s="184"/>
      <c r="V182" s="184"/>
    </row>
    <row r="183">
      <c r="F183" s="19"/>
      <c r="H183" s="19"/>
      <c r="I183" s="194"/>
      <c r="L183" s="194"/>
      <c r="U183" s="184"/>
      <c r="V183" s="184"/>
    </row>
    <row r="184">
      <c r="F184" s="19"/>
      <c r="H184" s="19"/>
      <c r="I184" s="194"/>
      <c r="L184" s="194"/>
      <c r="U184" s="184"/>
      <c r="V184" s="184"/>
    </row>
    <row r="185">
      <c r="F185" s="19"/>
      <c r="H185" s="19"/>
      <c r="I185" s="194"/>
      <c r="L185" s="194"/>
      <c r="U185" s="184"/>
      <c r="V185" s="184"/>
    </row>
    <row r="186">
      <c r="F186" s="19"/>
      <c r="H186" s="19"/>
      <c r="I186" s="194"/>
      <c r="L186" s="194"/>
      <c r="U186" s="184"/>
      <c r="V186" s="184"/>
    </row>
    <row r="187">
      <c r="F187" s="19"/>
      <c r="H187" s="19"/>
      <c r="I187" s="194"/>
      <c r="L187" s="194"/>
      <c r="U187" s="184"/>
      <c r="V187" s="184"/>
    </row>
    <row r="188">
      <c r="F188" s="19"/>
      <c r="H188" s="19"/>
      <c r="I188" s="194"/>
      <c r="L188" s="194"/>
      <c r="U188" s="184"/>
      <c r="V188" s="184"/>
    </row>
    <row r="189">
      <c r="F189" s="19"/>
      <c r="H189" s="19"/>
      <c r="I189" s="194"/>
      <c r="L189" s="194"/>
      <c r="U189" s="184"/>
      <c r="V189" s="184"/>
    </row>
    <row r="190">
      <c r="F190" s="19"/>
      <c r="H190" s="19"/>
      <c r="I190" s="194"/>
      <c r="L190" s="194"/>
      <c r="U190" s="184"/>
      <c r="V190" s="184"/>
    </row>
    <row r="191">
      <c r="F191" s="19"/>
      <c r="H191" s="19"/>
      <c r="I191" s="194"/>
      <c r="L191" s="194"/>
      <c r="U191" s="184"/>
      <c r="V191" s="184"/>
    </row>
    <row r="192">
      <c r="F192" s="19"/>
      <c r="H192" s="19"/>
      <c r="I192" s="194"/>
      <c r="L192" s="194"/>
      <c r="U192" s="184"/>
      <c r="V192" s="184"/>
    </row>
    <row r="193">
      <c r="F193" s="19"/>
      <c r="H193" s="19"/>
      <c r="I193" s="194"/>
      <c r="L193" s="194"/>
      <c r="U193" s="184"/>
      <c r="V193" s="184"/>
    </row>
    <row r="194">
      <c r="F194" s="19"/>
      <c r="H194" s="19"/>
      <c r="I194" s="194"/>
      <c r="L194" s="194"/>
      <c r="U194" s="184"/>
      <c r="V194" s="184"/>
    </row>
    <row r="195">
      <c r="F195" s="19"/>
      <c r="H195" s="19"/>
      <c r="I195" s="194"/>
      <c r="L195" s="194"/>
      <c r="U195" s="184"/>
      <c r="V195" s="184"/>
    </row>
    <row r="196">
      <c r="F196" s="19"/>
      <c r="H196" s="19"/>
      <c r="I196" s="194"/>
      <c r="L196" s="194"/>
      <c r="U196" s="184"/>
      <c r="V196" s="184"/>
    </row>
    <row r="197">
      <c r="F197" s="19"/>
      <c r="H197" s="19"/>
      <c r="I197" s="194"/>
      <c r="L197" s="194"/>
      <c r="U197" s="184"/>
      <c r="V197" s="184"/>
    </row>
    <row r="198">
      <c r="F198" s="19"/>
      <c r="H198" s="19"/>
      <c r="I198" s="194"/>
      <c r="L198" s="194"/>
      <c r="U198" s="184"/>
      <c r="V198" s="184"/>
    </row>
    <row r="199">
      <c r="F199" s="19"/>
      <c r="H199" s="19"/>
      <c r="I199" s="194"/>
      <c r="L199" s="194"/>
      <c r="U199" s="184"/>
      <c r="V199" s="184"/>
    </row>
    <row r="200">
      <c r="F200" s="19"/>
      <c r="H200" s="19"/>
      <c r="I200" s="194"/>
      <c r="L200" s="194"/>
      <c r="U200" s="184"/>
      <c r="V200" s="184"/>
    </row>
    <row r="201">
      <c r="F201" s="19"/>
      <c r="H201" s="19"/>
      <c r="I201" s="194"/>
      <c r="L201" s="194"/>
      <c r="U201" s="184"/>
      <c r="V201" s="184"/>
    </row>
    <row r="202">
      <c r="F202" s="19"/>
      <c r="H202" s="19"/>
      <c r="I202" s="194"/>
      <c r="L202" s="194"/>
      <c r="U202" s="184"/>
      <c r="V202" s="184"/>
    </row>
    <row r="203">
      <c r="F203" s="19"/>
      <c r="H203" s="19"/>
      <c r="I203" s="194"/>
      <c r="L203" s="194"/>
      <c r="U203" s="184"/>
      <c r="V203" s="184"/>
    </row>
    <row r="204">
      <c r="F204" s="19"/>
      <c r="H204" s="19"/>
      <c r="I204" s="194"/>
      <c r="L204" s="194"/>
      <c r="U204" s="184"/>
      <c r="V204" s="184"/>
    </row>
    <row r="205">
      <c r="F205" s="19"/>
      <c r="H205" s="19"/>
      <c r="I205" s="194"/>
      <c r="L205" s="194"/>
      <c r="U205" s="184"/>
      <c r="V205" s="184"/>
    </row>
    <row r="206">
      <c r="F206" s="19"/>
      <c r="H206" s="19"/>
      <c r="I206" s="194"/>
      <c r="L206" s="194"/>
      <c r="U206" s="184"/>
      <c r="V206" s="184"/>
    </row>
    <row r="207">
      <c r="F207" s="19"/>
      <c r="H207" s="19"/>
      <c r="I207" s="194"/>
      <c r="L207" s="194"/>
      <c r="U207" s="184"/>
      <c r="V207" s="184"/>
    </row>
    <row r="208">
      <c r="F208" s="19"/>
      <c r="H208" s="19"/>
      <c r="I208" s="194"/>
      <c r="L208" s="194"/>
      <c r="U208" s="184"/>
      <c r="V208" s="184"/>
    </row>
    <row r="209">
      <c r="F209" s="19"/>
      <c r="H209" s="19"/>
      <c r="I209" s="194"/>
      <c r="L209" s="194"/>
      <c r="U209" s="184"/>
      <c r="V209" s="184"/>
    </row>
    <row r="210">
      <c r="F210" s="19"/>
      <c r="H210" s="19"/>
      <c r="I210" s="194"/>
      <c r="L210" s="194"/>
      <c r="U210" s="184"/>
      <c r="V210" s="184"/>
    </row>
    <row r="211">
      <c r="F211" s="19"/>
      <c r="H211" s="19"/>
      <c r="I211" s="194"/>
      <c r="L211" s="194"/>
      <c r="U211" s="184"/>
      <c r="V211" s="184"/>
    </row>
    <row r="212">
      <c r="F212" s="19"/>
      <c r="H212" s="19"/>
      <c r="I212" s="194"/>
      <c r="L212" s="194"/>
      <c r="U212" s="184"/>
      <c r="V212" s="184"/>
    </row>
    <row r="213">
      <c r="F213" s="19"/>
      <c r="H213" s="19"/>
      <c r="I213" s="194"/>
      <c r="L213" s="194"/>
      <c r="U213" s="184"/>
      <c r="V213" s="184"/>
    </row>
    <row r="214">
      <c r="F214" s="19"/>
      <c r="H214" s="19"/>
      <c r="I214" s="194"/>
      <c r="L214" s="194"/>
      <c r="U214" s="184"/>
      <c r="V214" s="184"/>
    </row>
    <row r="215">
      <c r="F215" s="19"/>
      <c r="H215" s="19"/>
      <c r="I215" s="194"/>
      <c r="L215" s="194"/>
      <c r="U215" s="184"/>
      <c r="V215" s="184"/>
    </row>
    <row r="216">
      <c r="F216" s="19"/>
      <c r="H216" s="19"/>
      <c r="I216" s="194"/>
      <c r="L216" s="194"/>
      <c r="U216" s="184"/>
      <c r="V216" s="184"/>
    </row>
    <row r="217">
      <c r="F217" s="19"/>
      <c r="H217" s="19"/>
      <c r="I217" s="194"/>
      <c r="L217" s="194"/>
      <c r="U217" s="184"/>
      <c r="V217" s="184"/>
    </row>
    <row r="218">
      <c r="F218" s="19"/>
      <c r="H218" s="19"/>
      <c r="I218" s="194"/>
      <c r="L218" s="194"/>
      <c r="U218" s="184"/>
      <c r="V218" s="184"/>
    </row>
    <row r="219">
      <c r="F219" s="19"/>
      <c r="H219" s="19"/>
      <c r="I219" s="194"/>
      <c r="L219" s="194"/>
      <c r="U219" s="184"/>
      <c r="V219" s="184"/>
    </row>
    <row r="220">
      <c r="F220" s="19"/>
      <c r="H220" s="19"/>
      <c r="I220" s="194"/>
      <c r="L220" s="194"/>
      <c r="U220" s="184"/>
      <c r="V220" s="184"/>
    </row>
    <row r="221">
      <c r="F221" s="19"/>
      <c r="H221" s="19"/>
      <c r="I221" s="194"/>
      <c r="L221" s="194"/>
      <c r="U221" s="184"/>
      <c r="V221" s="184"/>
    </row>
    <row r="222">
      <c r="F222" s="19"/>
      <c r="H222" s="19"/>
      <c r="I222" s="194"/>
      <c r="L222" s="194"/>
      <c r="U222" s="184"/>
      <c r="V222" s="184"/>
    </row>
    <row r="223">
      <c r="F223" s="19"/>
      <c r="H223" s="19"/>
      <c r="I223" s="194"/>
      <c r="L223" s="194"/>
      <c r="U223" s="184"/>
      <c r="V223" s="184"/>
    </row>
    <row r="224">
      <c r="F224" s="19"/>
      <c r="H224" s="19"/>
      <c r="I224" s="194"/>
      <c r="L224" s="194"/>
      <c r="U224" s="184"/>
      <c r="V224" s="184"/>
    </row>
    <row r="225">
      <c r="F225" s="19"/>
      <c r="H225" s="19"/>
      <c r="I225" s="194"/>
      <c r="L225" s="194"/>
      <c r="U225" s="184"/>
      <c r="V225" s="184"/>
    </row>
    <row r="226">
      <c r="F226" s="19"/>
      <c r="H226" s="19"/>
      <c r="I226" s="194"/>
      <c r="L226" s="194"/>
      <c r="U226" s="184"/>
      <c r="V226" s="184"/>
    </row>
    <row r="227">
      <c r="F227" s="19"/>
      <c r="H227" s="19"/>
      <c r="I227" s="194"/>
      <c r="L227" s="194"/>
      <c r="U227" s="184"/>
      <c r="V227" s="184"/>
    </row>
    <row r="228">
      <c r="F228" s="19"/>
      <c r="H228" s="19"/>
      <c r="I228" s="194"/>
      <c r="L228" s="194"/>
      <c r="U228" s="184"/>
      <c r="V228" s="184"/>
    </row>
    <row r="229">
      <c r="F229" s="19"/>
      <c r="H229" s="19"/>
      <c r="I229" s="194"/>
      <c r="L229" s="194"/>
      <c r="U229" s="184"/>
      <c r="V229" s="184"/>
    </row>
    <row r="230">
      <c r="F230" s="19"/>
      <c r="H230" s="19"/>
      <c r="I230" s="194"/>
      <c r="L230" s="194"/>
      <c r="U230" s="184"/>
      <c r="V230" s="184"/>
    </row>
    <row r="231">
      <c r="F231" s="19"/>
      <c r="H231" s="19"/>
      <c r="I231" s="194"/>
      <c r="L231" s="194"/>
      <c r="U231" s="184"/>
      <c r="V231" s="184"/>
    </row>
    <row r="232">
      <c r="F232" s="19"/>
      <c r="H232" s="19"/>
      <c r="I232" s="194"/>
      <c r="L232" s="194"/>
      <c r="U232" s="184"/>
      <c r="V232" s="184"/>
    </row>
    <row r="233">
      <c r="F233" s="19"/>
      <c r="H233" s="19"/>
      <c r="I233" s="194"/>
      <c r="L233" s="194"/>
      <c r="U233" s="184"/>
      <c r="V233" s="184"/>
    </row>
    <row r="234">
      <c r="F234" s="19"/>
      <c r="H234" s="19"/>
      <c r="I234" s="194"/>
      <c r="L234" s="194"/>
      <c r="U234" s="184"/>
      <c r="V234" s="184"/>
    </row>
    <row r="235">
      <c r="F235" s="19"/>
      <c r="H235" s="19"/>
      <c r="I235" s="194"/>
      <c r="L235" s="194"/>
      <c r="U235" s="184"/>
      <c r="V235" s="184"/>
    </row>
    <row r="236">
      <c r="F236" s="19"/>
      <c r="H236" s="19"/>
      <c r="I236" s="194"/>
      <c r="L236" s="194"/>
      <c r="U236" s="184"/>
      <c r="V236" s="184"/>
    </row>
    <row r="237">
      <c r="F237" s="19"/>
      <c r="H237" s="19"/>
      <c r="I237" s="194"/>
      <c r="L237" s="194"/>
      <c r="U237" s="184"/>
      <c r="V237" s="184"/>
    </row>
    <row r="238">
      <c r="F238" s="19"/>
      <c r="H238" s="19"/>
      <c r="I238" s="194"/>
      <c r="L238" s="194"/>
      <c r="U238" s="184"/>
      <c r="V238" s="184"/>
    </row>
    <row r="239">
      <c r="F239" s="19"/>
      <c r="H239" s="19"/>
      <c r="I239" s="194"/>
      <c r="L239" s="194"/>
      <c r="U239" s="184"/>
      <c r="V239" s="184"/>
    </row>
    <row r="240">
      <c r="F240" s="19"/>
      <c r="H240" s="19"/>
      <c r="I240" s="194"/>
      <c r="L240" s="194"/>
      <c r="U240" s="184"/>
      <c r="V240" s="184"/>
    </row>
    <row r="241">
      <c r="F241" s="19"/>
      <c r="H241" s="19"/>
      <c r="I241" s="194"/>
      <c r="L241" s="194"/>
      <c r="U241" s="184"/>
      <c r="V241" s="184"/>
    </row>
    <row r="242">
      <c r="F242" s="19"/>
      <c r="H242" s="19"/>
      <c r="I242" s="194"/>
      <c r="L242" s="194"/>
      <c r="U242" s="184"/>
      <c r="V242" s="184"/>
    </row>
    <row r="243">
      <c r="F243" s="19"/>
      <c r="H243" s="19"/>
      <c r="I243" s="194"/>
      <c r="L243" s="194"/>
      <c r="U243" s="184"/>
      <c r="V243" s="184"/>
    </row>
    <row r="244">
      <c r="F244" s="19"/>
      <c r="H244" s="19"/>
      <c r="I244" s="194"/>
      <c r="L244" s="194"/>
      <c r="U244" s="184"/>
      <c r="V244" s="184"/>
    </row>
    <row r="245">
      <c r="F245" s="19"/>
      <c r="H245" s="19"/>
      <c r="I245" s="194"/>
      <c r="L245" s="194"/>
      <c r="U245" s="184"/>
      <c r="V245" s="184"/>
    </row>
    <row r="246">
      <c r="F246" s="19"/>
      <c r="H246" s="19"/>
      <c r="I246" s="194"/>
      <c r="L246" s="194"/>
      <c r="U246" s="184"/>
      <c r="V246" s="184"/>
    </row>
    <row r="247">
      <c r="F247" s="19"/>
      <c r="H247" s="19"/>
      <c r="I247" s="194"/>
      <c r="L247" s="194"/>
      <c r="U247" s="184"/>
      <c r="V247" s="184"/>
    </row>
    <row r="248">
      <c r="F248" s="19"/>
      <c r="H248" s="19"/>
      <c r="I248" s="194"/>
      <c r="L248" s="194"/>
      <c r="U248" s="184"/>
      <c r="V248" s="184"/>
    </row>
    <row r="249">
      <c r="F249" s="19"/>
      <c r="H249" s="19"/>
      <c r="I249" s="194"/>
      <c r="L249" s="194"/>
      <c r="U249" s="184"/>
      <c r="V249" s="184"/>
    </row>
    <row r="250">
      <c r="F250" s="19"/>
      <c r="H250" s="19"/>
      <c r="I250" s="194"/>
      <c r="L250" s="194"/>
      <c r="U250" s="184"/>
      <c r="V250" s="184"/>
    </row>
    <row r="251">
      <c r="F251" s="19"/>
      <c r="H251" s="19"/>
      <c r="I251" s="194"/>
      <c r="L251" s="194"/>
      <c r="U251" s="184"/>
      <c r="V251" s="184"/>
    </row>
    <row r="252">
      <c r="F252" s="19"/>
      <c r="H252" s="19"/>
      <c r="I252" s="194"/>
      <c r="L252" s="194"/>
      <c r="U252" s="184"/>
      <c r="V252" s="184"/>
    </row>
    <row r="253">
      <c r="F253" s="19"/>
      <c r="H253" s="19"/>
      <c r="I253" s="194"/>
      <c r="L253" s="194"/>
      <c r="U253" s="184"/>
      <c r="V253" s="184"/>
    </row>
    <row r="254">
      <c r="F254" s="19"/>
      <c r="H254" s="19"/>
      <c r="I254" s="194"/>
      <c r="L254" s="194"/>
      <c r="U254" s="184"/>
      <c r="V254" s="184"/>
    </row>
    <row r="255">
      <c r="F255" s="19"/>
      <c r="H255" s="19"/>
      <c r="I255" s="194"/>
      <c r="L255" s="194"/>
      <c r="U255" s="184"/>
      <c r="V255" s="184"/>
    </row>
    <row r="256">
      <c r="F256" s="19"/>
      <c r="H256" s="19"/>
      <c r="I256" s="194"/>
      <c r="L256" s="194"/>
      <c r="U256" s="184"/>
      <c r="V256" s="184"/>
    </row>
    <row r="257">
      <c r="F257" s="19"/>
      <c r="H257" s="19"/>
      <c r="I257" s="194"/>
      <c r="L257" s="194"/>
      <c r="U257" s="184"/>
      <c r="V257" s="184"/>
    </row>
    <row r="258">
      <c r="F258" s="19"/>
      <c r="H258" s="19"/>
      <c r="I258" s="194"/>
      <c r="L258" s="194"/>
      <c r="U258" s="184"/>
      <c r="V258" s="184"/>
    </row>
    <row r="259">
      <c r="F259" s="19"/>
      <c r="H259" s="19"/>
      <c r="I259" s="194"/>
      <c r="L259" s="194"/>
      <c r="U259" s="184"/>
      <c r="V259" s="184"/>
    </row>
    <row r="260">
      <c r="F260" s="19"/>
      <c r="H260" s="19"/>
      <c r="I260" s="194"/>
      <c r="L260" s="194"/>
      <c r="U260" s="184"/>
      <c r="V260" s="184"/>
    </row>
    <row r="261">
      <c r="F261" s="19"/>
      <c r="H261" s="19"/>
      <c r="I261" s="194"/>
      <c r="L261" s="194"/>
      <c r="U261" s="184"/>
      <c r="V261" s="184"/>
    </row>
    <row r="262">
      <c r="F262" s="19"/>
      <c r="H262" s="19"/>
      <c r="I262" s="194"/>
      <c r="L262" s="194"/>
      <c r="U262" s="184"/>
      <c r="V262" s="184"/>
    </row>
    <row r="263">
      <c r="F263" s="19"/>
      <c r="H263" s="19"/>
      <c r="I263" s="194"/>
      <c r="L263" s="194"/>
      <c r="U263" s="184"/>
      <c r="V263" s="184"/>
    </row>
    <row r="264">
      <c r="F264" s="19"/>
      <c r="H264" s="19"/>
      <c r="I264" s="194"/>
      <c r="L264" s="194"/>
      <c r="U264" s="184"/>
      <c r="V264" s="184"/>
    </row>
    <row r="265">
      <c r="F265" s="19"/>
      <c r="H265" s="19"/>
      <c r="I265" s="194"/>
      <c r="L265" s="194"/>
      <c r="U265" s="184"/>
      <c r="V265" s="184"/>
    </row>
    <row r="266">
      <c r="F266" s="19"/>
      <c r="H266" s="19"/>
      <c r="I266" s="194"/>
      <c r="L266" s="194"/>
      <c r="U266" s="184"/>
      <c r="V266" s="184"/>
    </row>
    <row r="267">
      <c r="F267" s="19"/>
      <c r="H267" s="19"/>
      <c r="I267" s="194"/>
      <c r="L267" s="194"/>
      <c r="U267" s="184"/>
      <c r="V267" s="184"/>
    </row>
    <row r="268">
      <c r="F268" s="19"/>
      <c r="H268" s="19"/>
      <c r="I268" s="194"/>
      <c r="L268" s="194"/>
      <c r="U268" s="184"/>
      <c r="V268" s="184"/>
    </row>
    <row r="269">
      <c r="F269" s="19"/>
      <c r="H269" s="19"/>
      <c r="I269" s="194"/>
      <c r="L269" s="194"/>
      <c r="U269" s="184"/>
      <c r="V269" s="184"/>
    </row>
    <row r="270">
      <c r="F270" s="19"/>
      <c r="H270" s="19"/>
      <c r="I270" s="194"/>
      <c r="L270" s="194"/>
      <c r="U270" s="184"/>
      <c r="V270" s="184"/>
    </row>
    <row r="271">
      <c r="F271" s="19"/>
      <c r="H271" s="19"/>
      <c r="I271" s="194"/>
      <c r="L271" s="194"/>
      <c r="U271" s="184"/>
      <c r="V271" s="184"/>
    </row>
    <row r="272">
      <c r="F272" s="19"/>
      <c r="H272" s="19"/>
      <c r="I272" s="194"/>
      <c r="L272" s="194"/>
      <c r="U272" s="184"/>
      <c r="V272" s="184"/>
    </row>
    <row r="273">
      <c r="F273" s="19"/>
      <c r="H273" s="19"/>
      <c r="I273" s="194"/>
      <c r="L273" s="194"/>
      <c r="U273" s="184"/>
      <c r="V273" s="184"/>
    </row>
    <row r="274">
      <c r="F274" s="19"/>
      <c r="H274" s="19"/>
      <c r="I274" s="194"/>
      <c r="L274" s="194"/>
      <c r="U274" s="184"/>
      <c r="V274" s="184"/>
    </row>
    <row r="275">
      <c r="F275" s="19"/>
      <c r="H275" s="19"/>
      <c r="I275" s="194"/>
      <c r="L275" s="194"/>
      <c r="U275" s="184"/>
      <c r="V275" s="184"/>
    </row>
    <row r="276">
      <c r="F276" s="19"/>
      <c r="H276" s="19"/>
      <c r="I276" s="194"/>
      <c r="L276" s="194"/>
      <c r="U276" s="184"/>
      <c r="V276" s="184"/>
    </row>
    <row r="277">
      <c r="F277" s="19"/>
      <c r="H277" s="19"/>
      <c r="I277" s="194"/>
      <c r="L277" s="194"/>
      <c r="U277" s="184"/>
      <c r="V277" s="184"/>
    </row>
    <row r="278">
      <c r="F278" s="19"/>
      <c r="H278" s="19"/>
      <c r="I278" s="194"/>
      <c r="L278" s="194"/>
      <c r="U278" s="184"/>
      <c r="V278" s="184"/>
    </row>
    <row r="279">
      <c r="F279" s="19"/>
      <c r="H279" s="19"/>
      <c r="I279" s="194"/>
      <c r="L279" s="194"/>
      <c r="U279" s="184"/>
      <c r="V279" s="184"/>
    </row>
    <row r="280">
      <c r="F280" s="19"/>
      <c r="H280" s="19"/>
      <c r="I280" s="194"/>
      <c r="L280" s="194"/>
      <c r="U280" s="184"/>
      <c r="V280" s="184"/>
    </row>
    <row r="281">
      <c r="F281" s="19"/>
      <c r="H281" s="19"/>
      <c r="I281" s="194"/>
      <c r="L281" s="194"/>
      <c r="U281" s="184"/>
      <c r="V281" s="184"/>
    </row>
    <row r="282">
      <c r="F282" s="19"/>
      <c r="H282" s="19"/>
      <c r="I282" s="194"/>
      <c r="L282" s="194"/>
      <c r="U282" s="184"/>
      <c r="V282" s="184"/>
    </row>
    <row r="283">
      <c r="F283" s="19"/>
      <c r="H283" s="19"/>
      <c r="I283" s="194"/>
      <c r="L283" s="194"/>
      <c r="U283" s="184"/>
      <c r="V283" s="184"/>
    </row>
    <row r="284">
      <c r="F284" s="19"/>
      <c r="H284" s="19"/>
      <c r="I284" s="194"/>
      <c r="L284" s="194"/>
      <c r="U284" s="184"/>
      <c r="V284" s="184"/>
    </row>
    <row r="285">
      <c r="F285" s="19"/>
      <c r="H285" s="19"/>
      <c r="I285" s="194"/>
      <c r="L285" s="194"/>
      <c r="U285" s="184"/>
      <c r="V285" s="184"/>
    </row>
    <row r="286">
      <c r="F286" s="19"/>
      <c r="H286" s="19"/>
      <c r="I286" s="194"/>
      <c r="L286" s="194"/>
      <c r="U286" s="184"/>
      <c r="V286" s="184"/>
    </row>
    <row r="287">
      <c r="F287" s="19"/>
      <c r="H287" s="19"/>
      <c r="I287" s="194"/>
      <c r="L287" s="194"/>
      <c r="U287" s="184"/>
      <c r="V287" s="184"/>
    </row>
    <row r="288">
      <c r="F288" s="19"/>
      <c r="H288" s="19"/>
      <c r="I288" s="194"/>
      <c r="L288" s="194"/>
      <c r="U288" s="184"/>
      <c r="V288" s="184"/>
    </row>
    <row r="289">
      <c r="F289" s="19"/>
      <c r="H289" s="19"/>
      <c r="I289" s="194"/>
      <c r="L289" s="194"/>
      <c r="U289" s="184"/>
      <c r="V289" s="184"/>
    </row>
    <row r="290">
      <c r="F290" s="19"/>
      <c r="H290" s="19"/>
      <c r="I290" s="194"/>
      <c r="L290" s="194"/>
      <c r="U290" s="184"/>
      <c r="V290" s="184"/>
    </row>
    <row r="291">
      <c r="F291" s="19"/>
      <c r="H291" s="19"/>
      <c r="I291" s="194"/>
      <c r="L291" s="194"/>
      <c r="U291" s="184"/>
      <c r="V291" s="184"/>
    </row>
    <row r="292">
      <c r="F292" s="19"/>
      <c r="H292" s="19"/>
      <c r="I292" s="194"/>
      <c r="L292" s="194"/>
      <c r="U292" s="184"/>
      <c r="V292" s="184"/>
    </row>
    <row r="293">
      <c r="F293" s="19"/>
      <c r="H293" s="19"/>
      <c r="I293" s="194"/>
      <c r="L293" s="194"/>
      <c r="U293" s="184"/>
      <c r="V293" s="184"/>
    </row>
    <row r="294">
      <c r="F294" s="19"/>
      <c r="H294" s="19"/>
      <c r="I294" s="194"/>
      <c r="L294" s="194"/>
      <c r="U294" s="184"/>
      <c r="V294" s="184"/>
    </row>
    <row r="295">
      <c r="F295" s="19"/>
      <c r="H295" s="19"/>
      <c r="I295" s="194"/>
      <c r="L295" s="194"/>
      <c r="U295" s="184"/>
      <c r="V295" s="184"/>
    </row>
    <row r="296">
      <c r="F296" s="19"/>
      <c r="H296" s="19"/>
      <c r="I296" s="194"/>
      <c r="L296" s="194"/>
      <c r="U296" s="184"/>
      <c r="V296" s="184"/>
    </row>
    <row r="297">
      <c r="F297" s="19"/>
      <c r="H297" s="19"/>
      <c r="I297" s="194"/>
      <c r="L297" s="194"/>
      <c r="U297" s="184"/>
      <c r="V297" s="184"/>
    </row>
    <row r="298">
      <c r="F298" s="19"/>
      <c r="H298" s="19"/>
      <c r="I298" s="194"/>
      <c r="L298" s="194"/>
      <c r="U298" s="184"/>
      <c r="V298" s="184"/>
    </row>
    <row r="299">
      <c r="F299" s="19"/>
      <c r="H299" s="19"/>
      <c r="I299" s="194"/>
      <c r="L299" s="194"/>
      <c r="U299" s="184"/>
      <c r="V299" s="184"/>
    </row>
    <row r="300">
      <c r="F300" s="19"/>
      <c r="H300" s="19"/>
      <c r="I300" s="194"/>
      <c r="L300" s="194"/>
      <c r="U300" s="184"/>
      <c r="V300" s="184"/>
    </row>
    <row r="301">
      <c r="F301" s="19"/>
      <c r="H301" s="19"/>
      <c r="I301" s="194"/>
      <c r="L301" s="194"/>
      <c r="U301" s="184"/>
      <c r="V301" s="184"/>
    </row>
    <row r="302">
      <c r="F302" s="19"/>
      <c r="H302" s="19"/>
      <c r="I302" s="194"/>
      <c r="L302" s="194"/>
      <c r="U302" s="184"/>
      <c r="V302" s="184"/>
    </row>
    <row r="303">
      <c r="F303" s="19"/>
      <c r="H303" s="19"/>
      <c r="I303" s="194"/>
      <c r="L303" s="194"/>
      <c r="U303" s="184"/>
      <c r="V303" s="184"/>
    </row>
    <row r="304">
      <c r="F304" s="19"/>
      <c r="H304" s="19"/>
      <c r="I304" s="194"/>
      <c r="L304" s="194"/>
      <c r="U304" s="184"/>
      <c r="V304" s="184"/>
    </row>
    <row r="305">
      <c r="F305" s="19"/>
      <c r="H305" s="19"/>
      <c r="I305" s="194"/>
      <c r="L305" s="194"/>
      <c r="U305" s="184"/>
      <c r="V305" s="184"/>
    </row>
    <row r="306">
      <c r="F306" s="19"/>
      <c r="H306" s="19"/>
      <c r="I306" s="194"/>
      <c r="L306" s="194"/>
      <c r="U306" s="184"/>
      <c r="V306" s="184"/>
    </row>
    <row r="307">
      <c r="F307" s="19"/>
      <c r="H307" s="19"/>
      <c r="I307" s="194"/>
      <c r="L307" s="194"/>
      <c r="U307" s="184"/>
      <c r="V307" s="184"/>
    </row>
    <row r="308">
      <c r="F308" s="19"/>
      <c r="H308" s="19"/>
      <c r="I308" s="194"/>
      <c r="L308" s="194"/>
      <c r="U308" s="184"/>
      <c r="V308" s="184"/>
    </row>
    <row r="309">
      <c r="F309" s="19"/>
      <c r="H309" s="19"/>
      <c r="I309" s="194"/>
      <c r="L309" s="194"/>
      <c r="U309" s="184"/>
      <c r="V309" s="184"/>
    </row>
    <row r="310">
      <c r="F310" s="19"/>
      <c r="H310" s="19"/>
      <c r="I310" s="194"/>
      <c r="L310" s="194"/>
      <c r="U310" s="184"/>
      <c r="V310" s="184"/>
    </row>
    <row r="311">
      <c r="F311" s="19"/>
      <c r="H311" s="19"/>
      <c r="I311" s="194"/>
      <c r="L311" s="194"/>
      <c r="U311" s="184"/>
      <c r="V311" s="184"/>
    </row>
    <row r="312">
      <c r="F312" s="19"/>
      <c r="H312" s="19"/>
      <c r="I312" s="194"/>
      <c r="L312" s="194"/>
      <c r="U312" s="184"/>
      <c r="V312" s="184"/>
    </row>
    <row r="313">
      <c r="F313" s="19"/>
      <c r="H313" s="19"/>
      <c r="I313" s="194"/>
      <c r="L313" s="194"/>
      <c r="U313" s="184"/>
      <c r="V313" s="184"/>
    </row>
    <row r="314">
      <c r="F314" s="19"/>
      <c r="H314" s="19"/>
      <c r="I314" s="194"/>
      <c r="L314" s="194"/>
      <c r="U314" s="184"/>
      <c r="V314" s="184"/>
    </row>
    <row r="315">
      <c r="F315" s="19"/>
      <c r="H315" s="19"/>
      <c r="I315" s="194"/>
      <c r="L315" s="194"/>
      <c r="U315" s="184"/>
      <c r="V315" s="184"/>
    </row>
    <row r="316">
      <c r="F316" s="19"/>
      <c r="H316" s="19"/>
      <c r="I316" s="194"/>
      <c r="L316" s="194"/>
      <c r="U316" s="184"/>
      <c r="V316" s="184"/>
    </row>
    <row r="317">
      <c r="F317" s="19"/>
      <c r="H317" s="19"/>
      <c r="I317" s="194"/>
      <c r="L317" s="194"/>
      <c r="U317" s="184"/>
      <c r="V317" s="184"/>
    </row>
    <row r="318">
      <c r="F318" s="19"/>
      <c r="H318" s="19"/>
      <c r="I318" s="194"/>
      <c r="L318" s="194"/>
      <c r="U318" s="184"/>
      <c r="V318" s="184"/>
    </row>
    <row r="319">
      <c r="F319" s="19"/>
      <c r="H319" s="19"/>
      <c r="I319" s="194"/>
      <c r="L319" s="194"/>
      <c r="U319" s="184"/>
      <c r="V319" s="184"/>
    </row>
    <row r="320">
      <c r="F320" s="19"/>
      <c r="H320" s="19"/>
      <c r="I320" s="194"/>
      <c r="L320" s="194"/>
      <c r="U320" s="184"/>
      <c r="V320" s="184"/>
    </row>
    <row r="321">
      <c r="F321" s="19"/>
      <c r="H321" s="19"/>
      <c r="I321" s="194"/>
      <c r="L321" s="194"/>
      <c r="U321" s="184"/>
      <c r="V321" s="184"/>
    </row>
    <row r="322">
      <c r="F322" s="19"/>
      <c r="H322" s="19"/>
      <c r="I322" s="194"/>
      <c r="L322" s="194"/>
      <c r="U322" s="184"/>
      <c r="V322" s="184"/>
    </row>
    <row r="323">
      <c r="F323" s="19"/>
      <c r="H323" s="19"/>
      <c r="I323" s="194"/>
      <c r="L323" s="194"/>
      <c r="U323" s="184"/>
      <c r="V323" s="184"/>
    </row>
    <row r="324">
      <c r="F324" s="19"/>
      <c r="H324" s="19"/>
      <c r="I324" s="194"/>
      <c r="L324" s="194"/>
      <c r="U324" s="184"/>
      <c r="V324" s="184"/>
    </row>
    <row r="325">
      <c r="F325" s="19"/>
      <c r="H325" s="19"/>
      <c r="I325" s="194"/>
      <c r="L325" s="194"/>
      <c r="U325" s="184"/>
      <c r="V325" s="184"/>
    </row>
    <row r="326">
      <c r="F326" s="19"/>
      <c r="H326" s="19"/>
      <c r="I326" s="194"/>
      <c r="L326" s="194"/>
      <c r="U326" s="184"/>
      <c r="V326" s="184"/>
    </row>
    <row r="327">
      <c r="F327" s="19"/>
      <c r="H327" s="19"/>
      <c r="I327" s="194"/>
      <c r="L327" s="194"/>
      <c r="U327" s="184"/>
      <c r="V327" s="184"/>
    </row>
    <row r="328">
      <c r="F328" s="19"/>
      <c r="H328" s="19"/>
      <c r="I328" s="194"/>
      <c r="L328" s="194"/>
      <c r="U328" s="184"/>
      <c r="V328" s="184"/>
    </row>
    <row r="329">
      <c r="F329" s="19"/>
      <c r="H329" s="19"/>
      <c r="I329" s="194"/>
      <c r="L329" s="194"/>
      <c r="U329" s="184"/>
      <c r="V329" s="184"/>
    </row>
    <row r="330">
      <c r="F330" s="19"/>
      <c r="H330" s="19"/>
      <c r="I330" s="194"/>
      <c r="L330" s="194"/>
      <c r="U330" s="184"/>
      <c r="V330" s="184"/>
    </row>
    <row r="331">
      <c r="F331" s="19"/>
      <c r="H331" s="19"/>
      <c r="I331" s="194"/>
      <c r="L331" s="194"/>
      <c r="U331" s="184"/>
      <c r="V331" s="184"/>
    </row>
    <row r="332">
      <c r="F332" s="19"/>
      <c r="H332" s="19"/>
      <c r="I332" s="194"/>
      <c r="L332" s="194"/>
      <c r="U332" s="184"/>
      <c r="V332" s="184"/>
    </row>
    <row r="333">
      <c r="F333" s="19"/>
      <c r="H333" s="19"/>
      <c r="I333" s="194"/>
      <c r="L333" s="194"/>
      <c r="U333" s="184"/>
      <c r="V333" s="184"/>
    </row>
    <row r="334">
      <c r="F334" s="19"/>
      <c r="H334" s="19"/>
      <c r="I334" s="194"/>
      <c r="L334" s="194"/>
      <c r="U334" s="184"/>
      <c r="V334" s="184"/>
    </row>
    <row r="335">
      <c r="F335" s="19"/>
      <c r="H335" s="19"/>
      <c r="I335" s="194"/>
      <c r="L335" s="194"/>
      <c r="U335" s="184"/>
      <c r="V335" s="184"/>
    </row>
    <row r="336">
      <c r="F336" s="19"/>
      <c r="H336" s="19"/>
      <c r="I336" s="194"/>
      <c r="L336" s="194"/>
      <c r="U336" s="184"/>
      <c r="V336" s="184"/>
    </row>
    <row r="337">
      <c r="F337" s="19"/>
      <c r="H337" s="19"/>
      <c r="I337" s="194"/>
      <c r="L337" s="194"/>
      <c r="U337" s="184"/>
      <c r="V337" s="184"/>
    </row>
    <row r="338">
      <c r="F338" s="19"/>
      <c r="H338" s="19"/>
      <c r="I338" s="194"/>
      <c r="L338" s="194"/>
      <c r="U338" s="184"/>
      <c r="V338" s="184"/>
    </row>
    <row r="339">
      <c r="F339" s="19"/>
      <c r="H339" s="19"/>
      <c r="I339" s="194"/>
      <c r="L339" s="194"/>
      <c r="U339" s="184"/>
      <c r="V339" s="184"/>
    </row>
    <row r="340">
      <c r="F340" s="19"/>
      <c r="H340" s="19"/>
      <c r="I340" s="194"/>
      <c r="L340" s="194"/>
      <c r="U340" s="184"/>
      <c r="V340" s="184"/>
    </row>
    <row r="341">
      <c r="F341" s="19"/>
      <c r="H341" s="19"/>
      <c r="I341" s="194"/>
      <c r="L341" s="194"/>
      <c r="U341" s="184"/>
      <c r="V341" s="184"/>
    </row>
    <row r="342">
      <c r="F342" s="19"/>
      <c r="H342" s="19"/>
      <c r="I342" s="194"/>
      <c r="L342" s="194"/>
      <c r="U342" s="184"/>
      <c r="V342" s="184"/>
    </row>
    <row r="343">
      <c r="F343" s="19"/>
      <c r="H343" s="19"/>
      <c r="I343" s="194"/>
      <c r="L343" s="194"/>
      <c r="U343" s="184"/>
      <c r="V343" s="184"/>
    </row>
    <row r="344">
      <c r="F344" s="19"/>
      <c r="H344" s="19"/>
      <c r="I344" s="194"/>
      <c r="L344" s="194"/>
      <c r="U344" s="184"/>
      <c r="V344" s="184"/>
    </row>
    <row r="345">
      <c r="F345" s="19"/>
      <c r="H345" s="19"/>
      <c r="I345" s="194"/>
      <c r="L345" s="194"/>
      <c r="U345" s="184"/>
      <c r="V345" s="184"/>
    </row>
    <row r="346">
      <c r="F346" s="19"/>
      <c r="H346" s="19"/>
      <c r="I346" s="194"/>
      <c r="L346" s="194"/>
      <c r="U346" s="184"/>
      <c r="V346" s="184"/>
    </row>
    <row r="347">
      <c r="F347" s="19"/>
      <c r="H347" s="19"/>
      <c r="I347" s="194"/>
      <c r="L347" s="194"/>
      <c r="U347" s="184"/>
      <c r="V347" s="184"/>
    </row>
    <row r="348">
      <c r="F348" s="19"/>
      <c r="H348" s="19"/>
      <c r="I348" s="194"/>
      <c r="L348" s="194"/>
      <c r="U348" s="184"/>
      <c r="V348" s="184"/>
    </row>
    <row r="349">
      <c r="F349" s="19"/>
      <c r="H349" s="19"/>
      <c r="I349" s="194"/>
      <c r="L349" s="194"/>
      <c r="U349" s="184"/>
      <c r="V349" s="184"/>
    </row>
    <row r="350">
      <c r="F350" s="19"/>
      <c r="H350" s="19"/>
      <c r="I350" s="194"/>
      <c r="L350" s="194"/>
      <c r="U350" s="184"/>
      <c r="V350" s="184"/>
    </row>
    <row r="351">
      <c r="F351" s="19"/>
      <c r="H351" s="19"/>
      <c r="I351" s="194"/>
      <c r="L351" s="194"/>
      <c r="U351" s="184"/>
      <c r="V351" s="184"/>
    </row>
    <row r="352">
      <c r="F352" s="19"/>
      <c r="H352" s="19"/>
      <c r="I352" s="194"/>
      <c r="L352" s="194"/>
      <c r="U352" s="184"/>
      <c r="V352" s="184"/>
    </row>
    <row r="353">
      <c r="F353" s="19"/>
      <c r="H353" s="19"/>
      <c r="I353" s="194"/>
      <c r="L353" s="194"/>
      <c r="U353" s="184"/>
      <c r="V353" s="184"/>
    </row>
    <row r="354">
      <c r="F354" s="19"/>
      <c r="H354" s="19"/>
      <c r="I354" s="194"/>
      <c r="L354" s="194"/>
      <c r="U354" s="184"/>
      <c r="V354" s="184"/>
    </row>
    <row r="355">
      <c r="F355" s="19"/>
      <c r="H355" s="19"/>
      <c r="I355" s="194"/>
      <c r="L355" s="194"/>
      <c r="U355" s="184"/>
      <c r="V355" s="184"/>
    </row>
    <row r="356">
      <c r="F356" s="19"/>
      <c r="H356" s="19"/>
      <c r="I356" s="194"/>
      <c r="L356" s="194"/>
      <c r="U356" s="184"/>
      <c r="V356" s="184"/>
    </row>
    <row r="357">
      <c r="F357" s="19"/>
      <c r="H357" s="19"/>
      <c r="I357" s="194"/>
      <c r="L357" s="194"/>
      <c r="U357" s="184"/>
      <c r="V357" s="184"/>
    </row>
    <row r="358">
      <c r="F358" s="19"/>
      <c r="H358" s="19"/>
      <c r="I358" s="194"/>
      <c r="L358" s="194"/>
      <c r="U358" s="184"/>
      <c r="V358" s="184"/>
    </row>
    <row r="359">
      <c r="F359" s="19"/>
      <c r="H359" s="19"/>
      <c r="I359" s="194"/>
      <c r="L359" s="194"/>
      <c r="U359" s="184"/>
      <c r="V359" s="184"/>
    </row>
    <row r="360">
      <c r="F360" s="19"/>
      <c r="H360" s="19"/>
      <c r="I360" s="194"/>
      <c r="L360" s="194"/>
      <c r="U360" s="184"/>
      <c r="V360" s="184"/>
    </row>
    <row r="361">
      <c r="F361" s="19"/>
      <c r="H361" s="19"/>
      <c r="I361" s="194"/>
      <c r="L361" s="194"/>
      <c r="U361" s="184"/>
      <c r="V361" s="184"/>
    </row>
    <row r="362">
      <c r="F362" s="19"/>
      <c r="H362" s="19"/>
      <c r="I362" s="194"/>
      <c r="L362" s="194"/>
      <c r="U362" s="184"/>
      <c r="V362" s="184"/>
    </row>
    <row r="363">
      <c r="F363" s="19"/>
      <c r="H363" s="19"/>
      <c r="I363" s="194"/>
      <c r="L363" s="194"/>
      <c r="U363" s="184"/>
      <c r="V363" s="184"/>
    </row>
    <row r="364">
      <c r="F364" s="19"/>
      <c r="H364" s="19"/>
      <c r="I364" s="194"/>
      <c r="L364" s="194"/>
      <c r="U364" s="184"/>
      <c r="V364" s="184"/>
    </row>
    <row r="365">
      <c r="F365" s="19"/>
      <c r="H365" s="19"/>
      <c r="I365" s="194"/>
      <c r="L365" s="194"/>
      <c r="U365" s="184"/>
      <c r="V365" s="184"/>
    </row>
    <row r="366">
      <c r="F366" s="19"/>
      <c r="H366" s="19"/>
      <c r="I366" s="194"/>
      <c r="L366" s="194"/>
      <c r="U366" s="184"/>
      <c r="V366" s="184"/>
    </row>
    <row r="367">
      <c r="F367" s="19"/>
      <c r="H367" s="19"/>
      <c r="I367" s="194"/>
      <c r="L367" s="194"/>
      <c r="U367" s="184"/>
      <c r="V367" s="184"/>
    </row>
    <row r="368">
      <c r="F368" s="19"/>
      <c r="H368" s="19"/>
      <c r="I368" s="194"/>
      <c r="L368" s="194"/>
      <c r="U368" s="184"/>
      <c r="V368" s="184"/>
    </row>
    <row r="369">
      <c r="F369" s="19"/>
      <c r="H369" s="19"/>
      <c r="I369" s="194"/>
      <c r="L369" s="194"/>
      <c r="U369" s="184"/>
      <c r="V369" s="184"/>
    </row>
    <row r="370">
      <c r="F370" s="19"/>
      <c r="H370" s="19"/>
      <c r="I370" s="194"/>
      <c r="L370" s="194"/>
      <c r="U370" s="184"/>
      <c r="V370" s="184"/>
    </row>
    <row r="371">
      <c r="F371" s="19"/>
      <c r="H371" s="19"/>
      <c r="I371" s="194"/>
      <c r="L371" s="194"/>
      <c r="U371" s="184"/>
      <c r="V371" s="184"/>
    </row>
    <row r="372">
      <c r="F372" s="19"/>
      <c r="H372" s="19"/>
      <c r="I372" s="194"/>
      <c r="L372" s="194"/>
      <c r="U372" s="184"/>
      <c r="V372" s="184"/>
    </row>
    <row r="373">
      <c r="F373" s="19"/>
      <c r="H373" s="19"/>
      <c r="I373" s="194"/>
      <c r="L373" s="194"/>
      <c r="U373" s="184"/>
      <c r="V373" s="184"/>
    </row>
    <row r="374">
      <c r="F374" s="19"/>
      <c r="H374" s="19"/>
      <c r="I374" s="194"/>
      <c r="L374" s="194"/>
      <c r="U374" s="184"/>
      <c r="V374" s="184"/>
    </row>
    <row r="375">
      <c r="F375" s="19"/>
      <c r="H375" s="19"/>
      <c r="I375" s="194"/>
      <c r="L375" s="194"/>
      <c r="U375" s="184"/>
      <c r="V375" s="184"/>
    </row>
    <row r="376">
      <c r="F376" s="19"/>
      <c r="H376" s="19"/>
      <c r="I376" s="194"/>
      <c r="L376" s="194"/>
      <c r="U376" s="184"/>
      <c r="V376" s="184"/>
    </row>
    <row r="377">
      <c r="F377" s="19"/>
      <c r="H377" s="19"/>
      <c r="I377" s="194"/>
      <c r="L377" s="194"/>
      <c r="U377" s="184"/>
      <c r="V377" s="184"/>
    </row>
    <row r="378">
      <c r="F378" s="19"/>
      <c r="H378" s="19"/>
      <c r="I378" s="194"/>
      <c r="L378" s="194"/>
      <c r="U378" s="184"/>
      <c r="V378" s="184"/>
    </row>
    <row r="379">
      <c r="F379" s="19"/>
      <c r="H379" s="19"/>
      <c r="I379" s="194"/>
      <c r="L379" s="194"/>
      <c r="U379" s="184"/>
      <c r="V379" s="184"/>
    </row>
    <row r="380">
      <c r="F380" s="19"/>
      <c r="H380" s="19"/>
      <c r="I380" s="194"/>
      <c r="L380" s="194"/>
      <c r="U380" s="184"/>
      <c r="V380" s="184"/>
    </row>
    <row r="381">
      <c r="F381" s="19"/>
      <c r="H381" s="19"/>
      <c r="I381" s="194"/>
      <c r="L381" s="194"/>
      <c r="U381" s="184"/>
      <c r="V381" s="184"/>
    </row>
    <row r="382">
      <c r="F382" s="19"/>
      <c r="H382" s="19"/>
      <c r="I382" s="194"/>
      <c r="L382" s="194"/>
      <c r="U382" s="184"/>
      <c r="V382" s="184"/>
    </row>
    <row r="383">
      <c r="F383" s="19"/>
      <c r="H383" s="19"/>
      <c r="I383" s="194"/>
      <c r="L383" s="194"/>
      <c r="U383" s="184"/>
      <c r="V383" s="184"/>
    </row>
    <row r="384">
      <c r="F384" s="19"/>
      <c r="H384" s="19"/>
      <c r="I384" s="194"/>
      <c r="L384" s="194"/>
      <c r="U384" s="184"/>
      <c r="V384" s="184"/>
    </row>
    <row r="385">
      <c r="F385" s="19"/>
      <c r="H385" s="19"/>
      <c r="I385" s="194"/>
      <c r="L385" s="194"/>
      <c r="U385" s="184"/>
      <c r="V385" s="184"/>
    </row>
    <row r="386">
      <c r="F386" s="19"/>
      <c r="H386" s="19"/>
      <c r="I386" s="194"/>
      <c r="L386" s="194"/>
      <c r="U386" s="184"/>
      <c r="V386" s="184"/>
    </row>
    <row r="387">
      <c r="F387" s="19"/>
      <c r="H387" s="19"/>
      <c r="I387" s="194"/>
      <c r="L387" s="194"/>
      <c r="U387" s="184"/>
      <c r="V387" s="184"/>
    </row>
    <row r="388">
      <c r="F388" s="19"/>
      <c r="H388" s="19"/>
      <c r="I388" s="194"/>
      <c r="L388" s="194"/>
      <c r="U388" s="184"/>
      <c r="V388" s="184"/>
    </row>
    <row r="389">
      <c r="F389" s="19"/>
      <c r="H389" s="19"/>
      <c r="I389" s="194"/>
      <c r="L389" s="194"/>
      <c r="U389" s="184"/>
      <c r="V389" s="184"/>
    </row>
    <row r="390">
      <c r="F390" s="19"/>
      <c r="H390" s="19"/>
      <c r="I390" s="194"/>
      <c r="L390" s="194"/>
      <c r="U390" s="184"/>
      <c r="V390" s="184"/>
    </row>
    <row r="391">
      <c r="F391" s="19"/>
      <c r="H391" s="19"/>
      <c r="I391" s="194"/>
      <c r="L391" s="194"/>
      <c r="U391" s="184"/>
      <c r="V391" s="184"/>
    </row>
    <row r="392">
      <c r="F392" s="19"/>
      <c r="H392" s="19"/>
      <c r="I392" s="194"/>
      <c r="L392" s="194"/>
      <c r="U392" s="184"/>
      <c r="V392" s="184"/>
    </row>
    <row r="393">
      <c r="F393" s="19"/>
      <c r="H393" s="19"/>
      <c r="I393" s="194"/>
      <c r="L393" s="194"/>
      <c r="U393" s="184"/>
      <c r="V393" s="184"/>
    </row>
    <row r="394">
      <c r="F394" s="19"/>
      <c r="H394" s="19"/>
      <c r="I394" s="194"/>
      <c r="L394" s="194"/>
      <c r="U394" s="184"/>
      <c r="V394" s="184"/>
    </row>
    <row r="395">
      <c r="F395" s="19"/>
      <c r="H395" s="19"/>
      <c r="I395" s="194"/>
      <c r="L395" s="194"/>
      <c r="U395" s="184"/>
      <c r="V395" s="184"/>
    </row>
    <row r="396">
      <c r="F396" s="19"/>
      <c r="H396" s="19"/>
      <c r="I396" s="194"/>
      <c r="L396" s="194"/>
      <c r="U396" s="184"/>
      <c r="V396" s="184"/>
    </row>
    <row r="397">
      <c r="F397" s="19"/>
      <c r="H397" s="19"/>
      <c r="I397" s="194"/>
      <c r="L397" s="194"/>
      <c r="U397" s="184"/>
      <c r="V397" s="184"/>
    </row>
    <row r="398">
      <c r="F398" s="19"/>
      <c r="H398" s="19"/>
      <c r="I398" s="194"/>
      <c r="L398" s="194"/>
      <c r="U398" s="184"/>
      <c r="V398" s="184"/>
    </row>
    <row r="399">
      <c r="F399" s="19"/>
      <c r="H399" s="19"/>
      <c r="I399" s="194"/>
      <c r="L399" s="194"/>
      <c r="U399" s="184"/>
      <c r="V399" s="184"/>
    </row>
    <row r="400">
      <c r="F400" s="19"/>
      <c r="H400" s="19"/>
      <c r="I400" s="194"/>
      <c r="L400" s="194"/>
      <c r="U400" s="184"/>
      <c r="V400" s="184"/>
    </row>
    <row r="401">
      <c r="F401" s="19"/>
      <c r="H401" s="19"/>
      <c r="I401" s="194"/>
      <c r="L401" s="194"/>
      <c r="U401" s="184"/>
      <c r="V401" s="184"/>
    </row>
    <row r="402">
      <c r="F402" s="19"/>
      <c r="H402" s="19"/>
      <c r="I402" s="194"/>
      <c r="L402" s="194"/>
      <c r="U402" s="184"/>
      <c r="V402" s="184"/>
    </row>
    <row r="403">
      <c r="F403" s="19"/>
      <c r="H403" s="19"/>
      <c r="I403" s="194"/>
      <c r="L403" s="194"/>
      <c r="U403" s="184"/>
      <c r="V403" s="184"/>
    </row>
    <row r="404">
      <c r="F404" s="19"/>
      <c r="H404" s="19"/>
      <c r="I404" s="194"/>
      <c r="L404" s="194"/>
      <c r="U404" s="184"/>
      <c r="V404" s="184"/>
    </row>
    <row r="405">
      <c r="F405" s="19"/>
      <c r="H405" s="19"/>
      <c r="I405" s="194"/>
      <c r="L405" s="194"/>
      <c r="U405" s="184"/>
      <c r="V405" s="184"/>
    </row>
    <row r="406">
      <c r="F406" s="19"/>
      <c r="H406" s="19"/>
      <c r="I406" s="194"/>
      <c r="L406" s="194"/>
      <c r="U406" s="184"/>
      <c r="V406" s="184"/>
    </row>
    <row r="407">
      <c r="F407" s="19"/>
      <c r="H407" s="19"/>
      <c r="I407" s="194"/>
      <c r="L407" s="194"/>
      <c r="U407" s="184"/>
      <c r="V407" s="184"/>
    </row>
    <row r="408">
      <c r="F408" s="19"/>
      <c r="H408" s="19"/>
      <c r="I408" s="194"/>
      <c r="L408" s="194"/>
      <c r="U408" s="184"/>
      <c r="V408" s="184"/>
    </row>
    <row r="409">
      <c r="F409" s="19"/>
      <c r="H409" s="19"/>
      <c r="I409" s="194"/>
      <c r="L409" s="194"/>
      <c r="U409" s="184"/>
      <c r="V409" s="184"/>
    </row>
    <row r="410">
      <c r="F410" s="19"/>
      <c r="H410" s="19"/>
      <c r="I410" s="194"/>
      <c r="L410" s="194"/>
      <c r="U410" s="184"/>
      <c r="V410" s="184"/>
    </row>
    <row r="411">
      <c r="F411" s="19"/>
      <c r="H411" s="19"/>
      <c r="I411" s="194"/>
      <c r="L411" s="194"/>
      <c r="U411" s="184"/>
      <c r="V411" s="184"/>
    </row>
    <row r="412">
      <c r="F412" s="19"/>
      <c r="H412" s="19"/>
      <c r="I412" s="194"/>
      <c r="L412" s="194"/>
      <c r="U412" s="184"/>
      <c r="V412" s="184"/>
    </row>
    <row r="413">
      <c r="F413" s="19"/>
      <c r="H413" s="19"/>
      <c r="I413" s="194"/>
      <c r="L413" s="194"/>
      <c r="U413" s="184"/>
      <c r="V413" s="184"/>
    </row>
    <row r="414">
      <c r="F414" s="19"/>
      <c r="H414" s="19"/>
      <c r="I414" s="194"/>
      <c r="L414" s="194"/>
      <c r="U414" s="184"/>
      <c r="V414" s="184"/>
    </row>
    <row r="415">
      <c r="F415" s="19"/>
      <c r="H415" s="19"/>
      <c r="I415" s="194"/>
      <c r="L415" s="194"/>
      <c r="U415" s="184"/>
      <c r="V415" s="184"/>
    </row>
    <row r="416">
      <c r="F416" s="19"/>
      <c r="H416" s="19"/>
      <c r="I416" s="194"/>
      <c r="L416" s="194"/>
      <c r="U416" s="184"/>
      <c r="V416" s="184"/>
    </row>
    <row r="417">
      <c r="F417" s="19"/>
      <c r="H417" s="19"/>
      <c r="I417" s="194"/>
      <c r="L417" s="194"/>
      <c r="U417" s="184"/>
      <c r="V417" s="184"/>
    </row>
    <row r="418">
      <c r="F418" s="19"/>
      <c r="H418" s="19"/>
      <c r="I418" s="194"/>
      <c r="L418" s="194"/>
      <c r="U418" s="184"/>
      <c r="V418" s="184"/>
    </row>
    <row r="419">
      <c r="F419" s="19"/>
      <c r="H419" s="19"/>
      <c r="I419" s="194"/>
      <c r="L419" s="194"/>
      <c r="U419" s="184"/>
      <c r="V419" s="184"/>
    </row>
    <row r="420">
      <c r="F420" s="19"/>
      <c r="H420" s="19"/>
      <c r="I420" s="194"/>
      <c r="L420" s="194"/>
      <c r="U420" s="184"/>
      <c r="V420" s="184"/>
    </row>
    <row r="421">
      <c r="F421" s="19"/>
      <c r="H421" s="19"/>
      <c r="I421" s="194"/>
      <c r="L421" s="194"/>
      <c r="U421" s="184"/>
      <c r="V421" s="184"/>
    </row>
    <row r="422">
      <c r="F422" s="19"/>
      <c r="H422" s="19"/>
      <c r="I422" s="194"/>
      <c r="L422" s="194"/>
      <c r="U422" s="184"/>
      <c r="V422" s="184"/>
    </row>
    <row r="423">
      <c r="F423" s="19"/>
      <c r="H423" s="19"/>
      <c r="I423" s="194"/>
      <c r="L423" s="194"/>
      <c r="U423" s="184"/>
      <c r="V423" s="184"/>
    </row>
    <row r="424">
      <c r="F424" s="19"/>
      <c r="H424" s="19"/>
      <c r="I424" s="194"/>
      <c r="L424" s="194"/>
      <c r="U424" s="184"/>
      <c r="V424" s="184"/>
    </row>
    <row r="425">
      <c r="F425" s="19"/>
      <c r="H425" s="19"/>
      <c r="I425" s="194"/>
      <c r="L425" s="194"/>
      <c r="U425" s="184"/>
      <c r="V425" s="184"/>
    </row>
    <row r="426">
      <c r="F426" s="19"/>
      <c r="H426" s="19"/>
      <c r="I426" s="194"/>
      <c r="L426" s="194"/>
      <c r="U426" s="184"/>
      <c r="V426" s="184"/>
    </row>
    <row r="427">
      <c r="F427" s="19"/>
      <c r="H427" s="19"/>
      <c r="I427" s="194"/>
      <c r="L427" s="194"/>
      <c r="U427" s="184"/>
      <c r="V427" s="184"/>
    </row>
    <row r="428">
      <c r="F428" s="19"/>
      <c r="H428" s="19"/>
      <c r="I428" s="194"/>
      <c r="L428" s="194"/>
      <c r="U428" s="184"/>
      <c r="V428" s="184"/>
    </row>
    <row r="429">
      <c r="F429" s="19"/>
      <c r="H429" s="19"/>
      <c r="I429" s="194"/>
      <c r="L429" s="194"/>
      <c r="U429" s="184"/>
      <c r="V429" s="184"/>
    </row>
    <row r="430">
      <c r="F430" s="19"/>
      <c r="H430" s="19"/>
      <c r="I430" s="194"/>
      <c r="L430" s="194"/>
      <c r="U430" s="184"/>
      <c r="V430" s="184"/>
    </row>
    <row r="431">
      <c r="F431" s="19"/>
      <c r="H431" s="19"/>
      <c r="I431" s="194"/>
      <c r="L431" s="194"/>
      <c r="U431" s="184"/>
      <c r="V431" s="184"/>
    </row>
    <row r="432">
      <c r="F432" s="19"/>
      <c r="H432" s="19"/>
      <c r="I432" s="194"/>
      <c r="L432" s="194"/>
      <c r="U432" s="184"/>
      <c r="V432" s="184"/>
    </row>
    <row r="433">
      <c r="F433" s="19"/>
      <c r="H433" s="19"/>
      <c r="I433" s="194"/>
      <c r="L433" s="194"/>
      <c r="U433" s="184"/>
      <c r="V433" s="184"/>
    </row>
    <row r="434">
      <c r="F434" s="19"/>
      <c r="H434" s="19"/>
      <c r="I434" s="194"/>
      <c r="L434" s="194"/>
      <c r="U434" s="184"/>
      <c r="V434" s="184"/>
    </row>
    <row r="435">
      <c r="F435" s="19"/>
      <c r="H435" s="19"/>
      <c r="I435" s="194"/>
      <c r="L435" s="194"/>
      <c r="U435" s="184"/>
      <c r="V435" s="184"/>
    </row>
    <row r="436">
      <c r="F436" s="19"/>
      <c r="H436" s="19"/>
      <c r="I436" s="194"/>
      <c r="L436" s="194"/>
      <c r="U436" s="184"/>
      <c r="V436" s="184"/>
    </row>
    <row r="437">
      <c r="F437" s="19"/>
      <c r="H437" s="19"/>
      <c r="I437" s="194"/>
      <c r="L437" s="194"/>
      <c r="U437" s="184"/>
      <c r="V437" s="184"/>
    </row>
    <row r="438">
      <c r="F438" s="19"/>
      <c r="H438" s="19"/>
      <c r="I438" s="194"/>
      <c r="L438" s="194"/>
      <c r="U438" s="184"/>
      <c r="V438" s="184"/>
    </row>
    <row r="439">
      <c r="F439" s="19"/>
      <c r="H439" s="19"/>
      <c r="I439" s="194"/>
      <c r="L439" s="194"/>
      <c r="U439" s="184"/>
      <c r="V439" s="184"/>
    </row>
    <row r="440">
      <c r="F440" s="19"/>
      <c r="H440" s="19"/>
      <c r="I440" s="194"/>
      <c r="L440" s="194"/>
      <c r="U440" s="184"/>
      <c r="V440" s="184"/>
    </row>
    <row r="441">
      <c r="F441" s="19"/>
      <c r="H441" s="19"/>
      <c r="I441" s="194"/>
      <c r="L441" s="194"/>
      <c r="U441" s="184"/>
      <c r="V441" s="184"/>
    </row>
    <row r="442">
      <c r="F442" s="19"/>
      <c r="H442" s="19"/>
      <c r="I442" s="194"/>
      <c r="L442" s="194"/>
      <c r="U442" s="184"/>
      <c r="V442" s="184"/>
    </row>
    <row r="443">
      <c r="F443" s="19"/>
      <c r="H443" s="19"/>
      <c r="I443" s="194"/>
      <c r="L443" s="194"/>
      <c r="U443" s="184"/>
      <c r="V443" s="184"/>
    </row>
    <row r="444">
      <c r="F444" s="19"/>
      <c r="H444" s="19"/>
      <c r="I444" s="194"/>
      <c r="L444" s="194"/>
      <c r="U444" s="184"/>
      <c r="V444" s="184"/>
    </row>
    <row r="445">
      <c r="F445" s="19"/>
      <c r="H445" s="19"/>
      <c r="I445" s="194"/>
      <c r="L445" s="194"/>
      <c r="U445" s="184"/>
      <c r="V445" s="184"/>
    </row>
    <row r="446">
      <c r="F446" s="19"/>
      <c r="H446" s="19"/>
      <c r="I446" s="194"/>
      <c r="L446" s="194"/>
      <c r="U446" s="184"/>
      <c r="V446" s="184"/>
    </row>
    <row r="447">
      <c r="F447" s="19"/>
      <c r="H447" s="19"/>
      <c r="I447" s="194"/>
      <c r="L447" s="194"/>
      <c r="U447" s="184"/>
      <c r="V447" s="184"/>
    </row>
    <row r="448">
      <c r="F448" s="19"/>
      <c r="H448" s="19"/>
      <c r="I448" s="194"/>
      <c r="L448" s="194"/>
      <c r="U448" s="184"/>
      <c r="V448" s="184"/>
    </row>
    <row r="449">
      <c r="F449" s="19"/>
      <c r="H449" s="19"/>
      <c r="I449" s="194"/>
      <c r="L449" s="194"/>
      <c r="U449" s="184"/>
      <c r="V449" s="184"/>
    </row>
    <row r="450">
      <c r="F450" s="19"/>
      <c r="H450" s="19"/>
      <c r="I450" s="194"/>
      <c r="L450" s="194"/>
      <c r="U450" s="184"/>
      <c r="V450" s="184"/>
    </row>
    <row r="451">
      <c r="F451" s="19"/>
      <c r="H451" s="19"/>
      <c r="I451" s="194"/>
      <c r="L451" s="194"/>
      <c r="U451" s="184"/>
      <c r="V451" s="184"/>
    </row>
    <row r="452">
      <c r="F452" s="19"/>
      <c r="H452" s="19"/>
      <c r="I452" s="194"/>
      <c r="L452" s="194"/>
      <c r="U452" s="184"/>
      <c r="V452" s="184"/>
    </row>
    <row r="453">
      <c r="F453" s="19"/>
      <c r="H453" s="19"/>
      <c r="I453" s="194"/>
      <c r="L453" s="194"/>
      <c r="U453" s="184"/>
      <c r="V453" s="184"/>
    </row>
    <row r="454">
      <c r="F454" s="19"/>
      <c r="H454" s="19"/>
      <c r="I454" s="194"/>
      <c r="L454" s="194"/>
      <c r="U454" s="184"/>
      <c r="V454" s="184"/>
    </row>
    <row r="455">
      <c r="F455" s="19"/>
      <c r="H455" s="19"/>
      <c r="I455" s="194"/>
      <c r="L455" s="194"/>
      <c r="U455" s="184"/>
      <c r="V455" s="184"/>
    </row>
    <row r="456">
      <c r="F456" s="19"/>
      <c r="H456" s="19"/>
      <c r="I456" s="194"/>
      <c r="L456" s="194"/>
      <c r="U456" s="184"/>
      <c r="V456" s="184"/>
    </row>
    <row r="457">
      <c r="F457" s="19"/>
      <c r="H457" s="19"/>
      <c r="I457" s="194"/>
      <c r="L457" s="194"/>
      <c r="U457" s="184"/>
      <c r="V457" s="184"/>
    </row>
    <row r="458">
      <c r="F458" s="19"/>
      <c r="H458" s="19"/>
      <c r="I458" s="194"/>
      <c r="L458" s="194"/>
      <c r="U458" s="184"/>
      <c r="V458" s="184"/>
    </row>
    <row r="459">
      <c r="F459" s="19"/>
      <c r="H459" s="19"/>
      <c r="I459" s="194"/>
      <c r="L459" s="194"/>
      <c r="U459" s="184"/>
      <c r="V459" s="184"/>
    </row>
    <row r="460">
      <c r="F460" s="19"/>
      <c r="H460" s="19"/>
      <c r="I460" s="194"/>
      <c r="L460" s="194"/>
      <c r="U460" s="184"/>
      <c r="V460" s="184"/>
    </row>
    <row r="461">
      <c r="F461" s="19"/>
      <c r="H461" s="19"/>
      <c r="I461" s="194"/>
      <c r="L461" s="194"/>
      <c r="U461" s="184"/>
      <c r="V461" s="184"/>
    </row>
    <row r="462">
      <c r="F462" s="19"/>
      <c r="H462" s="19"/>
      <c r="I462" s="194"/>
      <c r="L462" s="194"/>
      <c r="U462" s="184"/>
      <c r="V462" s="184"/>
    </row>
    <row r="463">
      <c r="F463" s="19"/>
      <c r="H463" s="19"/>
      <c r="I463" s="194"/>
      <c r="L463" s="194"/>
      <c r="U463" s="184"/>
      <c r="V463" s="184"/>
    </row>
    <row r="464">
      <c r="F464" s="19"/>
      <c r="H464" s="19"/>
      <c r="I464" s="194"/>
      <c r="L464" s="194"/>
      <c r="U464" s="184"/>
      <c r="V464" s="184"/>
    </row>
    <row r="465">
      <c r="F465" s="19"/>
      <c r="H465" s="19"/>
      <c r="I465" s="194"/>
      <c r="L465" s="194"/>
      <c r="U465" s="184"/>
      <c r="V465" s="184"/>
    </row>
    <row r="466">
      <c r="F466" s="19"/>
      <c r="H466" s="19"/>
      <c r="I466" s="194"/>
      <c r="L466" s="194"/>
      <c r="U466" s="184"/>
      <c r="V466" s="184"/>
    </row>
    <row r="467">
      <c r="F467" s="19"/>
      <c r="H467" s="19"/>
      <c r="I467" s="194"/>
      <c r="L467" s="194"/>
      <c r="U467" s="184"/>
      <c r="V467" s="184"/>
    </row>
    <row r="468">
      <c r="F468" s="19"/>
      <c r="H468" s="19"/>
      <c r="I468" s="194"/>
      <c r="L468" s="194"/>
      <c r="U468" s="184"/>
      <c r="V468" s="184"/>
    </row>
    <row r="469">
      <c r="F469" s="19"/>
      <c r="H469" s="19"/>
      <c r="I469" s="194"/>
      <c r="L469" s="194"/>
      <c r="U469" s="184"/>
      <c r="V469" s="184"/>
    </row>
    <row r="470">
      <c r="F470" s="19"/>
      <c r="H470" s="19"/>
      <c r="I470" s="194"/>
      <c r="L470" s="194"/>
      <c r="U470" s="184"/>
      <c r="V470" s="184"/>
    </row>
    <row r="471">
      <c r="F471" s="19"/>
      <c r="H471" s="19"/>
      <c r="I471" s="194"/>
      <c r="L471" s="194"/>
      <c r="U471" s="184"/>
      <c r="V471" s="184"/>
    </row>
    <row r="472">
      <c r="F472" s="19"/>
      <c r="H472" s="19"/>
      <c r="I472" s="194"/>
      <c r="L472" s="194"/>
      <c r="U472" s="184"/>
      <c r="V472" s="184"/>
    </row>
    <row r="473">
      <c r="F473" s="19"/>
      <c r="H473" s="19"/>
      <c r="I473" s="194"/>
      <c r="L473" s="194"/>
      <c r="U473" s="184"/>
      <c r="V473" s="184"/>
    </row>
    <row r="474">
      <c r="F474" s="19"/>
      <c r="H474" s="19"/>
      <c r="I474" s="194"/>
      <c r="L474" s="194"/>
      <c r="U474" s="184"/>
      <c r="V474" s="184"/>
    </row>
    <row r="475">
      <c r="F475" s="19"/>
      <c r="H475" s="19"/>
      <c r="I475" s="194"/>
      <c r="L475" s="194"/>
      <c r="U475" s="184"/>
      <c r="V475" s="184"/>
    </row>
    <row r="476">
      <c r="F476" s="19"/>
      <c r="H476" s="19"/>
      <c r="I476" s="194"/>
      <c r="L476" s="194"/>
      <c r="U476" s="184"/>
      <c r="V476" s="184"/>
    </row>
    <row r="477">
      <c r="F477" s="19"/>
      <c r="H477" s="19"/>
      <c r="I477" s="194"/>
      <c r="L477" s="194"/>
      <c r="U477" s="184"/>
      <c r="V477" s="184"/>
    </row>
    <row r="478">
      <c r="F478" s="19"/>
      <c r="H478" s="19"/>
      <c r="I478" s="194"/>
      <c r="L478" s="194"/>
      <c r="U478" s="184"/>
      <c r="V478" s="184"/>
    </row>
    <row r="479">
      <c r="F479" s="19"/>
      <c r="H479" s="19"/>
      <c r="I479" s="194"/>
      <c r="L479" s="194"/>
      <c r="U479" s="184"/>
      <c r="V479" s="184"/>
    </row>
    <row r="480">
      <c r="F480" s="19"/>
      <c r="H480" s="19"/>
      <c r="I480" s="194"/>
      <c r="L480" s="194"/>
      <c r="U480" s="184"/>
      <c r="V480" s="184"/>
    </row>
    <row r="481">
      <c r="F481" s="19"/>
      <c r="H481" s="19"/>
      <c r="I481" s="194"/>
      <c r="L481" s="194"/>
      <c r="U481" s="184"/>
      <c r="V481" s="184"/>
    </row>
    <row r="482">
      <c r="F482" s="19"/>
      <c r="H482" s="19"/>
      <c r="I482" s="194"/>
      <c r="L482" s="194"/>
      <c r="U482" s="184"/>
      <c r="V482" s="184"/>
    </row>
    <row r="483">
      <c r="F483" s="19"/>
      <c r="H483" s="19"/>
      <c r="I483" s="194"/>
      <c r="L483" s="194"/>
      <c r="U483" s="184"/>
      <c r="V483" s="184"/>
    </row>
    <row r="484">
      <c r="F484" s="19"/>
      <c r="H484" s="19"/>
      <c r="I484" s="194"/>
      <c r="L484" s="194"/>
      <c r="U484" s="184"/>
      <c r="V484" s="184"/>
    </row>
    <row r="485">
      <c r="F485" s="19"/>
      <c r="H485" s="19"/>
      <c r="I485" s="194"/>
      <c r="L485" s="194"/>
      <c r="U485" s="184"/>
      <c r="V485" s="184"/>
    </row>
    <row r="486">
      <c r="F486" s="19"/>
      <c r="H486" s="19"/>
      <c r="I486" s="194"/>
      <c r="L486" s="194"/>
      <c r="U486" s="184"/>
      <c r="V486" s="184"/>
    </row>
    <row r="487">
      <c r="F487" s="19"/>
      <c r="H487" s="19"/>
      <c r="I487" s="194"/>
      <c r="L487" s="194"/>
      <c r="U487" s="184"/>
      <c r="V487" s="184"/>
    </row>
    <row r="488">
      <c r="F488" s="19"/>
      <c r="H488" s="19"/>
      <c r="I488" s="194"/>
      <c r="L488" s="194"/>
      <c r="U488" s="184"/>
      <c r="V488" s="184"/>
    </row>
    <row r="489">
      <c r="F489" s="19"/>
      <c r="H489" s="19"/>
      <c r="I489" s="194"/>
      <c r="L489" s="194"/>
      <c r="U489" s="184"/>
      <c r="V489" s="184"/>
    </row>
    <row r="490">
      <c r="F490" s="19"/>
      <c r="H490" s="19"/>
      <c r="I490" s="194"/>
      <c r="L490" s="194"/>
      <c r="U490" s="184"/>
      <c r="V490" s="184"/>
    </row>
    <row r="491">
      <c r="F491" s="19"/>
      <c r="H491" s="19"/>
      <c r="I491" s="194"/>
      <c r="L491" s="194"/>
      <c r="U491" s="184"/>
      <c r="V491" s="184"/>
    </row>
    <row r="492">
      <c r="F492" s="19"/>
      <c r="H492" s="19"/>
      <c r="I492" s="194"/>
      <c r="L492" s="194"/>
      <c r="U492" s="184"/>
      <c r="V492" s="184"/>
    </row>
    <row r="493">
      <c r="F493" s="19"/>
      <c r="H493" s="19"/>
      <c r="I493" s="194"/>
      <c r="L493" s="194"/>
      <c r="U493" s="184"/>
      <c r="V493" s="184"/>
    </row>
    <row r="494">
      <c r="F494" s="19"/>
      <c r="H494" s="19"/>
      <c r="I494" s="194"/>
      <c r="L494" s="194"/>
      <c r="U494" s="184"/>
      <c r="V494" s="184"/>
    </row>
    <row r="495">
      <c r="F495" s="19"/>
      <c r="H495" s="19"/>
      <c r="I495" s="194"/>
      <c r="L495" s="194"/>
      <c r="U495" s="184"/>
      <c r="V495" s="184"/>
    </row>
    <row r="496">
      <c r="F496" s="19"/>
      <c r="H496" s="19"/>
      <c r="I496" s="194"/>
      <c r="L496" s="194"/>
      <c r="U496" s="184"/>
      <c r="V496" s="184"/>
    </row>
    <row r="497">
      <c r="F497" s="19"/>
      <c r="H497" s="19"/>
      <c r="I497" s="194"/>
      <c r="L497" s="194"/>
      <c r="U497" s="184"/>
      <c r="V497" s="184"/>
    </row>
    <row r="498">
      <c r="F498" s="19"/>
      <c r="H498" s="19"/>
      <c r="I498" s="194"/>
      <c r="L498" s="194"/>
      <c r="U498" s="184"/>
      <c r="V498" s="184"/>
    </row>
    <row r="499">
      <c r="F499" s="19"/>
      <c r="H499" s="19"/>
      <c r="I499" s="194"/>
      <c r="L499" s="194"/>
      <c r="U499" s="184"/>
      <c r="V499" s="184"/>
    </row>
    <row r="500">
      <c r="F500" s="19"/>
      <c r="H500" s="19"/>
      <c r="I500" s="194"/>
      <c r="L500" s="194"/>
      <c r="U500" s="184"/>
      <c r="V500" s="184"/>
    </row>
    <row r="501">
      <c r="F501" s="19"/>
      <c r="H501" s="19"/>
      <c r="I501" s="194"/>
      <c r="L501" s="194"/>
      <c r="U501" s="184"/>
      <c r="V501" s="184"/>
    </row>
    <row r="502">
      <c r="F502" s="19"/>
      <c r="H502" s="19"/>
      <c r="I502" s="194"/>
      <c r="L502" s="194"/>
      <c r="U502" s="184"/>
      <c r="V502" s="184"/>
    </row>
    <row r="503">
      <c r="F503" s="19"/>
      <c r="H503" s="19"/>
      <c r="I503" s="194"/>
      <c r="L503" s="194"/>
      <c r="U503" s="184"/>
      <c r="V503" s="184"/>
    </row>
    <row r="504">
      <c r="F504" s="19"/>
      <c r="H504" s="19"/>
      <c r="I504" s="194"/>
      <c r="L504" s="194"/>
      <c r="U504" s="184"/>
      <c r="V504" s="184"/>
    </row>
    <row r="505">
      <c r="F505" s="19"/>
      <c r="H505" s="19"/>
      <c r="I505" s="194"/>
      <c r="L505" s="194"/>
      <c r="U505" s="184"/>
      <c r="V505" s="184"/>
    </row>
    <row r="506">
      <c r="F506" s="19"/>
      <c r="H506" s="19"/>
      <c r="I506" s="194"/>
      <c r="L506" s="194"/>
      <c r="U506" s="184"/>
      <c r="V506" s="184"/>
    </row>
    <row r="507">
      <c r="F507" s="19"/>
      <c r="H507" s="19"/>
      <c r="I507" s="194"/>
      <c r="L507" s="194"/>
      <c r="U507" s="184"/>
      <c r="V507" s="184"/>
    </row>
    <row r="508">
      <c r="F508" s="19"/>
      <c r="H508" s="19"/>
      <c r="I508" s="194"/>
      <c r="L508" s="194"/>
      <c r="U508" s="184"/>
      <c r="V508" s="184"/>
    </row>
    <row r="509">
      <c r="F509" s="19"/>
      <c r="H509" s="19"/>
      <c r="I509" s="194"/>
      <c r="L509" s="194"/>
      <c r="U509" s="184"/>
      <c r="V509" s="184"/>
    </row>
    <row r="510">
      <c r="F510" s="19"/>
      <c r="H510" s="19"/>
      <c r="I510" s="194"/>
      <c r="L510" s="194"/>
      <c r="U510" s="184"/>
      <c r="V510" s="184"/>
    </row>
    <row r="511">
      <c r="F511" s="19"/>
      <c r="H511" s="19"/>
      <c r="I511" s="194"/>
      <c r="L511" s="194"/>
      <c r="U511" s="184"/>
      <c r="V511" s="184"/>
    </row>
    <row r="512">
      <c r="F512" s="19"/>
      <c r="H512" s="19"/>
      <c r="I512" s="194"/>
      <c r="L512" s="194"/>
      <c r="U512" s="184"/>
      <c r="V512" s="184"/>
    </row>
    <row r="513">
      <c r="F513" s="19"/>
      <c r="H513" s="19"/>
      <c r="I513" s="194"/>
      <c r="L513" s="194"/>
      <c r="U513" s="184"/>
      <c r="V513" s="184"/>
    </row>
    <row r="514">
      <c r="F514" s="19"/>
      <c r="H514" s="19"/>
      <c r="I514" s="194"/>
      <c r="L514" s="194"/>
      <c r="U514" s="184"/>
      <c r="V514" s="184"/>
    </row>
    <row r="515">
      <c r="F515" s="19"/>
      <c r="H515" s="19"/>
      <c r="I515" s="194"/>
      <c r="L515" s="194"/>
      <c r="U515" s="184"/>
      <c r="V515" s="184"/>
    </row>
    <row r="516">
      <c r="F516" s="19"/>
      <c r="H516" s="19"/>
      <c r="I516" s="194"/>
      <c r="L516" s="194"/>
      <c r="U516" s="184"/>
      <c r="V516" s="184"/>
    </row>
    <row r="517">
      <c r="F517" s="19"/>
      <c r="H517" s="19"/>
      <c r="I517" s="194"/>
      <c r="L517" s="194"/>
      <c r="U517" s="184"/>
      <c r="V517" s="184"/>
    </row>
    <row r="518">
      <c r="F518" s="19"/>
      <c r="H518" s="19"/>
      <c r="I518" s="194"/>
      <c r="L518" s="194"/>
      <c r="U518" s="184"/>
      <c r="V518" s="184"/>
    </row>
    <row r="519">
      <c r="F519" s="19"/>
      <c r="H519" s="19"/>
      <c r="I519" s="194"/>
      <c r="L519" s="194"/>
      <c r="U519" s="184"/>
      <c r="V519" s="184"/>
    </row>
    <row r="520">
      <c r="F520" s="19"/>
      <c r="H520" s="19"/>
      <c r="I520" s="194"/>
      <c r="L520" s="194"/>
      <c r="U520" s="184"/>
      <c r="V520" s="184"/>
    </row>
    <row r="521">
      <c r="F521" s="19"/>
      <c r="H521" s="19"/>
      <c r="I521" s="194"/>
      <c r="L521" s="194"/>
      <c r="U521" s="184"/>
      <c r="V521" s="184"/>
    </row>
    <row r="522">
      <c r="F522" s="19"/>
      <c r="H522" s="19"/>
      <c r="I522" s="194"/>
      <c r="L522" s="194"/>
      <c r="U522" s="184"/>
      <c r="V522" s="184"/>
    </row>
    <row r="523">
      <c r="F523" s="19"/>
      <c r="H523" s="19"/>
      <c r="I523" s="194"/>
      <c r="L523" s="194"/>
      <c r="U523" s="184"/>
      <c r="V523" s="184"/>
    </row>
    <row r="524">
      <c r="F524" s="19"/>
      <c r="H524" s="19"/>
      <c r="I524" s="194"/>
      <c r="L524" s="194"/>
      <c r="U524" s="184"/>
      <c r="V524" s="184"/>
    </row>
    <row r="525">
      <c r="F525" s="19"/>
      <c r="H525" s="19"/>
      <c r="I525" s="194"/>
      <c r="L525" s="194"/>
      <c r="U525" s="184"/>
      <c r="V525" s="184"/>
    </row>
    <row r="526">
      <c r="F526" s="19"/>
      <c r="H526" s="19"/>
      <c r="I526" s="194"/>
      <c r="L526" s="194"/>
      <c r="U526" s="184"/>
      <c r="V526" s="184"/>
    </row>
    <row r="527">
      <c r="F527" s="19"/>
      <c r="H527" s="19"/>
      <c r="I527" s="194"/>
      <c r="L527" s="194"/>
      <c r="U527" s="184"/>
      <c r="V527" s="184"/>
    </row>
    <row r="528">
      <c r="F528" s="19"/>
      <c r="H528" s="19"/>
      <c r="I528" s="194"/>
      <c r="L528" s="194"/>
      <c r="U528" s="184"/>
      <c r="V528" s="184"/>
    </row>
    <row r="529">
      <c r="F529" s="19"/>
      <c r="H529" s="19"/>
      <c r="I529" s="194"/>
      <c r="L529" s="194"/>
      <c r="U529" s="184"/>
      <c r="V529" s="184"/>
    </row>
    <row r="530">
      <c r="F530" s="19"/>
      <c r="H530" s="19"/>
      <c r="I530" s="194"/>
      <c r="L530" s="194"/>
      <c r="U530" s="184"/>
      <c r="V530" s="184"/>
    </row>
    <row r="531">
      <c r="F531" s="19"/>
      <c r="H531" s="19"/>
      <c r="I531" s="194"/>
      <c r="L531" s="194"/>
      <c r="U531" s="184"/>
      <c r="V531" s="184"/>
    </row>
    <row r="532">
      <c r="F532" s="19"/>
      <c r="H532" s="19"/>
      <c r="I532" s="194"/>
      <c r="L532" s="194"/>
      <c r="U532" s="184"/>
      <c r="V532" s="184"/>
    </row>
    <row r="533">
      <c r="F533" s="19"/>
      <c r="H533" s="19"/>
      <c r="I533" s="194"/>
      <c r="L533" s="194"/>
      <c r="U533" s="184"/>
      <c r="V533" s="184"/>
    </row>
    <row r="534">
      <c r="F534" s="19"/>
      <c r="H534" s="19"/>
      <c r="I534" s="194"/>
      <c r="L534" s="194"/>
      <c r="U534" s="184"/>
      <c r="V534" s="184"/>
    </row>
    <row r="535">
      <c r="F535" s="19"/>
      <c r="H535" s="19"/>
      <c r="I535" s="194"/>
      <c r="L535" s="194"/>
      <c r="U535" s="184"/>
      <c r="V535" s="184"/>
    </row>
    <row r="536">
      <c r="F536" s="19"/>
      <c r="H536" s="19"/>
      <c r="I536" s="194"/>
      <c r="L536" s="194"/>
      <c r="U536" s="184"/>
      <c r="V536" s="184"/>
    </row>
    <row r="537">
      <c r="F537" s="19"/>
      <c r="H537" s="19"/>
      <c r="I537" s="194"/>
      <c r="L537" s="194"/>
      <c r="U537" s="184"/>
      <c r="V537" s="184"/>
    </row>
    <row r="538">
      <c r="F538" s="19"/>
      <c r="H538" s="19"/>
      <c r="I538" s="194"/>
      <c r="L538" s="194"/>
      <c r="U538" s="184"/>
      <c r="V538" s="184"/>
    </row>
    <row r="539">
      <c r="F539" s="19"/>
      <c r="H539" s="19"/>
      <c r="I539" s="194"/>
      <c r="L539" s="194"/>
      <c r="U539" s="184"/>
      <c r="V539" s="184"/>
    </row>
    <row r="540">
      <c r="F540" s="19"/>
      <c r="H540" s="19"/>
      <c r="I540" s="194"/>
      <c r="L540" s="194"/>
      <c r="U540" s="184"/>
      <c r="V540" s="184"/>
    </row>
    <row r="541">
      <c r="F541" s="19"/>
      <c r="H541" s="19"/>
      <c r="I541" s="194"/>
      <c r="L541" s="194"/>
      <c r="U541" s="184"/>
      <c r="V541" s="184"/>
    </row>
    <row r="542">
      <c r="F542" s="19"/>
      <c r="H542" s="19"/>
      <c r="I542" s="194"/>
      <c r="L542" s="194"/>
      <c r="U542" s="184"/>
      <c r="V542" s="184"/>
    </row>
    <row r="543">
      <c r="F543" s="19"/>
      <c r="H543" s="19"/>
      <c r="I543" s="194"/>
      <c r="L543" s="194"/>
      <c r="U543" s="184"/>
      <c r="V543" s="184"/>
    </row>
    <row r="544">
      <c r="F544" s="19"/>
      <c r="H544" s="19"/>
      <c r="I544" s="194"/>
      <c r="L544" s="194"/>
      <c r="U544" s="184"/>
      <c r="V544" s="184"/>
    </row>
    <row r="545">
      <c r="F545" s="19"/>
      <c r="H545" s="19"/>
      <c r="I545" s="194"/>
      <c r="L545" s="194"/>
      <c r="U545" s="184"/>
      <c r="V545" s="184"/>
    </row>
    <row r="546">
      <c r="F546" s="19"/>
      <c r="H546" s="19"/>
      <c r="I546" s="194"/>
      <c r="L546" s="194"/>
      <c r="U546" s="184"/>
      <c r="V546" s="184"/>
    </row>
    <row r="547">
      <c r="F547" s="19"/>
      <c r="H547" s="19"/>
      <c r="I547" s="194"/>
      <c r="L547" s="194"/>
      <c r="U547" s="184"/>
      <c r="V547" s="184"/>
    </row>
    <row r="548">
      <c r="F548" s="19"/>
      <c r="H548" s="19"/>
      <c r="I548" s="194"/>
      <c r="L548" s="194"/>
      <c r="U548" s="184"/>
      <c r="V548" s="184"/>
    </row>
    <row r="549">
      <c r="F549" s="19"/>
      <c r="H549" s="19"/>
      <c r="I549" s="194"/>
      <c r="L549" s="194"/>
      <c r="U549" s="184"/>
      <c r="V549" s="184"/>
    </row>
    <row r="550">
      <c r="F550" s="19"/>
      <c r="H550" s="19"/>
      <c r="I550" s="194"/>
      <c r="L550" s="194"/>
      <c r="U550" s="184"/>
      <c r="V550" s="184"/>
    </row>
    <row r="551">
      <c r="F551" s="19"/>
      <c r="H551" s="19"/>
      <c r="I551" s="194"/>
      <c r="L551" s="194"/>
      <c r="U551" s="184"/>
      <c r="V551" s="184"/>
    </row>
    <row r="552">
      <c r="F552" s="19"/>
      <c r="H552" s="19"/>
      <c r="I552" s="194"/>
      <c r="L552" s="194"/>
      <c r="U552" s="184"/>
      <c r="V552" s="184"/>
    </row>
    <row r="553">
      <c r="F553" s="19"/>
      <c r="H553" s="19"/>
      <c r="I553" s="194"/>
      <c r="L553" s="194"/>
      <c r="U553" s="184"/>
      <c r="V553" s="184"/>
    </row>
    <row r="554">
      <c r="F554" s="19"/>
      <c r="H554" s="19"/>
      <c r="I554" s="194"/>
      <c r="L554" s="194"/>
      <c r="U554" s="184"/>
      <c r="V554" s="184"/>
    </row>
    <row r="555">
      <c r="F555" s="19"/>
      <c r="H555" s="19"/>
      <c r="I555" s="194"/>
      <c r="L555" s="194"/>
      <c r="U555" s="184"/>
      <c r="V555" s="184"/>
    </row>
    <row r="556">
      <c r="F556" s="19"/>
      <c r="H556" s="19"/>
      <c r="I556" s="194"/>
      <c r="L556" s="194"/>
      <c r="U556" s="184"/>
      <c r="V556" s="184"/>
    </row>
    <row r="557">
      <c r="F557" s="19"/>
      <c r="H557" s="19"/>
      <c r="I557" s="194"/>
      <c r="L557" s="194"/>
      <c r="U557" s="184"/>
      <c r="V557" s="184"/>
    </row>
    <row r="558">
      <c r="F558" s="19"/>
      <c r="H558" s="19"/>
      <c r="I558" s="194"/>
      <c r="L558" s="194"/>
      <c r="U558" s="184"/>
      <c r="V558" s="184"/>
    </row>
    <row r="559">
      <c r="F559" s="19"/>
      <c r="H559" s="19"/>
      <c r="I559" s="194"/>
      <c r="L559" s="194"/>
      <c r="U559" s="184"/>
      <c r="V559" s="184"/>
    </row>
    <row r="560">
      <c r="F560" s="19"/>
      <c r="H560" s="19"/>
      <c r="I560" s="194"/>
      <c r="L560" s="194"/>
      <c r="U560" s="184"/>
      <c r="V560" s="184"/>
    </row>
    <row r="561">
      <c r="F561" s="19"/>
      <c r="H561" s="19"/>
      <c r="I561" s="194"/>
      <c r="L561" s="194"/>
      <c r="U561" s="184"/>
      <c r="V561" s="184"/>
    </row>
    <row r="562">
      <c r="F562" s="19"/>
      <c r="H562" s="19"/>
      <c r="I562" s="194"/>
      <c r="L562" s="194"/>
      <c r="U562" s="184"/>
      <c r="V562" s="184"/>
    </row>
    <row r="563">
      <c r="F563" s="19"/>
      <c r="H563" s="19"/>
      <c r="I563" s="194"/>
      <c r="L563" s="194"/>
      <c r="U563" s="184"/>
      <c r="V563" s="184"/>
    </row>
    <row r="564">
      <c r="F564" s="19"/>
      <c r="H564" s="19"/>
      <c r="I564" s="194"/>
      <c r="L564" s="194"/>
      <c r="U564" s="184"/>
      <c r="V564" s="184"/>
    </row>
    <row r="565">
      <c r="F565" s="19"/>
      <c r="H565" s="19"/>
      <c r="I565" s="194"/>
      <c r="L565" s="194"/>
      <c r="U565" s="184"/>
      <c r="V565" s="184"/>
    </row>
    <row r="566">
      <c r="F566" s="19"/>
      <c r="H566" s="19"/>
      <c r="I566" s="194"/>
      <c r="L566" s="194"/>
      <c r="U566" s="184"/>
      <c r="V566" s="184"/>
    </row>
    <row r="567">
      <c r="F567" s="19"/>
      <c r="H567" s="19"/>
      <c r="I567" s="194"/>
      <c r="L567" s="194"/>
      <c r="U567" s="184"/>
      <c r="V567" s="184"/>
    </row>
    <row r="568">
      <c r="F568" s="19"/>
      <c r="H568" s="19"/>
      <c r="I568" s="194"/>
      <c r="L568" s="194"/>
      <c r="U568" s="184"/>
      <c r="V568" s="184"/>
    </row>
    <row r="569">
      <c r="F569" s="19"/>
      <c r="H569" s="19"/>
      <c r="I569" s="194"/>
      <c r="L569" s="194"/>
      <c r="U569" s="184"/>
      <c r="V569" s="184"/>
    </row>
    <row r="570">
      <c r="F570" s="19"/>
      <c r="H570" s="19"/>
      <c r="I570" s="194"/>
      <c r="L570" s="194"/>
      <c r="U570" s="184"/>
      <c r="V570" s="184"/>
    </row>
    <row r="571">
      <c r="F571" s="19"/>
      <c r="H571" s="19"/>
      <c r="I571" s="194"/>
      <c r="L571" s="194"/>
      <c r="U571" s="184"/>
      <c r="V571" s="184"/>
    </row>
    <row r="572">
      <c r="F572" s="19"/>
      <c r="H572" s="19"/>
      <c r="I572" s="194"/>
      <c r="L572" s="194"/>
      <c r="U572" s="184"/>
      <c r="V572" s="184"/>
    </row>
    <row r="573">
      <c r="F573" s="19"/>
      <c r="H573" s="19"/>
      <c r="I573" s="194"/>
      <c r="L573" s="194"/>
      <c r="U573" s="184"/>
      <c r="V573" s="184"/>
    </row>
    <row r="574">
      <c r="F574" s="19"/>
      <c r="H574" s="19"/>
      <c r="I574" s="194"/>
      <c r="L574" s="194"/>
      <c r="U574" s="184"/>
      <c r="V574" s="184"/>
    </row>
    <row r="575">
      <c r="F575" s="19"/>
      <c r="H575" s="19"/>
      <c r="I575" s="194"/>
      <c r="L575" s="194"/>
      <c r="U575" s="184"/>
      <c r="V575" s="184"/>
    </row>
    <row r="576">
      <c r="F576" s="19"/>
      <c r="H576" s="19"/>
      <c r="I576" s="194"/>
      <c r="L576" s="194"/>
      <c r="U576" s="184"/>
      <c r="V576" s="184"/>
    </row>
    <row r="577">
      <c r="F577" s="19"/>
      <c r="H577" s="19"/>
      <c r="I577" s="194"/>
      <c r="L577" s="194"/>
      <c r="U577" s="184"/>
      <c r="V577" s="184"/>
    </row>
    <row r="578">
      <c r="F578" s="19"/>
      <c r="H578" s="19"/>
      <c r="I578" s="194"/>
      <c r="L578" s="194"/>
      <c r="U578" s="184"/>
      <c r="V578" s="184"/>
    </row>
    <row r="579">
      <c r="F579" s="19"/>
      <c r="H579" s="19"/>
      <c r="I579" s="194"/>
      <c r="L579" s="194"/>
      <c r="U579" s="184"/>
      <c r="V579" s="184"/>
    </row>
    <row r="580">
      <c r="F580" s="19"/>
      <c r="H580" s="19"/>
      <c r="I580" s="194"/>
      <c r="L580" s="194"/>
      <c r="U580" s="184"/>
      <c r="V580" s="184"/>
    </row>
    <row r="581">
      <c r="F581" s="19"/>
      <c r="H581" s="19"/>
      <c r="I581" s="194"/>
      <c r="L581" s="194"/>
      <c r="U581" s="184"/>
      <c r="V581" s="184"/>
    </row>
    <row r="582">
      <c r="F582" s="19"/>
      <c r="H582" s="19"/>
      <c r="I582" s="194"/>
      <c r="L582" s="194"/>
      <c r="U582" s="184"/>
      <c r="V582" s="184"/>
    </row>
    <row r="583">
      <c r="F583" s="19"/>
      <c r="H583" s="19"/>
      <c r="I583" s="194"/>
      <c r="L583" s="194"/>
      <c r="U583" s="184"/>
      <c r="V583" s="184"/>
    </row>
    <row r="584">
      <c r="F584" s="19"/>
      <c r="H584" s="19"/>
      <c r="I584" s="194"/>
      <c r="L584" s="194"/>
      <c r="U584" s="184"/>
      <c r="V584" s="184"/>
    </row>
    <row r="585">
      <c r="F585" s="19"/>
      <c r="H585" s="19"/>
      <c r="I585" s="194"/>
      <c r="L585" s="194"/>
      <c r="U585" s="184"/>
      <c r="V585" s="184"/>
    </row>
    <row r="586">
      <c r="F586" s="19"/>
      <c r="H586" s="19"/>
      <c r="I586" s="194"/>
      <c r="L586" s="194"/>
      <c r="U586" s="184"/>
      <c r="V586" s="184"/>
    </row>
    <row r="587">
      <c r="F587" s="19"/>
      <c r="H587" s="19"/>
      <c r="I587" s="194"/>
      <c r="L587" s="194"/>
      <c r="U587" s="184"/>
      <c r="V587" s="184"/>
    </row>
    <row r="588">
      <c r="F588" s="19"/>
      <c r="H588" s="19"/>
      <c r="I588" s="194"/>
      <c r="L588" s="194"/>
      <c r="U588" s="184"/>
      <c r="V588" s="184"/>
    </row>
    <row r="589">
      <c r="F589" s="19"/>
      <c r="H589" s="19"/>
      <c r="I589" s="194"/>
      <c r="L589" s="194"/>
      <c r="U589" s="184"/>
      <c r="V589" s="184"/>
    </row>
    <row r="590">
      <c r="F590" s="19"/>
      <c r="H590" s="19"/>
      <c r="I590" s="194"/>
      <c r="L590" s="194"/>
      <c r="U590" s="184"/>
      <c r="V590" s="184"/>
    </row>
    <row r="591">
      <c r="F591" s="19"/>
      <c r="H591" s="19"/>
      <c r="I591" s="194"/>
      <c r="L591" s="194"/>
      <c r="U591" s="184"/>
      <c r="V591" s="184"/>
    </row>
    <row r="592">
      <c r="F592" s="19"/>
      <c r="H592" s="19"/>
      <c r="I592" s="194"/>
      <c r="L592" s="194"/>
      <c r="U592" s="184"/>
      <c r="V592" s="184"/>
    </row>
    <row r="593">
      <c r="F593" s="19"/>
      <c r="H593" s="19"/>
      <c r="I593" s="194"/>
      <c r="L593" s="194"/>
      <c r="U593" s="184"/>
      <c r="V593" s="184"/>
    </row>
    <row r="594">
      <c r="F594" s="19"/>
      <c r="H594" s="19"/>
      <c r="I594" s="194"/>
      <c r="L594" s="194"/>
      <c r="U594" s="184"/>
      <c r="V594" s="184"/>
    </row>
    <row r="595">
      <c r="F595" s="19"/>
      <c r="H595" s="19"/>
      <c r="I595" s="194"/>
      <c r="L595" s="194"/>
      <c r="U595" s="184"/>
      <c r="V595" s="184"/>
    </row>
    <row r="596">
      <c r="F596" s="19"/>
      <c r="H596" s="19"/>
      <c r="I596" s="194"/>
      <c r="L596" s="194"/>
      <c r="U596" s="184"/>
      <c r="V596" s="184"/>
    </row>
    <row r="597">
      <c r="F597" s="19"/>
      <c r="H597" s="19"/>
      <c r="I597" s="194"/>
      <c r="L597" s="194"/>
      <c r="U597" s="184"/>
      <c r="V597" s="184"/>
    </row>
    <row r="598">
      <c r="F598" s="19"/>
      <c r="H598" s="19"/>
      <c r="I598" s="194"/>
      <c r="L598" s="194"/>
      <c r="U598" s="184"/>
      <c r="V598" s="184"/>
    </row>
    <row r="599">
      <c r="F599" s="19"/>
      <c r="H599" s="19"/>
      <c r="I599" s="194"/>
      <c r="L599" s="194"/>
      <c r="U599" s="184"/>
      <c r="V599" s="184"/>
    </row>
    <row r="600">
      <c r="F600" s="19"/>
      <c r="H600" s="19"/>
      <c r="I600" s="194"/>
      <c r="L600" s="194"/>
      <c r="U600" s="184"/>
      <c r="V600" s="184"/>
    </row>
    <row r="601">
      <c r="F601" s="19"/>
      <c r="H601" s="19"/>
      <c r="I601" s="194"/>
      <c r="L601" s="194"/>
      <c r="U601" s="184"/>
      <c r="V601" s="184"/>
    </row>
    <row r="602">
      <c r="F602" s="19"/>
      <c r="H602" s="19"/>
      <c r="I602" s="194"/>
      <c r="L602" s="194"/>
      <c r="U602" s="184"/>
      <c r="V602" s="184"/>
    </row>
    <row r="603">
      <c r="F603" s="19"/>
      <c r="H603" s="19"/>
      <c r="I603" s="194"/>
      <c r="L603" s="194"/>
      <c r="U603" s="184"/>
      <c r="V603" s="184"/>
    </row>
    <row r="604">
      <c r="F604" s="19"/>
      <c r="H604" s="19"/>
      <c r="I604" s="194"/>
      <c r="L604" s="194"/>
      <c r="U604" s="184"/>
      <c r="V604" s="184"/>
    </row>
    <row r="605">
      <c r="F605" s="19"/>
      <c r="H605" s="19"/>
      <c r="I605" s="194"/>
      <c r="L605" s="194"/>
      <c r="U605" s="184"/>
      <c r="V605" s="184"/>
    </row>
    <row r="606">
      <c r="F606" s="19"/>
      <c r="H606" s="19"/>
      <c r="I606" s="194"/>
      <c r="L606" s="194"/>
      <c r="U606" s="184"/>
      <c r="V606" s="184"/>
    </row>
    <row r="607">
      <c r="F607" s="19"/>
      <c r="H607" s="19"/>
      <c r="I607" s="194"/>
      <c r="L607" s="194"/>
      <c r="U607" s="184"/>
      <c r="V607" s="184"/>
    </row>
    <row r="608">
      <c r="F608" s="19"/>
      <c r="H608" s="19"/>
      <c r="I608" s="194"/>
      <c r="L608" s="194"/>
      <c r="U608" s="184"/>
      <c r="V608" s="184"/>
    </row>
    <row r="609">
      <c r="F609" s="19"/>
      <c r="H609" s="19"/>
      <c r="I609" s="194"/>
      <c r="L609" s="194"/>
      <c r="U609" s="184"/>
      <c r="V609" s="184"/>
    </row>
    <row r="610">
      <c r="F610" s="19"/>
      <c r="H610" s="19"/>
      <c r="I610" s="194"/>
      <c r="L610" s="194"/>
      <c r="U610" s="184"/>
      <c r="V610" s="184"/>
    </row>
    <row r="611">
      <c r="F611" s="19"/>
      <c r="H611" s="19"/>
      <c r="I611" s="194"/>
      <c r="L611" s="194"/>
      <c r="U611" s="184"/>
      <c r="V611" s="184"/>
    </row>
    <row r="612">
      <c r="F612" s="19"/>
      <c r="H612" s="19"/>
      <c r="I612" s="194"/>
      <c r="L612" s="194"/>
      <c r="U612" s="184"/>
      <c r="V612" s="184"/>
    </row>
    <row r="613">
      <c r="F613" s="19"/>
      <c r="H613" s="19"/>
      <c r="I613" s="194"/>
      <c r="L613" s="194"/>
      <c r="U613" s="184"/>
      <c r="V613" s="184"/>
    </row>
    <row r="614">
      <c r="F614" s="19"/>
      <c r="H614" s="19"/>
      <c r="I614" s="194"/>
      <c r="L614" s="194"/>
      <c r="U614" s="184"/>
      <c r="V614" s="184"/>
    </row>
    <row r="615">
      <c r="F615" s="19"/>
      <c r="H615" s="19"/>
      <c r="I615" s="194"/>
      <c r="L615" s="194"/>
      <c r="U615" s="184"/>
      <c r="V615" s="184"/>
    </row>
    <row r="616">
      <c r="F616" s="19"/>
      <c r="H616" s="19"/>
      <c r="I616" s="194"/>
      <c r="L616" s="194"/>
      <c r="U616" s="184"/>
      <c r="V616" s="184"/>
    </row>
    <row r="617">
      <c r="F617" s="19"/>
      <c r="H617" s="19"/>
      <c r="I617" s="194"/>
      <c r="L617" s="194"/>
      <c r="U617" s="184"/>
      <c r="V617" s="184"/>
    </row>
    <row r="618">
      <c r="F618" s="19"/>
      <c r="H618" s="19"/>
      <c r="I618" s="194"/>
      <c r="L618" s="194"/>
      <c r="U618" s="184"/>
      <c r="V618" s="184"/>
    </row>
    <row r="619">
      <c r="F619" s="19"/>
      <c r="H619" s="19"/>
      <c r="I619" s="194"/>
      <c r="L619" s="194"/>
      <c r="U619" s="184"/>
      <c r="V619" s="184"/>
    </row>
    <row r="620">
      <c r="F620" s="19"/>
      <c r="H620" s="19"/>
      <c r="I620" s="194"/>
      <c r="L620" s="194"/>
      <c r="U620" s="184"/>
      <c r="V620" s="184"/>
    </row>
    <row r="621">
      <c r="F621" s="19"/>
      <c r="H621" s="19"/>
      <c r="I621" s="194"/>
      <c r="L621" s="194"/>
      <c r="U621" s="184"/>
      <c r="V621" s="184"/>
    </row>
    <row r="622">
      <c r="F622" s="19"/>
      <c r="H622" s="19"/>
      <c r="I622" s="194"/>
      <c r="L622" s="194"/>
      <c r="U622" s="184"/>
      <c r="V622" s="184"/>
    </row>
    <row r="623">
      <c r="F623" s="19"/>
      <c r="H623" s="19"/>
      <c r="I623" s="194"/>
      <c r="L623" s="194"/>
      <c r="U623" s="184"/>
      <c r="V623" s="184"/>
    </row>
    <row r="624">
      <c r="F624" s="19"/>
      <c r="H624" s="19"/>
      <c r="I624" s="194"/>
      <c r="L624" s="194"/>
      <c r="U624" s="184"/>
      <c r="V624" s="184"/>
    </row>
    <row r="625">
      <c r="F625" s="19"/>
      <c r="H625" s="19"/>
      <c r="I625" s="194"/>
      <c r="L625" s="194"/>
      <c r="U625" s="184"/>
      <c r="V625" s="184"/>
    </row>
    <row r="626">
      <c r="F626" s="19"/>
      <c r="H626" s="19"/>
      <c r="I626" s="194"/>
      <c r="L626" s="194"/>
      <c r="U626" s="184"/>
      <c r="V626" s="184"/>
    </row>
    <row r="627">
      <c r="F627" s="19"/>
      <c r="H627" s="19"/>
      <c r="I627" s="194"/>
      <c r="L627" s="194"/>
      <c r="U627" s="184"/>
      <c r="V627" s="184"/>
    </row>
    <row r="628">
      <c r="F628" s="19"/>
      <c r="H628" s="19"/>
      <c r="I628" s="194"/>
      <c r="L628" s="194"/>
      <c r="U628" s="184"/>
      <c r="V628" s="184"/>
    </row>
    <row r="629">
      <c r="F629" s="19"/>
      <c r="H629" s="19"/>
      <c r="I629" s="194"/>
      <c r="L629" s="194"/>
      <c r="U629" s="184"/>
      <c r="V629" s="184"/>
    </row>
    <row r="630">
      <c r="F630" s="19"/>
      <c r="H630" s="19"/>
      <c r="I630" s="194"/>
      <c r="L630" s="194"/>
      <c r="U630" s="184"/>
      <c r="V630" s="184"/>
    </row>
    <row r="631">
      <c r="F631" s="19"/>
      <c r="H631" s="19"/>
      <c r="I631" s="194"/>
      <c r="L631" s="194"/>
      <c r="U631" s="184"/>
      <c r="V631" s="184"/>
    </row>
    <row r="632">
      <c r="F632" s="19"/>
      <c r="H632" s="19"/>
      <c r="I632" s="194"/>
      <c r="L632" s="194"/>
      <c r="U632" s="184"/>
      <c r="V632" s="184"/>
    </row>
    <row r="633">
      <c r="F633" s="19"/>
      <c r="H633" s="19"/>
      <c r="I633" s="194"/>
      <c r="L633" s="194"/>
      <c r="U633" s="184"/>
      <c r="V633" s="184"/>
    </row>
    <row r="634">
      <c r="F634" s="19"/>
      <c r="H634" s="19"/>
      <c r="I634" s="194"/>
      <c r="L634" s="194"/>
      <c r="U634" s="184"/>
      <c r="V634" s="184"/>
    </row>
    <row r="635">
      <c r="F635" s="19"/>
      <c r="H635" s="19"/>
      <c r="I635" s="194"/>
      <c r="L635" s="194"/>
      <c r="U635" s="184"/>
      <c r="V635" s="184"/>
    </row>
    <row r="636">
      <c r="F636" s="19"/>
      <c r="H636" s="19"/>
      <c r="I636" s="194"/>
      <c r="L636" s="194"/>
      <c r="U636" s="184"/>
      <c r="V636" s="184"/>
    </row>
    <row r="637">
      <c r="F637" s="19"/>
      <c r="H637" s="19"/>
      <c r="I637" s="194"/>
      <c r="L637" s="194"/>
      <c r="U637" s="184"/>
      <c r="V637" s="184"/>
    </row>
    <row r="638">
      <c r="F638" s="19"/>
      <c r="H638" s="19"/>
      <c r="I638" s="194"/>
      <c r="L638" s="194"/>
      <c r="U638" s="184"/>
      <c r="V638" s="184"/>
    </row>
    <row r="639">
      <c r="F639" s="19"/>
      <c r="H639" s="19"/>
      <c r="I639" s="194"/>
      <c r="L639" s="194"/>
      <c r="U639" s="184"/>
      <c r="V639" s="184"/>
    </row>
    <row r="640">
      <c r="F640" s="19"/>
      <c r="H640" s="19"/>
      <c r="I640" s="194"/>
      <c r="L640" s="194"/>
      <c r="U640" s="184"/>
      <c r="V640" s="184"/>
    </row>
    <row r="641">
      <c r="F641" s="19"/>
      <c r="H641" s="19"/>
      <c r="I641" s="194"/>
      <c r="L641" s="194"/>
      <c r="U641" s="184"/>
      <c r="V641" s="184"/>
    </row>
    <row r="642">
      <c r="F642" s="19"/>
      <c r="H642" s="19"/>
      <c r="I642" s="194"/>
      <c r="L642" s="194"/>
      <c r="U642" s="184"/>
      <c r="V642" s="184"/>
    </row>
    <row r="643">
      <c r="F643" s="19"/>
      <c r="H643" s="19"/>
      <c r="I643" s="194"/>
      <c r="L643" s="194"/>
      <c r="U643" s="184"/>
      <c r="V643" s="184"/>
    </row>
    <row r="644">
      <c r="F644" s="19"/>
      <c r="H644" s="19"/>
      <c r="I644" s="194"/>
      <c r="L644" s="194"/>
      <c r="U644" s="184"/>
      <c r="V644" s="184"/>
    </row>
    <row r="645">
      <c r="F645" s="19"/>
      <c r="H645" s="19"/>
      <c r="I645" s="194"/>
      <c r="L645" s="194"/>
      <c r="U645" s="184"/>
      <c r="V645" s="184"/>
    </row>
    <row r="646">
      <c r="F646" s="19"/>
      <c r="H646" s="19"/>
      <c r="I646" s="194"/>
      <c r="L646" s="194"/>
      <c r="U646" s="184"/>
      <c r="V646" s="184"/>
    </row>
    <row r="647">
      <c r="F647" s="19"/>
      <c r="H647" s="19"/>
      <c r="I647" s="194"/>
      <c r="L647" s="194"/>
      <c r="U647" s="184"/>
      <c r="V647" s="184"/>
    </row>
    <row r="648">
      <c r="F648" s="19"/>
      <c r="H648" s="19"/>
      <c r="I648" s="194"/>
      <c r="L648" s="194"/>
      <c r="U648" s="184"/>
      <c r="V648" s="184"/>
    </row>
    <row r="649">
      <c r="F649" s="19"/>
      <c r="H649" s="19"/>
      <c r="I649" s="194"/>
      <c r="L649" s="194"/>
      <c r="U649" s="184"/>
      <c r="V649" s="184"/>
    </row>
    <row r="650">
      <c r="F650" s="19"/>
      <c r="H650" s="19"/>
      <c r="I650" s="194"/>
      <c r="L650" s="194"/>
      <c r="U650" s="184"/>
      <c r="V650" s="184"/>
    </row>
    <row r="651">
      <c r="F651" s="19"/>
      <c r="H651" s="19"/>
      <c r="I651" s="194"/>
      <c r="L651" s="194"/>
      <c r="U651" s="184"/>
      <c r="V651" s="184"/>
    </row>
    <row r="652">
      <c r="F652" s="19"/>
      <c r="H652" s="19"/>
      <c r="I652" s="194"/>
      <c r="L652" s="194"/>
      <c r="U652" s="184"/>
      <c r="V652" s="184"/>
    </row>
    <row r="653">
      <c r="F653" s="19"/>
      <c r="H653" s="19"/>
      <c r="I653" s="194"/>
      <c r="L653" s="194"/>
      <c r="U653" s="184"/>
      <c r="V653" s="184"/>
    </row>
    <row r="654">
      <c r="F654" s="19"/>
      <c r="H654" s="19"/>
      <c r="I654" s="194"/>
      <c r="L654" s="194"/>
      <c r="U654" s="184"/>
      <c r="V654" s="184"/>
    </row>
    <row r="655">
      <c r="F655" s="19"/>
      <c r="H655" s="19"/>
      <c r="I655" s="194"/>
      <c r="L655" s="194"/>
      <c r="U655" s="184"/>
      <c r="V655" s="184"/>
    </row>
    <row r="656">
      <c r="F656" s="19"/>
      <c r="H656" s="19"/>
      <c r="I656" s="194"/>
      <c r="L656" s="194"/>
      <c r="U656" s="184"/>
      <c r="V656" s="184"/>
    </row>
    <row r="657">
      <c r="F657" s="19"/>
      <c r="H657" s="19"/>
      <c r="I657" s="194"/>
      <c r="L657" s="194"/>
      <c r="U657" s="184"/>
      <c r="V657" s="184"/>
    </row>
    <row r="658">
      <c r="F658" s="19"/>
      <c r="H658" s="19"/>
      <c r="I658" s="194"/>
      <c r="L658" s="194"/>
      <c r="U658" s="184"/>
      <c r="V658" s="184"/>
    </row>
    <row r="659">
      <c r="F659" s="19"/>
      <c r="H659" s="19"/>
      <c r="I659" s="194"/>
      <c r="L659" s="194"/>
      <c r="U659" s="184"/>
      <c r="V659" s="184"/>
    </row>
    <row r="660">
      <c r="F660" s="19"/>
      <c r="H660" s="19"/>
      <c r="I660" s="194"/>
      <c r="L660" s="194"/>
      <c r="U660" s="184"/>
      <c r="V660" s="184"/>
    </row>
    <row r="661">
      <c r="F661" s="19"/>
      <c r="H661" s="19"/>
      <c r="I661" s="194"/>
      <c r="L661" s="194"/>
      <c r="U661" s="184"/>
      <c r="V661" s="184"/>
    </row>
    <row r="662">
      <c r="F662" s="19"/>
      <c r="H662" s="19"/>
      <c r="I662" s="194"/>
      <c r="L662" s="194"/>
      <c r="U662" s="184"/>
      <c r="V662" s="184"/>
    </row>
    <row r="663">
      <c r="F663" s="19"/>
      <c r="H663" s="19"/>
      <c r="I663" s="194"/>
      <c r="L663" s="194"/>
      <c r="U663" s="184"/>
      <c r="V663" s="184"/>
    </row>
    <row r="664">
      <c r="F664" s="19"/>
      <c r="H664" s="19"/>
      <c r="I664" s="194"/>
      <c r="L664" s="194"/>
      <c r="U664" s="184"/>
      <c r="V664" s="184"/>
    </row>
    <row r="665">
      <c r="F665" s="19"/>
      <c r="H665" s="19"/>
      <c r="I665" s="194"/>
      <c r="L665" s="194"/>
      <c r="U665" s="184"/>
      <c r="V665" s="184"/>
    </row>
    <row r="666">
      <c r="F666" s="19"/>
      <c r="H666" s="19"/>
      <c r="I666" s="194"/>
      <c r="L666" s="194"/>
      <c r="U666" s="184"/>
      <c r="V666" s="184"/>
    </row>
    <row r="667">
      <c r="F667" s="19"/>
      <c r="H667" s="19"/>
      <c r="I667" s="194"/>
      <c r="L667" s="194"/>
      <c r="U667" s="184"/>
      <c r="V667" s="184"/>
    </row>
    <row r="668">
      <c r="F668" s="19"/>
      <c r="H668" s="19"/>
      <c r="I668" s="194"/>
      <c r="L668" s="194"/>
      <c r="U668" s="184"/>
      <c r="V668" s="184"/>
    </row>
    <row r="669">
      <c r="F669" s="19"/>
      <c r="H669" s="19"/>
      <c r="I669" s="194"/>
      <c r="L669" s="194"/>
      <c r="U669" s="184"/>
      <c r="V669" s="184"/>
    </row>
    <row r="670">
      <c r="F670" s="19"/>
      <c r="H670" s="19"/>
      <c r="I670" s="194"/>
      <c r="L670" s="194"/>
      <c r="U670" s="184"/>
      <c r="V670" s="184"/>
    </row>
    <row r="671">
      <c r="F671" s="19"/>
      <c r="H671" s="19"/>
      <c r="I671" s="194"/>
      <c r="L671" s="194"/>
      <c r="U671" s="184"/>
      <c r="V671" s="184"/>
    </row>
    <row r="672">
      <c r="F672" s="19"/>
      <c r="H672" s="19"/>
      <c r="I672" s="194"/>
      <c r="L672" s="194"/>
      <c r="U672" s="184"/>
      <c r="V672" s="184"/>
    </row>
    <row r="673">
      <c r="F673" s="19"/>
      <c r="H673" s="19"/>
      <c r="I673" s="194"/>
      <c r="L673" s="194"/>
      <c r="U673" s="184"/>
      <c r="V673" s="184"/>
    </row>
    <row r="674">
      <c r="F674" s="19"/>
      <c r="H674" s="19"/>
      <c r="I674" s="194"/>
      <c r="L674" s="194"/>
      <c r="U674" s="184"/>
      <c r="V674" s="184"/>
    </row>
    <row r="675">
      <c r="F675" s="19"/>
      <c r="H675" s="19"/>
      <c r="I675" s="194"/>
      <c r="L675" s="194"/>
      <c r="U675" s="184"/>
      <c r="V675" s="184"/>
    </row>
    <row r="676">
      <c r="F676" s="19"/>
      <c r="H676" s="19"/>
      <c r="I676" s="194"/>
      <c r="L676" s="194"/>
      <c r="U676" s="184"/>
      <c r="V676" s="184"/>
    </row>
    <row r="677">
      <c r="F677" s="19"/>
      <c r="H677" s="19"/>
      <c r="I677" s="194"/>
      <c r="L677" s="194"/>
      <c r="U677" s="184"/>
      <c r="V677" s="184"/>
    </row>
    <row r="678">
      <c r="F678" s="19"/>
      <c r="H678" s="19"/>
      <c r="I678" s="194"/>
      <c r="L678" s="194"/>
      <c r="U678" s="184"/>
      <c r="V678" s="184"/>
    </row>
    <row r="679">
      <c r="F679" s="19"/>
      <c r="H679" s="19"/>
      <c r="I679" s="194"/>
      <c r="L679" s="194"/>
      <c r="U679" s="184"/>
      <c r="V679" s="184"/>
    </row>
    <row r="680">
      <c r="F680" s="19"/>
      <c r="H680" s="19"/>
      <c r="I680" s="194"/>
      <c r="L680" s="194"/>
      <c r="U680" s="184"/>
      <c r="V680" s="184"/>
    </row>
    <row r="681">
      <c r="F681" s="19"/>
      <c r="H681" s="19"/>
      <c r="I681" s="194"/>
      <c r="L681" s="194"/>
      <c r="U681" s="184"/>
      <c r="V681" s="184"/>
    </row>
    <row r="682">
      <c r="F682" s="19"/>
      <c r="H682" s="19"/>
      <c r="I682" s="194"/>
      <c r="L682" s="194"/>
      <c r="U682" s="184"/>
      <c r="V682" s="184"/>
    </row>
    <row r="683">
      <c r="F683" s="19"/>
      <c r="H683" s="19"/>
      <c r="I683" s="194"/>
      <c r="L683" s="194"/>
      <c r="U683" s="184"/>
      <c r="V683" s="184"/>
    </row>
    <row r="684">
      <c r="F684" s="19"/>
      <c r="H684" s="19"/>
      <c r="I684" s="194"/>
      <c r="L684" s="194"/>
      <c r="U684" s="184"/>
      <c r="V684" s="184"/>
    </row>
    <row r="685">
      <c r="F685" s="19"/>
      <c r="H685" s="19"/>
      <c r="I685" s="194"/>
      <c r="L685" s="194"/>
      <c r="U685" s="184"/>
      <c r="V685" s="184"/>
    </row>
    <row r="686">
      <c r="F686" s="19"/>
      <c r="H686" s="19"/>
      <c r="I686" s="194"/>
      <c r="L686" s="194"/>
      <c r="U686" s="184"/>
      <c r="V686" s="184"/>
    </row>
    <row r="687">
      <c r="F687" s="19"/>
      <c r="H687" s="19"/>
      <c r="I687" s="194"/>
      <c r="L687" s="194"/>
      <c r="U687" s="184"/>
      <c r="V687" s="184"/>
    </row>
    <row r="688">
      <c r="F688" s="19"/>
      <c r="H688" s="19"/>
      <c r="I688" s="194"/>
      <c r="L688" s="194"/>
      <c r="U688" s="184"/>
      <c r="V688" s="184"/>
    </row>
    <row r="689">
      <c r="F689" s="19"/>
      <c r="H689" s="19"/>
      <c r="I689" s="194"/>
      <c r="L689" s="194"/>
      <c r="U689" s="184"/>
      <c r="V689" s="184"/>
    </row>
    <row r="690">
      <c r="F690" s="19"/>
      <c r="H690" s="19"/>
      <c r="I690" s="194"/>
      <c r="L690" s="194"/>
      <c r="U690" s="184"/>
      <c r="V690" s="184"/>
    </row>
    <row r="691">
      <c r="F691" s="19"/>
      <c r="H691" s="19"/>
      <c r="I691" s="194"/>
      <c r="L691" s="194"/>
      <c r="U691" s="184"/>
      <c r="V691" s="184"/>
    </row>
    <row r="692">
      <c r="F692" s="19"/>
      <c r="H692" s="19"/>
      <c r="I692" s="194"/>
      <c r="L692" s="194"/>
      <c r="U692" s="184"/>
      <c r="V692" s="184"/>
    </row>
    <row r="693">
      <c r="F693" s="19"/>
      <c r="H693" s="19"/>
      <c r="I693" s="194"/>
      <c r="L693" s="194"/>
      <c r="U693" s="184"/>
      <c r="V693" s="184"/>
    </row>
    <row r="694">
      <c r="F694" s="19"/>
      <c r="H694" s="19"/>
      <c r="I694" s="194"/>
      <c r="L694" s="194"/>
      <c r="U694" s="184"/>
      <c r="V694" s="184"/>
    </row>
    <row r="695">
      <c r="F695" s="19"/>
      <c r="H695" s="19"/>
      <c r="I695" s="194"/>
      <c r="L695" s="194"/>
      <c r="U695" s="184"/>
      <c r="V695" s="184"/>
    </row>
    <row r="696">
      <c r="F696" s="19"/>
      <c r="H696" s="19"/>
      <c r="I696" s="194"/>
      <c r="L696" s="194"/>
      <c r="U696" s="184"/>
      <c r="V696" s="184"/>
    </row>
    <row r="697">
      <c r="F697" s="19"/>
      <c r="H697" s="19"/>
      <c r="I697" s="194"/>
      <c r="L697" s="194"/>
      <c r="U697" s="184"/>
      <c r="V697" s="184"/>
    </row>
    <row r="698">
      <c r="F698" s="19"/>
      <c r="H698" s="19"/>
      <c r="I698" s="194"/>
      <c r="L698" s="194"/>
      <c r="U698" s="184"/>
      <c r="V698" s="184"/>
    </row>
    <row r="699">
      <c r="F699" s="19"/>
      <c r="H699" s="19"/>
      <c r="I699" s="194"/>
      <c r="L699" s="194"/>
      <c r="U699" s="184"/>
      <c r="V699" s="184"/>
    </row>
    <row r="700">
      <c r="F700" s="19"/>
      <c r="H700" s="19"/>
      <c r="I700" s="194"/>
      <c r="L700" s="194"/>
      <c r="U700" s="184"/>
      <c r="V700" s="184"/>
    </row>
    <row r="701">
      <c r="F701" s="19"/>
      <c r="H701" s="19"/>
      <c r="I701" s="194"/>
      <c r="L701" s="194"/>
      <c r="U701" s="184"/>
      <c r="V701" s="184"/>
    </row>
    <row r="702">
      <c r="F702" s="19"/>
      <c r="H702" s="19"/>
      <c r="I702" s="194"/>
      <c r="L702" s="194"/>
      <c r="U702" s="184"/>
      <c r="V702" s="184"/>
    </row>
    <row r="703">
      <c r="F703" s="19"/>
      <c r="H703" s="19"/>
      <c r="I703" s="194"/>
      <c r="L703" s="194"/>
      <c r="U703" s="184"/>
      <c r="V703" s="184"/>
    </row>
    <row r="704">
      <c r="F704" s="19"/>
      <c r="H704" s="19"/>
      <c r="I704" s="194"/>
      <c r="L704" s="194"/>
      <c r="U704" s="184"/>
      <c r="V704" s="184"/>
    </row>
    <row r="705">
      <c r="F705" s="19"/>
      <c r="H705" s="19"/>
      <c r="I705" s="194"/>
      <c r="L705" s="194"/>
      <c r="U705" s="184"/>
      <c r="V705" s="184"/>
    </row>
    <row r="706">
      <c r="F706" s="19"/>
      <c r="H706" s="19"/>
      <c r="I706" s="194"/>
      <c r="L706" s="194"/>
      <c r="U706" s="184"/>
      <c r="V706" s="184"/>
    </row>
    <row r="707">
      <c r="F707" s="19"/>
      <c r="H707" s="19"/>
      <c r="I707" s="194"/>
      <c r="L707" s="194"/>
      <c r="U707" s="184"/>
      <c r="V707" s="184"/>
    </row>
    <row r="708">
      <c r="F708" s="19"/>
      <c r="H708" s="19"/>
      <c r="I708" s="194"/>
      <c r="L708" s="194"/>
      <c r="U708" s="184"/>
      <c r="V708" s="184"/>
    </row>
    <row r="709">
      <c r="F709" s="19"/>
      <c r="H709" s="19"/>
      <c r="I709" s="194"/>
      <c r="L709" s="194"/>
      <c r="U709" s="184"/>
      <c r="V709" s="184"/>
    </row>
    <row r="710">
      <c r="F710" s="19"/>
      <c r="H710" s="19"/>
      <c r="I710" s="194"/>
      <c r="L710" s="194"/>
      <c r="U710" s="184"/>
      <c r="V710" s="184"/>
    </row>
    <row r="711">
      <c r="F711" s="19"/>
      <c r="H711" s="19"/>
      <c r="I711" s="194"/>
      <c r="L711" s="194"/>
      <c r="U711" s="184"/>
      <c r="V711" s="184"/>
    </row>
    <row r="712">
      <c r="F712" s="19"/>
      <c r="H712" s="19"/>
      <c r="I712" s="194"/>
      <c r="L712" s="194"/>
      <c r="U712" s="184"/>
      <c r="V712" s="184"/>
    </row>
    <row r="713">
      <c r="F713" s="19"/>
      <c r="H713" s="19"/>
      <c r="I713" s="194"/>
      <c r="L713" s="194"/>
      <c r="U713" s="184"/>
      <c r="V713" s="184"/>
    </row>
    <row r="714">
      <c r="F714" s="19"/>
      <c r="H714" s="19"/>
      <c r="I714" s="194"/>
      <c r="L714" s="194"/>
      <c r="U714" s="184"/>
      <c r="V714" s="184"/>
    </row>
    <row r="715">
      <c r="F715" s="19"/>
      <c r="H715" s="19"/>
      <c r="I715" s="194"/>
      <c r="L715" s="194"/>
      <c r="U715" s="184"/>
      <c r="V715" s="184"/>
    </row>
    <row r="716">
      <c r="F716" s="19"/>
      <c r="H716" s="19"/>
      <c r="I716" s="194"/>
      <c r="L716" s="194"/>
      <c r="U716" s="184"/>
      <c r="V716" s="184"/>
    </row>
    <row r="717">
      <c r="F717" s="19"/>
      <c r="H717" s="19"/>
      <c r="I717" s="194"/>
      <c r="L717" s="194"/>
      <c r="U717" s="184"/>
      <c r="V717" s="184"/>
    </row>
    <row r="718">
      <c r="F718" s="19"/>
      <c r="H718" s="19"/>
      <c r="I718" s="194"/>
      <c r="L718" s="194"/>
      <c r="U718" s="184"/>
      <c r="V718" s="184"/>
    </row>
    <row r="719">
      <c r="F719" s="19"/>
      <c r="H719" s="19"/>
      <c r="I719" s="194"/>
      <c r="L719" s="194"/>
      <c r="U719" s="184"/>
      <c r="V719" s="184"/>
    </row>
    <row r="720">
      <c r="F720" s="19"/>
      <c r="H720" s="19"/>
      <c r="I720" s="194"/>
      <c r="L720" s="194"/>
      <c r="U720" s="184"/>
      <c r="V720" s="184"/>
    </row>
    <row r="721">
      <c r="F721" s="19"/>
      <c r="H721" s="19"/>
      <c r="I721" s="194"/>
      <c r="L721" s="194"/>
      <c r="U721" s="184"/>
      <c r="V721" s="184"/>
    </row>
    <row r="722">
      <c r="F722" s="19"/>
      <c r="H722" s="19"/>
      <c r="I722" s="194"/>
      <c r="L722" s="194"/>
      <c r="U722" s="184"/>
      <c r="V722" s="184"/>
    </row>
    <row r="723">
      <c r="F723" s="19"/>
      <c r="H723" s="19"/>
      <c r="I723" s="194"/>
      <c r="L723" s="194"/>
      <c r="U723" s="184"/>
      <c r="V723" s="184"/>
    </row>
    <row r="724">
      <c r="F724" s="19"/>
      <c r="H724" s="19"/>
      <c r="I724" s="194"/>
      <c r="L724" s="194"/>
      <c r="U724" s="184"/>
      <c r="V724" s="184"/>
    </row>
    <row r="725">
      <c r="F725" s="19"/>
      <c r="H725" s="19"/>
      <c r="I725" s="194"/>
      <c r="L725" s="194"/>
      <c r="U725" s="184"/>
      <c r="V725" s="184"/>
    </row>
    <row r="726">
      <c r="F726" s="19"/>
      <c r="H726" s="19"/>
      <c r="I726" s="194"/>
      <c r="L726" s="194"/>
      <c r="U726" s="184"/>
      <c r="V726" s="184"/>
    </row>
    <row r="727">
      <c r="F727" s="19"/>
      <c r="H727" s="19"/>
      <c r="I727" s="194"/>
      <c r="L727" s="194"/>
      <c r="U727" s="184"/>
      <c r="V727" s="184"/>
    </row>
    <row r="728">
      <c r="F728" s="19"/>
      <c r="H728" s="19"/>
      <c r="I728" s="194"/>
      <c r="L728" s="194"/>
      <c r="U728" s="184"/>
      <c r="V728" s="184"/>
    </row>
    <row r="729">
      <c r="F729" s="19"/>
      <c r="H729" s="19"/>
      <c r="I729" s="194"/>
      <c r="L729" s="194"/>
      <c r="U729" s="184"/>
      <c r="V729" s="184"/>
    </row>
    <row r="730">
      <c r="F730" s="19"/>
      <c r="H730" s="19"/>
      <c r="I730" s="194"/>
      <c r="L730" s="194"/>
      <c r="U730" s="184"/>
      <c r="V730" s="184"/>
    </row>
    <row r="731">
      <c r="F731" s="19"/>
      <c r="H731" s="19"/>
      <c r="I731" s="194"/>
      <c r="L731" s="194"/>
      <c r="U731" s="184"/>
      <c r="V731" s="184"/>
    </row>
    <row r="732">
      <c r="F732" s="19"/>
      <c r="H732" s="19"/>
      <c r="I732" s="194"/>
      <c r="L732" s="194"/>
      <c r="U732" s="184"/>
      <c r="V732" s="184"/>
    </row>
    <row r="733">
      <c r="F733" s="19"/>
      <c r="H733" s="19"/>
      <c r="I733" s="194"/>
      <c r="L733" s="194"/>
      <c r="U733" s="184"/>
      <c r="V733" s="184"/>
    </row>
    <row r="734">
      <c r="F734" s="19"/>
      <c r="H734" s="19"/>
      <c r="I734" s="194"/>
      <c r="L734" s="194"/>
      <c r="U734" s="184"/>
      <c r="V734" s="184"/>
    </row>
    <row r="735">
      <c r="F735" s="19"/>
      <c r="H735" s="19"/>
      <c r="I735" s="194"/>
      <c r="L735" s="194"/>
      <c r="U735" s="184"/>
      <c r="V735" s="184"/>
    </row>
    <row r="736">
      <c r="F736" s="19"/>
      <c r="H736" s="19"/>
      <c r="I736" s="194"/>
      <c r="L736" s="194"/>
      <c r="U736" s="184"/>
      <c r="V736" s="184"/>
    </row>
    <row r="737">
      <c r="F737" s="19"/>
      <c r="H737" s="19"/>
      <c r="I737" s="194"/>
      <c r="L737" s="194"/>
      <c r="U737" s="184"/>
      <c r="V737" s="184"/>
    </row>
    <row r="738">
      <c r="F738" s="19"/>
      <c r="H738" s="19"/>
      <c r="I738" s="194"/>
      <c r="L738" s="194"/>
      <c r="U738" s="184"/>
      <c r="V738" s="184"/>
    </row>
    <row r="739">
      <c r="F739" s="19"/>
      <c r="H739" s="19"/>
      <c r="I739" s="194"/>
      <c r="L739" s="194"/>
      <c r="U739" s="184"/>
      <c r="V739" s="184"/>
    </row>
    <row r="740">
      <c r="F740" s="19"/>
      <c r="H740" s="19"/>
      <c r="I740" s="194"/>
      <c r="L740" s="194"/>
      <c r="U740" s="184"/>
      <c r="V740" s="184"/>
    </row>
    <row r="741">
      <c r="F741" s="19"/>
      <c r="H741" s="19"/>
      <c r="I741" s="194"/>
      <c r="L741" s="194"/>
      <c r="U741" s="184"/>
      <c r="V741" s="184"/>
    </row>
    <row r="742">
      <c r="F742" s="19"/>
      <c r="H742" s="19"/>
      <c r="I742" s="194"/>
      <c r="L742" s="194"/>
      <c r="U742" s="184"/>
      <c r="V742" s="184"/>
    </row>
    <row r="743">
      <c r="F743" s="19"/>
      <c r="H743" s="19"/>
      <c r="I743" s="194"/>
      <c r="L743" s="194"/>
      <c r="U743" s="184"/>
      <c r="V743" s="184"/>
    </row>
    <row r="744">
      <c r="F744" s="19"/>
      <c r="H744" s="19"/>
      <c r="I744" s="194"/>
      <c r="L744" s="194"/>
      <c r="U744" s="184"/>
      <c r="V744" s="184"/>
    </row>
    <row r="745">
      <c r="F745" s="19"/>
      <c r="H745" s="19"/>
      <c r="I745" s="194"/>
      <c r="L745" s="194"/>
      <c r="U745" s="184"/>
      <c r="V745" s="184"/>
    </row>
    <row r="746">
      <c r="F746" s="19"/>
      <c r="H746" s="19"/>
      <c r="I746" s="194"/>
      <c r="L746" s="194"/>
      <c r="U746" s="184"/>
      <c r="V746" s="184"/>
    </row>
    <row r="747">
      <c r="F747" s="19"/>
      <c r="H747" s="19"/>
      <c r="I747" s="194"/>
      <c r="L747" s="194"/>
      <c r="U747" s="184"/>
      <c r="V747" s="184"/>
    </row>
    <row r="748">
      <c r="F748" s="19"/>
      <c r="H748" s="19"/>
      <c r="I748" s="194"/>
      <c r="L748" s="194"/>
      <c r="U748" s="184"/>
      <c r="V748" s="184"/>
    </row>
    <row r="749">
      <c r="F749" s="19"/>
      <c r="H749" s="19"/>
      <c r="I749" s="194"/>
      <c r="L749" s="194"/>
      <c r="U749" s="184"/>
      <c r="V749" s="184"/>
    </row>
    <row r="750">
      <c r="F750" s="19"/>
      <c r="H750" s="19"/>
      <c r="I750" s="194"/>
      <c r="L750" s="194"/>
      <c r="U750" s="184"/>
      <c r="V750" s="184"/>
    </row>
    <row r="751">
      <c r="F751" s="19"/>
      <c r="H751" s="19"/>
      <c r="I751" s="194"/>
      <c r="L751" s="194"/>
      <c r="U751" s="184"/>
      <c r="V751" s="184"/>
    </row>
    <row r="752">
      <c r="F752" s="19"/>
      <c r="H752" s="19"/>
      <c r="I752" s="194"/>
      <c r="L752" s="194"/>
      <c r="U752" s="184"/>
      <c r="V752" s="184"/>
    </row>
    <row r="753">
      <c r="F753" s="19"/>
      <c r="H753" s="19"/>
      <c r="I753" s="194"/>
      <c r="L753" s="194"/>
      <c r="U753" s="184"/>
      <c r="V753" s="184"/>
    </row>
    <row r="754">
      <c r="F754" s="19"/>
      <c r="H754" s="19"/>
      <c r="I754" s="194"/>
      <c r="L754" s="194"/>
      <c r="U754" s="184"/>
      <c r="V754" s="184"/>
    </row>
    <row r="755">
      <c r="F755" s="19"/>
      <c r="H755" s="19"/>
      <c r="I755" s="194"/>
      <c r="L755" s="194"/>
      <c r="U755" s="184"/>
      <c r="V755" s="184"/>
    </row>
    <row r="756">
      <c r="F756" s="19"/>
      <c r="H756" s="19"/>
      <c r="I756" s="194"/>
      <c r="L756" s="194"/>
      <c r="U756" s="184"/>
      <c r="V756" s="184"/>
    </row>
    <row r="757">
      <c r="F757" s="19"/>
      <c r="H757" s="19"/>
      <c r="I757" s="194"/>
      <c r="L757" s="194"/>
      <c r="U757" s="184"/>
      <c r="V757" s="184"/>
    </row>
    <row r="758">
      <c r="F758" s="19"/>
      <c r="H758" s="19"/>
      <c r="I758" s="194"/>
      <c r="L758" s="194"/>
      <c r="U758" s="184"/>
      <c r="V758" s="184"/>
    </row>
    <row r="759">
      <c r="F759" s="19"/>
      <c r="H759" s="19"/>
      <c r="I759" s="194"/>
      <c r="L759" s="194"/>
      <c r="U759" s="184"/>
      <c r="V759" s="184"/>
    </row>
    <row r="760">
      <c r="F760" s="19"/>
      <c r="H760" s="19"/>
      <c r="I760" s="194"/>
      <c r="L760" s="194"/>
      <c r="U760" s="184"/>
      <c r="V760" s="184"/>
    </row>
    <row r="761">
      <c r="F761" s="19"/>
      <c r="H761" s="19"/>
      <c r="I761" s="194"/>
      <c r="L761" s="194"/>
      <c r="U761" s="184"/>
      <c r="V761" s="184"/>
    </row>
    <row r="762">
      <c r="F762" s="19"/>
      <c r="H762" s="19"/>
      <c r="I762" s="194"/>
      <c r="L762" s="194"/>
      <c r="U762" s="184"/>
      <c r="V762" s="184"/>
    </row>
    <row r="763">
      <c r="F763" s="19"/>
      <c r="H763" s="19"/>
      <c r="I763" s="194"/>
      <c r="L763" s="194"/>
      <c r="U763" s="184"/>
      <c r="V763" s="184"/>
    </row>
    <row r="764">
      <c r="F764" s="19"/>
      <c r="H764" s="19"/>
      <c r="I764" s="194"/>
      <c r="L764" s="194"/>
      <c r="U764" s="184"/>
      <c r="V764" s="184"/>
    </row>
    <row r="765">
      <c r="F765" s="19"/>
      <c r="H765" s="19"/>
      <c r="I765" s="194"/>
      <c r="L765" s="194"/>
      <c r="U765" s="184"/>
      <c r="V765" s="184"/>
    </row>
    <row r="766">
      <c r="F766" s="19"/>
      <c r="H766" s="19"/>
      <c r="I766" s="194"/>
      <c r="L766" s="194"/>
      <c r="U766" s="184"/>
      <c r="V766" s="184"/>
    </row>
    <row r="767">
      <c r="F767" s="19"/>
      <c r="H767" s="19"/>
      <c r="I767" s="194"/>
      <c r="L767" s="194"/>
      <c r="U767" s="184"/>
      <c r="V767" s="184"/>
    </row>
    <row r="768">
      <c r="F768" s="19"/>
      <c r="H768" s="19"/>
      <c r="I768" s="194"/>
      <c r="L768" s="194"/>
      <c r="U768" s="184"/>
      <c r="V768" s="184"/>
    </row>
    <row r="769">
      <c r="F769" s="19"/>
      <c r="H769" s="19"/>
      <c r="I769" s="194"/>
      <c r="L769" s="194"/>
      <c r="U769" s="184"/>
      <c r="V769" s="184"/>
    </row>
    <row r="770">
      <c r="F770" s="19"/>
      <c r="H770" s="19"/>
      <c r="I770" s="194"/>
      <c r="L770" s="194"/>
      <c r="U770" s="184"/>
      <c r="V770" s="184"/>
    </row>
    <row r="771">
      <c r="F771" s="19"/>
      <c r="H771" s="19"/>
      <c r="I771" s="194"/>
      <c r="L771" s="194"/>
      <c r="U771" s="184"/>
      <c r="V771" s="184"/>
    </row>
    <row r="772">
      <c r="F772" s="19"/>
      <c r="H772" s="19"/>
      <c r="I772" s="194"/>
      <c r="L772" s="194"/>
      <c r="U772" s="184"/>
      <c r="V772" s="184"/>
    </row>
    <row r="773">
      <c r="F773" s="19"/>
      <c r="H773" s="19"/>
      <c r="I773" s="194"/>
      <c r="L773" s="194"/>
      <c r="U773" s="184"/>
      <c r="V773" s="184"/>
    </row>
    <row r="774">
      <c r="F774" s="19"/>
      <c r="H774" s="19"/>
      <c r="I774" s="194"/>
      <c r="L774" s="194"/>
      <c r="U774" s="184"/>
      <c r="V774" s="184"/>
    </row>
    <row r="775">
      <c r="F775" s="19"/>
      <c r="H775" s="19"/>
      <c r="I775" s="194"/>
      <c r="L775" s="194"/>
      <c r="U775" s="184"/>
      <c r="V775" s="184"/>
    </row>
    <row r="776">
      <c r="F776" s="19"/>
      <c r="H776" s="19"/>
      <c r="I776" s="194"/>
      <c r="L776" s="194"/>
      <c r="U776" s="184"/>
      <c r="V776" s="184"/>
    </row>
    <row r="777">
      <c r="F777" s="19"/>
      <c r="H777" s="19"/>
      <c r="I777" s="194"/>
      <c r="L777" s="194"/>
      <c r="U777" s="184"/>
      <c r="V777" s="184"/>
    </row>
    <row r="778">
      <c r="F778" s="19"/>
      <c r="H778" s="19"/>
      <c r="I778" s="194"/>
      <c r="L778" s="194"/>
      <c r="U778" s="184"/>
      <c r="V778" s="184"/>
    </row>
    <row r="779">
      <c r="F779" s="19"/>
      <c r="H779" s="19"/>
      <c r="I779" s="194"/>
      <c r="L779" s="194"/>
      <c r="U779" s="184"/>
      <c r="V779" s="184"/>
    </row>
    <row r="780">
      <c r="F780" s="19"/>
      <c r="H780" s="19"/>
      <c r="I780" s="194"/>
      <c r="L780" s="194"/>
      <c r="U780" s="184"/>
      <c r="V780" s="184"/>
    </row>
    <row r="781">
      <c r="F781" s="19"/>
      <c r="H781" s="19"/>
      <c r="I781" s="194"/>
      <c r="L781" s="194"/>
      <c r="U781" s="184"/>
      <c r="V781" s="184"/>
    </row>
    <row r="782">
      <c r="F782" s="19"/>
      <c r="H782" s="19"/>
      <c r="I782" s="194"/>
      <c r="L782" s="194"/>
      <c r="U782" s="184"/>
      <c r="V782" s="184"/>
    </row>
    <row r="783">
      <c r="F783" s="19"/>
      <c r="H783" s="19"/>
      <c r="I783" s="194"/>
      <c r="L783" s="194"/>
      <c r="U783" s="184"/>
      <c r="V783" s="184"/>
    </row>
    <row r="784">
      <c r="F784" s="19"/>
      <c r="H784" s="19"/>
      <c r="I784" s="194"/>
      <c r="L784" s="194"/>
      <c r="U784" s="184"/>
      <c r="V784" s="184"/>
    </row>
    <row r="785">
      <c r="F785" s="19"/>
      <c r="H785" s="19"/>
      <c r="I785" s="194"/>
      <c r="L785" s="194"/>
      <c r="U785" s="184"/>
      <c r="V785" s="184"/>
    </row>
    <row r="786">
      <c r="F786" s="19"/>
      <c r="H786" s="19"/>
      <c r="I786" s="194"/>
      <c r="L786" s="194"/>
      <c r="U786" s="184"/>
      <c r="V786" s="184"/>
    </row>
    <row r="787">
      <c r="F787" s="19"/>
      <c r="H787" s="19"/>
      <c r="I787" s="194"/>
      <c r="L787" s="194"/>
      <c r="U787" s="184"/>
      <c r="V787" s="184"/>
    </row>
    <row r="788">
      <c r="F788" s="19"/>
      <c r="H788" s="19"/>
      <c r="I788" s="194"/>
      <c r="L788" s="194"/>
      <c r="U788" s="184"/>
      <c r="V788" s="184"/>
    </row>
    <row r="789">
      <c r="F789" s="19"/>
      <c r="H789" s="19"/>
      <c r="I789" s="194"/>
      <c r="L789" s="194"/>
      <c r="U789" s="184"/>
      <c r="V789" s="184"/>
    </row>
    <row r="790">
      <c r="F790" s="19"/>
      <c r="H790" s="19"/>
      <c r="I790" s="194"/>
      <c r="L790" s="194"/>
      <c r="U790" s="184"/>
      <c r="V790" s="184"/>
    </row>
    <row r="791">
      <c r="F791" s="19"/>
      <c r="H791" s="19"/>
      <c r="I791" s="194"/>
      <c r="L791" s="194"/>
      <c r="U791" s="184"/>
      <c r="V791" s="184"/>
    </row>
    <row r="792">
      <c r="F792" s="19"/>
      <c r="H792" s="19"/>
      <c r="I792" s="194"/>
      <c r="L792" s="194"/>
      <c r="U792" s="184"/>
      <c r="V792" s="184"/>
    </row>
    <row r="793">
      <c r="F793" s="19"/>
      <c r="H793" s="19"/>
      <c r="I793" s="194"/>
      <c r="L793" s="194"/>
      <c r="U793" s="184"/>
      <c r="V793" s="184"/>
    </row>
    <row r="794">
      <c r="F794" s="19"/>
      <c r="H794" s="19"/>
      <c r="I794" s="194"/>
      <c r="L794" s="194"/>
      <c r="U794" s="184"/>
      <c r="V794" s="184"/>
    </row>
    <row r="795">
      <c r="F795" s="19"/>
      <c r="H795" s="19"/>
      <c r="I795" s="194"/>
      <c r="L795" s="194"/>
      <c r="U795" s="184"/>
      <c r="V795" s="184"/>
    </row>
    <row r="796">
      <c r="F796" s="19"/>
      <c r="H796" s="19"/>
      <c r="I796" s="194"/>
      <c r="L796" s="194"/>
      <c r="U796" s="184"/>
      <c r="V796" s="184"/>
    </row>
    <row r="797">
      <c r="F797" s="19"/>
      <c r="H797" s="19"/>
      <c r="I797" s="194"/>
      <c r="L797" s="194"/>
      <c r="U797" s="184"/>
      <c r="V797" s="184"/>
    </row>
    <row r="798">
      <c r="F798" s="19"/>
      <c r="H798" s="19"/>
      <c r="I798" s="194"/>
      <c r="L798" s="194"/>
      <c r="U798" s="184"/>
      <c r="V798" s="184"/>
    </row>
    <row r="799">
      <c r="F799" s="19"/>
      <c r="H799" s="19"/>
      <c r="I799" s="194"/>
      <c r="L799" s="194"/>
      <c r="U799" s="184"/>
      <c r="V799" s="184"/>
    </row>
    <row r="800">
      <c r="F800" s="19"/>
      <c r="H800" s="19"/>
      <c r="I800" s="194"/>
      <c r="L800" s="194"/>
      <c r="U800" s="184"/>
      <c r="V800" s="184"/>
    </row>
    <row r="801">
      <c r="F801" s="19"/>
      <c r="H801" s="19"/>
      <c r="I801" s="194"/>
      <c r="L801" s="194"/>
      <c r="U801" s="184"/>
      <c r="V801" s="184"/>
    </row>
    <row r="802">
      <c r="F802" s="19"/>
      <c r="H802" s="19"/>
      <c r="I802" s="194"/>
      <c r="L802" s="194"/>
      <c r="U802" s="184"/>
      <c r="V802" s="184"/>
    </row>
    <row r="803">
      <c r="F803" s="19"/>
      <c r="H803" s="19"/>
      <c r="I803" s="194"/>
      <c r="L803" s="194"/>
      <c r="U803" s="184"/>
      <c r="V803" s="184"/>
    </row>
    <row r="804">
      <c r="F804" s="19"/>
      <c r="H804" s="19"/>
      <c r="I804" s="194"/>
      <c r="L804" s="194"/>
      <c r="U804" s="184"/>
      <c r="V804" s="184"/>
    </row>
    <row r="805">
      <c r="F805" s="19"/>
      <c r="H805" s="19"/>
      <c r="I805" s="194"/>
      <c r="L805" s="194"/>
      <c r="U805" s="184"/>
      <c r="V805" s="184"/>
    </row>
    <row r="806">
      <c r="F806" s="19"/>
      <c r="H806" s="19"/>
      <c r="I806" s="194"/>
      <c r="L806" s="194"/>
      <c r="U806" s="184"/>
      <c r="V806" s="184"/>
    </row>
    <row r="807">
      <c r="F807" s="19"/>
      <c r="H807" s="19"/>
      <c r="I807" s="194"/>
      <c r="L807" s="194"/>
      <c r="U807" s="184"/>
      <c r="V807" s="184"/>
    </row>
    <row r="808">
      <c r="F808" s="19"/>
      <c r="H808" s="19"/>
      <c r="I808" s="194"/>
      <c r="L808" s="194"/>
      <c r="U808" s="184"/>
      <c r="V808" s="184"/>
    </row>
    <row r="809">
      <c r="F809" s="19"/>
      <c r="H809" s="19"/>
      <c r="I809" s="194"/>
      <c r="L809" s="194"/>
      <c r="U809" s="184"/>
      <c r="V809" s="184"/>
    </row>
    <row r="810">
      <c r="F810" s="19"/>
      <c r="H810" s="19"/>
      <c r="I810" s="194"/>
      <c r="L810" s="194"/>
      <c r="U810" s="184"/>
      <c r="V810" s="184"/>
    </row>
    <row r="811">
      <c r="F811" s="19"/>
      <c r="H811" s="19"/>
      <c r="I811" s="194"/>
      <c r="L811" s="194"/>
      <c r="U811" s="184"/>
      <c r="V811" s="184"/>
    </row>
    <row r="812">
      <c r="F812" s="19"/>
      <c r="H812" s="19"/>
      <c r="I812" s="194"/>
      <c r="L812" s="194"/>
      <c r="U812" s="184"/>
      <c r="V812" s="184"/>
    </row>
    <row r="813">
      <c r="F813" s="19"/>
      <c r="H813" s="19"/>
      <c r="I813" s="194"/>
      <c r="L813" s="194"/>
      <c r="U813" s="184"/>
      <c r="V813" s="184"/>
    </row>
    <row r="814">
      <c r="F814" s="19"/>
      <c r="H814" s="19"/>
      <c r="I814" s="194"/>
      <c r="L814" s="194"/>
      <c r="U814" s="184"/>
      <c r="V814" s="184"/>
    </row>
    <row r="815">
      <c r="F815" s="19"/>
      <c r="H815" s="19"/>
      <c r="I815" s="194"/>
      <c r="L815" s="194"/>
      <c r="U815" s="184"/>
      <c r="V815" s="184"/>
    </row>
    <row r="816">
      <c r="F816" s="19"/>
      <c r="H816" s="19"/>
      <c r="I816" s="194"/>
      <c r="L816" s="194"/>
      <c r="U816" s="184"/>
      <c r="V816" s="184"/>
    </row>
    <row r="817">
      <c r="F817" s="19"/>
      <c r="H817" s="19"/>
      <c r="I817" s="194"/>
      <c r="L817" s="194"/>
      <c r="U817" s="184"/>
      <c r="V817" s="184"/>
    </row>
    <row r="818">
      <c r="F818" s="19"/>
      <c r="H818" s="19"/>
      <c r="I818" s="194"/>
      <c r="L818" s="194"/>
      <c r="U818" s="184"/>
      <c r="V818" s="184"/>
    </row>
    <row r="819">
      <c r="F819" s="19"/>
      <c r="H819" s="19"/>
      <c r="I819" s="194"/>
      <c r="L819" s="194"/>
      <c r="U819" s="184"/>
      <c r="V819" s="184"/>
    </row>
    <row r="820">
      <c r="F820" s="19"/>
      <c r="H820" s="19"/>
      <c r="I820" s="194"/>
      <c r="L820" s="194"/>
      <c r="U820" s="184"/>
      <c r="V820" s="184"/>
    </row>
    <row r="821">
      <c r="F821" s="19"/>
      <c r="H821" s="19"/>
      <c r="I821" s="194"/>
      <c r="L821" s="194"/>
      <c r="U821" s="184"/>
      <c r="V821" s="184"/>
    </row>
    <row r="822">
      <c r="F822" s="19"/>
      <c r="H822" s="19"/>
      <c r="I822" s="194"/>
      <c r="L822" s="194"/>
      <c r="U822" s="184"/>
      <c r="V822" s="184"/>
    </row>
    <row r="823">
      <c r="F823" s="19"/>
      <c r="H823" s="19"/>
      <c r="I823" s="194"/>
      <c r="L823" s="194"/>
      <c r="U823" s="184"/>
      <c r="V823" s="184"/>
    </row>
    <row r="824">
      <c r="F824" s="19"/>
      <c r="H824" s="19"/>
      <c r="I824" s="194"/>
      <c r="L824" s="194"/>
      <c r="U824" s="184"/>
      <c r="V824" s="184"/>
    </row>
    <row r="825">
      <c r="F825" s="19"/>
      <c r="H825" s="19"/>
      <c r="I825" s="194"/>
      <c r="L825" s="194"/>
      <c r="U825" s="184"/>
      <c r="V825" s="184"/>
    </row>
    <row r="826">
      <c r="F826" s="19"/>
      <c r="H826" s="19"/>
      <c r="I826" s="194"/>
      <c r="L826" s="194"/>
      <c r="U826" s="184"/>
      <c r="V826" s="184"/>
    </row>
    <row r="827">
      <c r="F827" s="19"/>
      <c r="H827" s="19"/>
      <c r="I827" s="194"/>
      <c r="L827" s="194"/>
      <c r="U827" s="184"/>
      <c r="V827" s="184"/>
    </row>
    <row r="828">
      <c r="F828" s="19"/>
      <c r="H828" s="19"/>
      <c r="I828" s="194"/>
      <c r="L828" s="194"/>
      <c r="U828" s="184"/>
      <c r="V828" s="184"/>
    </row>
    <row r="829">
      <c r="F829" s="19"/>
      <c r="H829" s="19"/>
      <c r="I829" s="194"/>
      <c r="L829" s="194"/>
      <c r="U829" s="184"/>
      <c r="V829" s="184"/>
    </row>
    <row r="830">
      <c r="F830" s="19"/>
      <c r="H830" s="19"/>
      <c r="I830" s="194"/>
      <c r="L830" s="194"/>
      <c r="U830" s="184"/>
      <c r="V830" s="184"/>
    </row>
    <row r="831">
      <c r="F831" s="19"/>
      <c r="H831" s="19"/>
      <c r="I831" s="194"/>
      <c r="L831" s="194"/>
      <c r="U831" s="184"/>
      <c r="V831" s="184"/>
    </row>
    <row r="832">
      <c r="F832" s="19"/>
      <c r="H832" s="19"/>
      <c r="I832" s="194"/>
      <c r="L832" s="194"/>
      <c r="U832" s="184"/>
      <c r="V832" s="184"/>
    </row>
    <row r="833">
      <c r="F833" s="19"/>
      <c r="H833" s="19"/>
      <c r="I833" s="194"/>
      <c r="L833" s="194"/>
      <c r="U833" s="184"/>
      <c r="V833" s="184"/>
    </row>
    <row r="834">
      <c r="F834" s="19"/>
      <c r="H834" s="19"/>
      <c r="I834" s="194"/>
      <c r="L834" s="194"/>
      <c r="U834" s="184"/>
      <c r="V834" s="184"/>
    </row>
    <row r="835">
      <c r="F835" s="19"/>
      <c r="H835" s="19"/>
      <c r="I835" s="194"/>
      <c r="L835" s="194"/>
      <c r="U835" s="184"/>
      <c r="V835" s="184"/>
    </row>
    <row r="836">
      <c r="F836" s="19"/>
      <c r="H836" s="19"/>
      <c r="I836" s="194"/>
      <c r="L836" s="194"/>
      <c r="U836" s="184"/>
      <c r="V836" s="184"/>
    </row>
    <row r="837">
      <c r="F837" s="19"/>
      <c r="H837" s="19"/>
      <c r="I837" s="194"/>
      <c r="L837" s="194"/>
      <c r="U837" s="184"/>
      <c r="V837" s="184"/>
    </row>
    <row r="838">
      <c r="F838" s="19"/>
      <c r="H838" s="19"/>
      <c r="I838" s="194"/>
      <c r="L838" s="194"/>
      <c r="U838" s="184"/>
      <c r="V838" s="184"/>
    </row>
    <row r="839">
      <c r="F839" s="19"/>
      <c r="H839" s="19"/>
      <c r="I839" s="194"/>
      <c r="L839" s="194"/>
      <c r="U839" s="184"/>
      <c r="V839" s="184"/>
    </row>
    <row r="840">
      <c r="F840" s="19"/>
      <c r="H840" s="19"/>
      <c r="I840" s="194"/>
      <c r="L840" s="194"/>
      <c r="U840" s="184"/>
      <c r="V840" s="184"/>
    </row>
    <row r="841">
      <c r="F841" s="19"/>
      <c r="H841" s="19"/>
      <c r="I841" s="194"/>
      <c r="L841" s="194"/>
      <c r="U841" s="184"/>
      <c r="V841" s="184"/>
    </row>
    <row r="842">
      <c r="F842" s="19"/>
      <c r="H842" s="19"/>
      <c r="I842" s="194"/>
      <c r="L842" s="194"/>
      <c r="U842" s="184"/>
      <c r="V842" s="184"/>
    </row>
    <row r="843">
      <c r="F843" s="19"/>
      <c r="H843" s="19"/>
      <c r="I843" s="194"/>
      <c r="L843" s="194"/>
      <c r="U843" s="184"/>
      <c r="V843" s="184"/>
    </row>
    <row r="844">
      <c r="F844" s="19"/>
      <c r="H844" s="19"/>
      <c r="I844" s="194"/>
      <c r="L844" s="194"/>
      <c r="U844" s="184"/>
      <c r="V844" s="184"/>
    </row>
    <row r="845">
      <c r="F845" s="19"/>
      <c r="H845" s="19"/>
      <c r="I845" s="194"/>
      <c r="L845" s="194"/>
      <c r="U845" s="184"/>
      <c r="V845" s="184"/>
    </row>
    <row r="846">
      <c r="F846" s="19"/>
      <c r="H846" s="19"/>
      <c r="I846" s="194"/>
      <c r="L846" s="194"/>
      <c r="U846" s="184"/>
      <c r="V846" s="184"/>
    </row>
    <row r="847">
      <c r="F847" s="19"/>
      <c r="H847" s="19"/>
      <c r="I847" s="194"/>
      <c r="L847" s="194"/>
      <c r="U847" s="184"/>
      <c r="V847" s="184"/>
    </row>
    <row r="848">
      <c r="F848" s="19"/>
      <c r="H848" s="19"/>
      <c r="I848" s="194"/>
      <c r="L848" s="194"/>
      <c r="U848" s="184"/>
      <c r="V848" s="184"/>
    </row>
    <row r="849">
      <c r="F849" s="19"/>
      <c r="H849" s="19"/>
      <c r="I849" s="194"/>
      <c r="L849" s="194"/>
      <c r="U849" s="184"/>
      <c r="V849" s="184"/>
    </row>
    <row r="850">
      <c r="F850" s="19"/>
      <c r="H850" s="19"/>
      <c r="I850" s="194"/>
      <c r="L850" s="194"/>
      <c r="U850" s="184"/>
      <c r="V850" s="184"/>
    </row>
    <row r="851">
      <c r="F851" s="19"/>
      <c r="H851" s="19"/>
      <c r="I851" s="194"/>
      <c r="L851" s="194"/>
      <c r="U851" s="184"/>
      <c r="V851" s="184"/>
    </row>
    <row r="852">
      <c r="F852" s="19"/>
      <c r="H852" s="19"/>
      <c r="I852" s="194"/>
      <c r="L852" s="194"/>
      <c r="U852" s="184"/>
      <c r="V852" s="184"/>
    </row>
    <row r="853">
      <c r="F853" s="19"/>
      <c r="H853" s="19"/>
      <c r="I853" s="194"/>
      <c r="L853" s="194"/>
      <c r="U853" s="184"/>
      <c r="V853" s="184"/>
    </row>
    <row r="854">
      <c r="F854" s="19"/>
      <c r="H854" s="19"/>
      <c r="I854" s="194"/>
      <c r="L854" s="194"/>
      <c r="U854" s="184"/>
      <c r="V854" s="184"/>
    </row>
    <row r="855">
      <c r="F855" s="19"/>
      <c r="H855" s="19"/>
      <c r="I855" s="194"/>
      <c r="L855" s="194"/>
      <c r="U855" s="184"/>
      <c r="V855" s="184"/>
    </row>
    <row r="856">
      <c r="F856" s="19"/>
      <c r="H856" s="19"/>
      <c r="I856" s="194"/>
      <c r="L856" s="194"/>
      <c r="U856" s="184"/>
      <c r="V856" s="184"/>
    </row>
    <row r="857">
      <c r="F857" s="19"/>
      <c r="H857" s="19"/>
      <c r="I857" s="194"/>
      <c r="L857" s="194"/>
      <c r="U857" s="184"/>
      <c r="V857" s="184"/>
    </row>
    <row r="858">
      <c r="F858" s="19"/>
      <c r="H858" s="19"/>
      <c r="I858" s="194"/>
      <c r="L858" s="194"/>
      <c r="U858" s="184"/>
      <c r="V858" s="184"/>
    </row>
    <row r="859">
      <c r="F859" s="19"/>
      <c r="H859" s="19"/>
      <c r="I859" s="194"/>
      <c r="L859" s="194"/>
      <c r="U859" s="184"/>
      <c r="V859" s="184"/>
    </row>
    <row r="860">
      <c r="F860" s="19"/>
      <c r="H860" s="19"/>
      <c r="I860" s="194"/>
      <c r="L860" s="194"/>
      <c r="U860" s="184"/>
      <c r="V860" s="184"/>
    </row>
    <row r="861">
      <c r="F861" s="19"/>
      <c r="H861" s="19"/>
      <c r="I861" s="194"/>
      <c r="L861" s="194"/>
      <c r="U861" s="184"/>
      <c r="V861" s="184"/>
    </row>
    <row r="862">
      <c r="F862" s="19"/>
      <c r="H862" s="19"/>
      <c r="I862" s="194"/>
      <c r="L862" s="194"/>
      <c r="U862" s="184"/>
      <c r="V862" s="184"/>
    </row>
    <row r="863">
      <c r="F863" s="19"/>
      <c r="H863" s="19"/>
      <c r="I863" s="194"/>
      <c r="L863" s="194"/>
      <c r="U863" s="184"/>
      <c r="V863" s="184"/>
    </row>
    <row r="864">
      <c r="F864" s="19"/>
      <c r="H864" s="19"/>
      <c r="I864" s="194"/>
      <c r="L864" s="194"/>
      <c r="U864" s="184"/>
      <c r="V864" s="184"/>
    </row>
    <row r="865">
      <c r="F865" s="19"/>
      <c r="H865" s="19"/>
      <c r="I865" s="194"/>
      <c r="L865" s="194"/>
      <c r="U865" s="184"/>
      <c r="V865" s="184"/>
    </row>
    <row r="866">
      <c r="F866" s="19"/>
      <c r="H866" s="19"/>
      <c r="I866" s="194"/>
      <c r="L866" s="194"/>
      <c r="U866" s="184"/>
      <c r="V866" s="184"/>
    </row>
    <row r="867">
      <c r="F867" s="19"/>
      <c r="H867" s="19"/>
      <c r="I867" s="194"/>
      <c r="L867" s="194"/>
      <c r="U867" s="184"/>
      <c r="V867" s="184"/>
    </row>
    <row r="868">
      <c r="F868" s="19"/>
      <c r="H868" s="19"/>
      <c r="I868" s="194"/>
      <c r="L868" s="194"/>
      <c r="U868" s="184"/>
      <c r="V868" s="184"/>
    </row>
    <row r="869">
      <c r="F869" s="19"/>
      <c r="H869" s="19"/>
      <c r="I869" s="194"/>
      <c r="L869" s="194"/>
      <c r="U869" s="184"/>
      <c r="V869" s="184"/>
    </row>
    <row r="870">
      <c r="F870" s="19"/>
      <c r="H870" s="19"/>
      <c r="I870" s="194"/>
      <c r="L870" s="194"/>
      <c r="U870" s="184"/>
      <c r="V870" s="184"/>
    </row>
    <row r="871">
      <c r="F871" s="19"/>
      <c r="H871" s="19"/>
      <c r="I871" s="194"/>
      <c r="L871" s="194"/>
      <c r="U871" s="184"/>
      <c r="V871" s="184"/>
    </row>
    <row r="872">
      <c r="F872" s="19"/>
      <c r="H872" s="19"/>
      <c r="I872" s="194"/>
      <c r="L872" s="194"/>
      <c r="U872" s="184"/>
      <c r="V872" s="184"/>
    </row>
    <row r="873">
      <c r="F873" s="19"/>
      <c r="H873" s="19"/>
      <c r="I873" s="194"/>
      <c r="L873" s="194"/>
      <c r="U873" s="184"/>
      <c r="V873" s="184"/>
    </row>
    <row r="874">
      <c r="F874" s="19"/>
      <c r="H874" s="19"/>
      <c r="I874" s="194"/>
      <c r="L874" s="194"/>
      <c r="U874" s="184"/>
      <c r="V874" s="184"/>
    </row>
    <row r="875">
      <c r="F875" s="19"/>
      <c r="H875" s="19"/>
      <c r="I875" s="194"/>
      <c r="L875" s="194"/>
      <c r="U875" s="184"/>
      <c r="V875" s="184"/>
    </row>
    <row r="876">
      <c r="F876" s="19"/>
      <c r="H876" s="19"/>
      <c r="I876" s="194"/>
      <c r="L876" s="194"/>
      <c r="U876" s="184"/>
      <c r="V876" s="184"/>
    </row>
    <row r="877">
      <c r="F877" s="19"/>
      <c r="H877" s="19"/>
      <c r="I877" s="194"/>
      <c r="L877" s="194"/>
      <c r="U877" s="184"/>
      <c r="V877" s="184"/>
    </row>
    <row r="878">
      <c r="F878" s="19"/>
      <c r="H878" s="19"/>
      <c r="I878" s="194"/>
      <c r="L878" s="194"/>
      <c r="U878" s="184"/>
      <c r="V878" s="184"/>
    </row>
    <row r="879">
      <c r="F879" s="19"/>
      <c r="H879" s="19"/>
      <c r="I879" s="194"/>
      <c r="L879" s="194"/>
      <c r="U879" s="184"/>
      <c r="V879" s="184"/>
    </row>
    <row r="880">
      <c r="F880" s="19"/>
      <c r="H880" s="19"/>
      <c r="I880" s="194"/>
      <c r="L880" s="194"/>
      <c r="U880" s="184"/>
      <c r="V880" s="184"/>
    </row>
    <row r="881">
      <c r="F881" s="19"/>
      <c r="H881" s="19"/>
      <c r="I881" s="194"/>
      <c r="L881" s="194"/>
      <c r="U881" s="184"/>
      <c r="V881" s="184"/>
    </row>
    <row r="882">
      <c r="F882" s="19"/>
      <c r="H882" s="19"/>
      <c r="I882" s="194"/>
      <c r="L882" s="194"/>
      <c r="U882" s="184"/>
      <c r="V882" s="184"/>
    </row>
    <row r="883">
      <c r="F883" s="19"/>
      <c r="H883" s="19"/>
      <c r="I883" s="194"/>
      <c r="L883" s="194"/>
      <c r="U883" s="184"/>
      <c r="V883" s="184"/>
    </row>
    <row r="884">
      <c r="F884" s="19"/>
      <c r="H884" s="19"/>
      <c r="I884" s="194"/>
      <c r="L884" s="194"/>
      <c r="U884" s="184"/>
      <c r="V884" s="184"/>
    </row>
    <row r="885">
      <c r="F885" s="19"/>
      <c r="H885" s="19"/>
      <c r="I885" s="194"/>
      <c r="L885" s="194"/>
      <c r="U885" s="184"/>
      <c r="V885" s="184"/>
    </row>
    <row r="886">
      <c r="F886" s="19"/>
      <c r="H886" s="19"/>
      <c r="I886" s="194"/>
      <c r="L886" s="194"/>
      <c r="U886" s="184"/>
      <c r="V886" s="184"/>
    </row>
    <row r="887">
      <c r="F887" s="19"/>
      <c r="H887" s="19"/>
      <c r="I887" s="194"/>
      <c r="L887" s="194"/>
      <c r="U887" s="184"/>
      <c r="V887" s="184"/>
    </row>
    <row r="888">
      <c r="F888" s="19"/>
      <c r="H888" s="19"/>
      <c r="I888" s="194"/>
      <c r="L888" s="194"/>
      <c r="U888" s="184"/>
      <c r="V888" s="184"/>
    </row>
    <row r="889">
      <c r="F889" s="19"/>
      <c r="H889" s="19"/>
      <c r="I889" s="194"/>
      <c r="L889" s="194"/>
      <c r="U889" s="184"/>
      <c r="V889" s="184"/>
    </row>
    <row r="890">
      <c r="F890" s="19"/>
      <c r="H890" s="19"/>
      <c r="I890" s="194"/>
      <c r="L890" s="194"/>
      <c r="U890" s="184"/>
      <c r="V890" s="184"/>
    </row>
    <row r="891">
      <c r="F891" s="19"/>
      <c r="H891" s="19"/>
      <c r="I891" s="194"/>
      <c r="L891" s="194"/>
      <c r="U891" s="184"/>
      <c r="V891" s="184"/>
    </row>
    <row r="892">
      <c r="F892" s="19"/>
      <c r="H892" s="19"/>
      <c r="I892" s="194"/>
      <c r="L892" s="194"/>
      <c r="U892" s="184"/>
      <c r="V892" s="184"/>
    </row>
    <row r="893">
      <c r="F893" s="19"/>
      <c r="H893" s="19"/>
      <c r="I893" s="194"/>
      <c r="L893" s="194"/>
      <c r="U893" s="184"/>
      <c r="V893" s="184"/>
    </row>
    <row r="894">
      <c r="F894" s="19"/>
      <c r="H894" s="19"/>
      <c r="I894" s="194"/>
      <c r="L894" s="194"/>
      <c r="U894" s="184"/>
      <c r="V894" s="184"/>
    </row>
    <row r="895">
      <c r="F895" s="19"/>
      <c r="H895" s="19"/>
      <c r="I895" s="194"/>
      <c r="L895" s="194"/>
      <c r="U895" s="184"/>
      <c r="V895" s="184"/>
    </row>
    <row r="896">
      <c r="F896" s="19"/>
      <c r="H896" s="19"/>
      <c r="I896" s="194"/>
      <c r="L896" s="194"/>
      <c r="U896" s="184"/>
      <c r="V896" s="184"/>
    </row>
    <row r="897">
      <c r="F897" s="19"/>
      <c r="H897" s="19"/>
      <c r="I897" s="194"/>
      <c r="L897" s="194"/>
      <c r="U897" s="184"/>
      <c r="V897" s="184"/>
    </row>
    <row r="898">
      <c r="F898" s="19"/>
      <c r="H898" s="19"/>
      <c r="I898" s="194"/>
      <c r="L898" s="194"/>
      <c r="U898" s="184"/>
      <c r="V898" s="184"/>
    </row>
    <row r="899">
      <c r="F899" s="19"/>
      <c r="H899" s="19"/>
      <c r="I899" s="194"/>
      <c r="L899" s="194"/>
      <c r="U899" s="184"/>
      <c r="V899" s="184"/>
    </row>
    <row r="900">
      <c r="F900" s="19"/>
      <c r="H900" s="19"/>
      <c r="I900" s="194"/>
      <c r="L900" s="194"/>
      <c r="U900" s="184"/>
      <c r="V900" s="184"/>
    </row>
    <row r="901">
      <c r="F901" s="19"/>
      <c r="H901" s="19"/>
      <c r="I901" s="194"/>
      <c r="L901" s="194"/>
      <c r="U901" s="184"/>
      <c r="V901" s="184"/>
    </row>
    <row r="902">
      <c r="F902" s="19"/>
      <c r="H902" s="19"/>
      <c r="I902" s="194"/>
      <c r="L902" s="194"/>
      <c r="U902" s="184"/>
      <c r="V902" s="184"/>
    </row>
    <row r="903">
      <c r="F903" s="19"/>
      <c r="H903" s="19"/>
      <c r="I903" s="194"/>
      <c r="L903" s="194"/>
      <c r="U903" s="184"/>
      <c r="V903" s="184"/>
    </row>
    <row r="904">
      <c r="F904" s="19"/>
      <c r="H904" s="19"/>
      <c r="I904" s="194"/>
      <c r="L904" s="194"/>
      <c r="U904" s="184"/>
      <c r="V904" s="184"/>
    </row>
    <row r="905">
      <c r="F905" s="19"/>
      <c r="H905" s="19"/>
      <c r="I905" s="194"/>
      <c r="L905" s="194"/>
      <c r="U905" s="184"/>
      <c r="V905" s="184"/>
    </row>
    <row r="906">
      <c r="F906" s="19"/>
      <c r="H906" s="19"/>
      <c r="I906" s="194"/>
      <c r="L906" s="194"/>
      <c r="U906" s="184"/>
      <c r="V906" s="184"/>
    </row>
    <row r="907">
      <c r="F907" s="19"/>
      <c r="H907" s="19"/>
      <c r="I907" s="194"/>
      <c r="L907" s="194"/>
      <c r="U907" s="184"/>
      <c r="V907" s="184"/>
    </row>
    <row r="908">
      <c r="F908" s="19"/>
      <c r="H908" s="19"/>
      <c r="I908" s="194"/>
      <c r="L908" s="194"/>
      <c r="U908" s="184"/>
      <c r="V908" s="184"/>
    </row>
    <row r="909">
      <c r="F909" s="19"/>
      <c r="H909" s="19"/>
      <c r="I909" s="194"/>
      <c r="L909" s="194"/>
      <c r="U909" s="184"/>
      <c r="V909" s="184"/>
    </row>
    <row r="910">
      <c r="F910" s="19"/>
      <c r="H910" s="19"/>
      <c r="I910" s="194"/>
      <c r="L910" s="194"/>
      <c r="U910" s="184"/>
      <c r="V910" s="184"/>
    </row>
    <row r="911">
      <c r="F911" s="19"/>
      <c r="H911" s="19"/>
      <c r="I911" s="194"/>
      <c r="L911" s="194"/>
      <c r="U911" s="184"/>
      <c r="V911" s="184"/>
    </row>
    <row r="912">
      <c r="F912" s="19"/>
      <c r="H912" s="19"/>
      <c r="I912" s="194"/>
      <c r="L912" s="194"/>
      <c r="U912" s="184"/>
      <c r="V912" s="184"/>
    </row>
    <row r="913">
      <c r="F913" s="19"/>
      <c r="H913" s="19"/>
      <c r="I913" s="194"/>
      <c r="L913" s="194"/>
      <c r="U913" s="184"/>
      <c r="V913" s="184"/>
    </row>
    <row r="914">
      <c r="F914" s="19"/>
      <c r="H914" s="19"/>
      <c r="I914" s="194"/>
      <c r="L914" s="194"/>
      <c r="U914" s="184"/>
      <c r="V914" s="184"/>
    </row>
    <row r="915">
      <c r="F915" s="19"/>
      <c r="H915" s="19"/>
      <c r="I915" s="194"/>
      <c r="L915" s="194"/>
      <c r="U915" s="184"/>
      <c r="V915" s="184"/>
    </row>
    <row r="916">
      <c r="F916" s="19"/>
      <c r="H916" s="19"/>
      <c r="I916" s="194"/>
      <c r="L916" s="194"/>
      <c r="U916" s="184"/>
      <c r="V916" s="184"/>
    </row>
    <row r="917">
      <c r="F917" s="19"/>
      <c r="H917" s="19"/>
      <c r="I917" s="194"/>
      <c r="L917" s="194"/>
      <c r="U917" s="184"/>
      <c r="V917" s="184"/>
    </row>
    <row r="918">
      <c r="F918" s="19"/>
      <c r="H918" s="19"/>
      <c r="I918" s="194"/>
      <c r="L918" s="194"/>
      <c r="U918" s="184"/>
      <c r="V918" s="184"/>
    </row>
    <row r="919">
      <c r="F919" s="19"/>
      <c r="H919" s="19"/>
      <c r="I919" s="194"/>
      <c r="L919" s="194"/>
      <c r="U919" s="184"/>
      <c r="V919" s="184"/>
    </row>
    <row r="920">
      <c r="F920" s="19"/>
      <c r="H920" s="19"/>
      <c r="I920" s="194"/>
      <c r="L920" s="194"/>
      <c r="U920" s="184"/>
      <c r="V920" s="184"/>
    </row>
    <row r="921">
      <c r="F921" s="19"/>
      <c r="H921" s="19"/>
      <c r="I921" s="194"/>
      <c r="L921" s="194"/>
      <c r="U921" s="184"/>
      <c r="V921" s="184"/>
    </row>
    <row r="922">
      <c r="F922" s="19"/>
      <c r="H922" s="19"/>
      <c r="I922" s="194"/>
      <c r="L922" s="194"/>
      <c r="U922" s="184"/>
      <c r="V922" s="184"/>
    </row>
    <row r="923">
      <c r="F923" s="19"/>
      <c r="H923" s="19"/>
      <c r="I923" s="194"/>
      <c r="L923" s="194"/>
      <c r="U923" s="184"/>
      <c r="V923" s="184"/>
    </row>
    <row r="924">
      <c r="F924" s="19"/>
      <c r="H924" s="19"/>
      <c r="I924" s="194"/>
      <c r="L924" s="194"/>
      <c r="U924" s="184"/>
      <c r="V924" s="184"/>
    </row>
    <row r="925">
      <c r="F925" s="19"/>
      <c r="H925" s="19"/>
      <c r="I925" s="194"/>
      <c r="L925" s="194"/>
      <c r="U925" s="184"/>
      <c r="V925" s="184"/>
    </row>
    <row r="926">
      <c r="F926" s="19"/>
      <c r="H926" s="19"/>
      <c r="I926" s="194"/>
      <c r="L926" s="194"/>
      <c r="U926" s="184"/>
      <c r="V926" s="184"/>
    </row>
    <row r="927">
      <c r="F927" s="19"/>
      <c r="H927" s="19"/>
      <c r="I927" s="194"/>
      <c r="L927" s="194"/>
      <c r="U927" s="184"/>
      <c r="V927" s="184"/>
    </row>
    <row r="928">
      <c r="F928" s="19"/>
      <c r="H928" s="19"/>
      <c r="I928" s="194"/>
      <c r="L928" s="194"/>
      <c r="U928" s="184"/>
      <c r="V928" s="184"/>
    </row>
    <row r="929">
      <c r="F929" s="19"/>
      <c r="H929" s="19"/>
      <c r="I929" s="194"/>
      <c r="L929" s="194"/>
      <c r="U929" s="184"/>
      <c r="V929" s="184"/>
    </row>
    <row r="930">
      <c r="F930" s="19"/>
      <c r="H930" s="19"/>
      <c r="I930" s="194"/>
      <c r="L930" s="194"/>
      <c r="U930" s="184"/>
      <c r="V930" s="184"/>
    </row>
    <row r="931">
      <c r="F931" s="19"/>
      <c r="H931" s="19"/>
      <c r="I931" s="194"/>
      <c r="L931" s="194"/>
      <c r="U931" s="184"/>
      <c r="V931" s="184"/>
    </row>
    <row r="932">
      <c r="F932" s="19"/>
      <c r="H932" s="19"/>
      <c r="I932" s="194"/>
      <c r="L932" s="194"/>
      <c r="U932" s="184"/>
      <c r="V932" s="184"/>
    </row>
    <row r="933">
      <c r="F933" s="19"/>
      <c r="H933" s="19"/>
      <c r="I933" s="194"/>
      <c r="L933" s="194"/>
      <c r="U933" s="184"/>
      <c r="V933" s="184"/>
    </row>
    <row r="934">
      <c r="F934" s="19"/>
      <c r="H934" s="19"/>
      <c r="I934" s="194"/>
      <c r="L934" s="194"/>
      <c r="U934" s="184"/>
      <c r="V934" s="184"/>
    </row>
    <row r="935">
      <c r="F935" s="19"/>
      <c r="H935" s="19"/>
      <c r="I935" s="194"/>
      <c r="L935" s="194"/>
      <c r="U935" s="184"/>
      <c r="V935" s="184"/>
    </row>
    <row r="936">
      <c r="F936" s="19"/>
      <c r="H936" s="19"/>
      <c r="I936" s="194"/>
      <c r="L936" s="194"/>
      <c r="U936" s="184"/>
      <c r="V936" s="184"/>
    </row>
    <row r="937">
      <c r="F937" s="19"/>
      <c r="H937" s="19"/>
      <c r="I937" s="194"/>
      <c r="L937" s="194"/>
      <c r="U937" s="184"/>
      <c r="V937" s="184"/>
    </row>
    <row r="938">
      <c r="F938" s="19"/>
      <c r="H938" s="19"/>
      <c r="I938" s="194"/>
      <c r="L938" s="194"/>
      <c r="U938" s="184"/>
      <c r="V938" s="184"/>
    </row>
    <row r="939">
      <c r="F939" s="19"/>
      <c r="H939" s="19"/>
      <c r="I939" s="194"/>
      <c r="L939" s="194"/>
      <c r="U939" s="184"/>
      <c r="V939" s="184"/>
    </row>
    <row r="940">
      <c r="F940" s="19"/>
      <c r="H940" s="19"/>
      <c r="I940" s="194"/>
      <c r="L940" s="194"/>
      <c r="U940" s="184"/>
      <c r="V940" s="184"/>
    </row>
    <row r="941">
      <c r="F941" s="19"/>
      <c r="H941" s="19"/>
      <c r="I941" s="194"/>
      <c r="L941" s="194"/>
      <c r="U941" s="184"/>
      <c r="V941" s="184"/>
    </row>
    <row r="942">
      <c r="F942" s="19"/>
      <c r="H942" s="19"/>
      <c r="I942" s="194"/>
      <c r="L942" s="194"/>
      <c r="U942" s="184"/>
      <c r="V942" s="184"/>
    </row>
    <row r="943">
      <c r="F943" s="19"/>
      <c r="H943" s="19"/>
      <c r="I943" s="194"/>
      <c r="L943" s="194"/>
      <c r="U943" s="184"/>
      <c r="V943" s="184"/>
    </row>
    <row r="944">
      <c r="F944" s="19"/>
      <c r="H944" s="19"/>
      <c r="I944" s="194"/>
      <c r="L944" s="194"/>
      <c r="U944" s="184"/>
      <c r="V944" s="184"/>
    </row>
    <row r="945">
      <c r="F945" s="19"/>
      <c r="H945" s="19"/>
      <c r="I945" s="194"/>
      <c r="L945" s="194"/>
      <c r="U945" s="184"/>
      <c r="V945" s="184"/>
    </row>
    <row r="946">
      <c r="F946" s="19"/>
      <c r="H946" s="19"/>
      <c r="I946" s="194"/>
      <c r="L946" s="194"/>
      <c r="U946" s="184"/>
      <c r="V946" s="184"/>
    </row>
    <row r="947">
      <c r="F947" s="19"/>
      <c r="H947" s="19"/>
      <c r="I947" s="194"/>
      <c r="L947" s="194"/>
      <c r="U947" s="184"/>
      <c r="V947" s="184"/>
    </row>
    <row r="948">
      <c r="F948" s="19"/>
      <c r="H948" s="19"/>
      <c r="I948" s="194"/>
      <c r="L948" s="194"/>
      <c r="U948" s="184"/>
      <c r="V948" s="184"/>
    </row>
    <row r="949">
      <c r="F949" s="19"/>
      <c r="H949" s="19"/>
      <c r="I949" s="194"/>
      <c r="L949" s="194"/>
      <c r="U949" s="184"/>
      <c r="V949" s="184"/>
    </row>
    <row r="950">
      <c r="F950" s="19"/>
      <c r="H950" s="19"/>
      <c r="I950" s="194"/>
      <c r="L950" s="194"/>
      <c r="U950" s="184"/>
      <c r="V950" s="184"/>
    </row>
    <row r="951">
      <c r="F951" s="19"/>
      <c r="H951" s="19"/>
      <c r="I951" s="194"/>
      <c r="L951" s="194"/>
      <c r="U951" s="184"/>
      <c r="V951" s="184"/>
    </row>
    <row r="952">
      <c r="F952" s="19"/>
      <c r="H952" s="19"/>
      <c r="I952" s="194"/>
      <c r="L952" s="194"/>
      <c r="U952" s="184"/>
      <c r="V952" s="184"/>
    </row>
    <row r="953">
      <c r="F953" s="19"/>
      <c r="H953" s="19"/>
      <c r="I953" s="194"/>
      <c r="L953" s="194"/>
      <c r="U953" s="184"/>
      <c r="V953" s="184"/>
    </row>
    <row r="954">
      <c r="F954" s="19"/>
      <c r="H954" s="19"/>
      <c r="I954" s="194"/>
      <c r="L954" s="194"/>
      <c r="U954" s="184"/>
      <c r="V954" s="184"/>
    </row>
    <row r="955">
      <c r="F955" s="19"/>
      <c r="H955" s="19"/>
      <c r="I955" s="194"/>
      <c r="L955" s="194"/>
      <c r="U955" s="184"/>
      <c r="V955" s="184"/>
    </row>
    <row r="956">
      <c r="F956" s="19"/>
      <c r="H956" s="19"/>
      <c r="I956" s="194"/>
      <c r="L956" s="194"/>
      <c r="U956" s="184"/>
      <c r="V956" s="184"/>
    </row>
    <row r="957">
      <c r="F957" s="19"/>
      <c r="H957" s="19"/>
      <c r="I957" s="194"/>
      <c r="L957" s="194"/>
      <c r="U957" s="184"/>
      <c r="V957" s="184"/>
    </row>
    <row r="958">
      <c r="F958" s="19"/>
      <c r="H958" s="19"/>
      <c r="I958" s="194"/>
      <c r="L958" s="194"/>
      <c r="U958" s="184"/>
      <c r="V958" s="184"/>
    </row>
    <row r="959">
      <c r="F959" s="19"/>
      <c r="H959" s="19"/>
      <c r="I959" s="194"/>
      <c r="L959" s="194"/>
      <c r="U959" s="184"/>
      <c r="V959" s="184"/>
    </row>
    <row r="960">
      <c r="F960" s="19"/>
      <c r="H960" s="19"/>
      <c r="I960" s="194"/>
      <c r="L960" s="194"/>
      <c r="U960" s="184"/>
      <c r="V960" s="184"/>
    </row>
    <row r="961">
      <c r="F961" s="19"/>
      <c r="H961" s="19"/>
      <c r="I961" s="194"/>
      <c r="L961" s="194"/>
      <c r="U961" s="184"/>
      <c r="V961" s="184"/>
    </row>
    <row r="962">
      <c r="F962" s="19"/>
      <c r="H962" s="19"/>
      <c r="I962" s="194"/>
      <c r="L962" s="194"/>
      <c r="U962" s="184"/>
      <c r="V962" s="184"/>
    </row>
    <row r="963">
      <c r="F963" s="19"/>
      <c r="H963" s="19"/>
      <c r="I963" s="194"/>
      <c r="L963" s="194"/>
      <c r="U963" s="184"/>
      <c r="V963" s="184"/>
    </row>
    <row r="964">
      <c r="F964" s="19"/>
      <c r="H964" s="19"/>
      <c r="I964" s="194"/>
      <c r="L964" s="194"/>
      <c r="U964" s="184"/>
      <c r="V964" s="184"/>
    </row>
    <row r="965">
      <c r="F965" s="19"/>
      <c r="H965" s="19"/>
      <c r="I965" s="194"/>
      <c r="L965" s="194"/>
      <c r="U965" s="184"/>
      <c r="V965" s="184"/>
    </row>
    <row r="966">
      <c r="F966" s="19"/>
      <c r="H966" s="19"/>
      <c r="I966" s="194"/>
      <c r="L966" s="194"/>
      <c r="U966" s="184"/>
      <c r="V966" s="184"/>
    </row>
    <row r="967">
      <c r="F967" s="19"/>
      <c r="H967" s="19"/>
      <c r="I967" s="194"/>
      <c r="L967" s="194"/>
      <c r="U967" s="184"/>
      <c r="V967" s="184"/>
    </row>
    <row r="968">
      <c r="F968" s="19"/>
      <c r="H968" s="19"/>
      <c r="I968" s="194"/>
      <c r="L968" s="194"/>
      <c r="U968" s="184"/>
      <c r="V968" s="184"/>
    </row>
    <row r="969">
      <c r="F969" s="19"/>
      <c r="H969" s="19"/>
      <c r="I969" s="194"/>
      <c r="L969" s="194"/>
      <c r="U969" s="184"/>
      <c r="V969" s="184"/>
    </row>
    <row r="970">
      <c r="F970" s="19"/>
      <c r="H970" s="19"/>
      <c r="I970" s="194"/>
      <c r="L970" s="194"/>
      <c r="U970" s="184"/>
      <c r="V970" s="184"/>
    </row>
    <row r="971">
      <c r="F971" s="19"/>
      <c r="H971" s="19"/>
      <c r="I971" s="194"/>
      <c r="L971" s="194"/>
      <c r="U971" s="184"/>
      <c r="V971" s="184"/>
    </row>
    <row r="972">
      <c r="F972" s="19"/>
      <c r="H972" s="19"/>
      <c r="I972" s="194"/>
      <c r="L972" s="194"/>
      <c r="U972" s="184"/>
      <c r="V972" s="184"/>
    </row>
    <row r="973">
      <c r="F973" s="19"/>
      <c r="H973" s="19"/>
      <c r="I973" s="194"/>
      <c r="L973" s="194"/>
      <c r="U973" s="184"/>
      <c r="V973" s="184"/>
    </row>
    <row r="974">
      <c r="F974" s="19"/>
      <c r="H974" s="19"/>
      <c r="I974" s="194"/>
      <c r="L974" s="194"/>
      <c r="U974" s="184"/>
      <c r="V974" s="184"/>
    </row>
    <row r="975">
      <c r="F975" s="19"/>
      <c r="H975" s="19"/>
      <c r="I975" s="194"/>
      <c r="L975" s="194"/>
      <c r="U975" s="184"/>
      <c r="V975" s="184"/>
    </row>
    <row r="976">
      <c r="F976" s="19"/>
      <c r="H976" s="19"/>
      <c r="I976" s="194"/>
      <c r="L976" s="194"/>
      <c r="U976" s="184"/>
      <c r="V976" s="184"/>
    </row>
    <row r="977">
      <c r="F977" s="19"/>
      <c r="H977" s="19"/>
      <c r="I977" s="194"/>
      <c r="L977" s="194"/>
      <c r="U977" s="184"/>
      <c r="V977" s="184"/>
    </row>
    <row r="978">
      <c r="F978" s="19"/>
      <c r="H978" s="19"/>
      <c r="I978" s="194"/>
      <c r="L978" s="194"/>
      <c r="U978" s="184"/>
      <c r="V978" s="184"/>
    </row>
    <row r="979">
      <c r="F979" s="19"/>
      <c r="H979" s="19"/>
      <c r="I979" s="194"/>
      <c r="L979" s="194"/>
      <c r="U979" s="184"/>
      <c r="V979" s="184"/>
    </row>
    <row r="980">
      <c r="F980" s="19"/>
      <c r="H980" s="19"/>
      <c r="I980" s="194"/>
      <c r="L980" s="194"/>
      <c r="U980" s="184"/>
      <c r="V980" s="184"/>
    </row>
    <row r="981">
      <c r="F981" s="19"/>
      <c r="H981" s="19"/>
      <c r="I981" s="194"/>
      <c r="L981" s="194"/>
      <c r="U981" s="184"/>
      <c r="V981" s="184"/>
    </row>
    <row r="982">
      <c r="F982" s="19"/>
      <c r="H982" s="19"/>
      <c r="I982" s="194"/>
      <c r="L982" s="194"/>
      <c r="U982" s="184"/>
      <c r="V982" s="184"/>
    </row>
    <row r="983">
      <c r="F983" s="19"/>
      <c r="H983" s="19"/>
      <c r="I983" s="194"/>
      <c r="L983" s="194"/>
      <c r="U983" s="184"/>
      <c r="V983" s="184"/>
    </row>
    <row r="984">
      <c r="F984" s="19"/>
      <c r="H984" s="19"/>
      <c r="I984" s="194"/>
      <c r="L984" s="194"/>
      <c r="U984" s="184"/>
      <c r="V984" s="184"/>
    </row>
    <row r="985">
      <c r="F985" s="19"/>
      <c r="H985" s="19"/>
      <c r="I985" s="194"/>
      <c r="L985" s="194"/>
      <c r="U985" s="184"/>
      <c r="V985" s="184"/>
    </row>
    <row r="986">
      <c r="F986" s="19"/>
      <c r="H986" s="19"/>
      <c r="I986" s="194"/>
      <c r="L986" s="194"/>
      <c r="U986" s="184"/>
      <c r="V986" s="184"/>
    </row>
    <row r="987">
      <c r="F987" s="19"/>
      <c r="H987" s="19"/>
      <c r="I987" s="194"/>
      <c r="L987" s="194"/>
      <c r="U987" s="184"/>
      <c r="V987" s="184"/>
    </row>
    <row r="988">
      <c r="F988" s="19"/>
      <c r="H988" s="19"/>
      <c r="I988" s="194"/>
      <c r="L988" s="194"/>
      <c r="U988" s="184"/>
      <c r="V988" s="184"/>
    </row>
    <row r="989">
      <c r="F989" s="19"/>
      <c r="H989" s="19"/>
      <c r="I989" s="194"/>
      <c r="L989" s="194"/>
      <c r="U989" s="184"/>
      <c r="V989" s="184"/>
    </row>
    <row r="990">
      <c r="F990" s="19"/>
      <c r="H990" s="19"/>
      <c r="I990" s="194"/>
      <c r="L990" s="194"/>
      <c r="U990" s="184"/>
      <c r="V990" s="184"/>
    </row>
    <row r="991">
      <c r="F991" s="19"/>
      <c r="H991" s="19"/>
      <c r="I991" s="194"/>
      <c r="L991" s="194"/>
      <c r="U991" s="184"/>
      <c r="V991" s="184"/>
    </row>
    <row r="992">
      <c r="F992" s="19"/>
      <c r="H992" s="19"/>
      <c r="I992" s="194"/>
      <c r="L992" s="194"/>
      <c r="U992" s="184"/>
      <c r="V992" s="184"/>
    </row>
    <row r="993">
      <c r="F993" s="19"/>
      <c r="H993" s="19"/>
      <c r="I993" s="194"/>
      <c r="L993" s="194"/>
      <c r="U993" s="184"/>
      <c r="V993" s="184"/>
    </row>
    <row r="994">
      <c r="F994" s="19"/>
      <c r="H994" s="19"/>
      <c r="I994" s="194"/>
      <c r="L994" s="194"/>
      <c r="U994" s="184"/>
      <c r="V994" s="184"/>
    </row>
    <row r="995">
      <c r="F995" s="19"/>
      <c r="H995" s="19"/>
      <c r="I995" s="194"/>
      <c r="L995" s="194"/>
      <c r="U995" s="184"/>
      <c r="V995" s="184"/>
    </row>
    <row r="996">
      <c r="F996" s="19"/>
      <c r="H996" s="19"/>
      <c r="I996" s="194"/>
      <c r="L996" s="194"/>
      <c r="U996" s="184"/>
      <c r="V996" s="184"/>
    </row>
    <row r="997">
      <c r="F997" s="19"/>
      <c r="H997" s="19"/>
      <c r="I997" s="194"/>
      <c r="L997" s="194"/>
      <c r="U997" s="184"/>
      <c r="V997" s="184"/>
    </row>
    <row r="998">
      <c r="F998" s="19"/>
      <c r="H998" s="19"/>
      <c r="I998" s="194"/>
      <c r="L998" s="194"/>
      <c r="U998" s="184"/>
      <c r="V998" s="184"/>
    </row>
    <row r="999">
      <c r="F999" s="19"/>
      <c r="H999" s="19"/>
      <c r="I999" s="194"/>
      <c r="L999" s="194"/>
      <c r="U999" s="184"/>
      <c r="V999" s="184"/>
    </row>
    <row r="1000">
      <c r="F1000" s="19"/>
      <c r="H1000" s="19"/>
      <c r="I1000" s="194"/>
      <c r="L1000" s="194"/>
      <c r="U1000" s="184"/>
      <c r="V1000" s="184"/>
    </row>
    <row r="1001">
      <c r="F1001" s="19"/>
      <c r="H1001" s="19"/>
      <c r="I1001" s="194"/>
      <c r="L1001" s="194"/>
      <c r="U1001" s="184"/>
      <c r="V1001" s="184"/>
    </row>
    <row r="1002">
      <c r="F1002" s="19"/>
      <c r="H1002" s="19"/>
      <c r="I1002" s="194"/>
      <c r="L1002" s="194"/>
      <c r="U1002" s="184"/>
      <c r="V1002" s="184"/>
    </row>
    <row r="1003">
      <c r="F1003" s="19"/>
      <c r="H1003" s="19"/>
      <c r="I1003" s="194"/>
      <c r="L1003" s="194"/>
      <c r="U1003" s="184"/>
      <c r="V1003" s="184"/>
    </row>
    <row r="1004">
      <c r="F1004" s="19"/>
      <c r="H1004" s="19"/>
      <c r="I1004" s="194"/>
      <c r="L1004" s="194"/>
      <c r="U1004" s="184"/>
      <c r="V1004" s="184"/>
    </row>
    <row r="1005">
      <c r="F1005" s="19"/>
      <c r="H1005" s="19"/>
      <c r="I1005" s="194"/>
      <c r="L1005" s="194"/>
      <c r="U1005" s="184"/>
      <c r="V1005" s="184"/>
    </row>
    <row r="1006">
      <c r="F1006" s="19"/>
      <c r="H1006" s="19"/>
      <c r="I1006" s="194"/>
      <c r="L1006" s="194"/>
      <c r="U1006" s="184"/>
      <c r="V1006" s="184"/>
    </row>
    <row r="1007">
      <c r="F1007" s="19"/>
      <c r="H1007" s="19"/>
      <c r="I1007" s="194"/>
      <c r="L1007" s="194"/>
      <c r="U1007" s="184"/>
      <c r="V1007" s="184"/>
    </row>
    <row r="1008">
      <c r="F1008" s="19"/>
      <c r="H1008" s="19"/>
      <c r="I1008" s="194"/>
      <c r="L1008" s="194"/>
      <c r="U1008" s="184"/>
      <c r="V1008" s="184"/>
    </row>
    <row r="1009">
      <c r="F1009" s="19"/>
      <c r="H1009" s="19"/>
      <c r="I1009" s="194"/>
      <c r="L1009" s="194"/>
      <c r="U1009" s="184"/>
      <c r="V1009" s="184"/>
    </row>
    <row r="1010">
      <c r="F1010" s="19"/>
      <c r="H1010" s="19"/>
      <c r="I1010" s="194"/>
      <c r="L1010" s="194"/>
      <c r="U1010" s="184"/>
      <c r="V1010" s="184"/>
    </row>
    <row r="1011">
      <c r="F1011" s="19"/>
      <c r="H1011" s="19"/>
      <c r="I1011" s="194"/>
      <c r="L1011" s="194"/>
      <c r="U1011" s="184"/>
      <c r="V1011" s="184"/>
    </row>
  </sheetData>
  <autoFilter ref="$A$1:$K$81">
    <sortState ref="A1:K81">
      <sortCondition ref="E1:E81"/>
    </sortState>
  </autoFilter>
  <dataValidations>
    <dataValidation type="list" allowBlank="1" showErrorMessage="1" sqref="D2:D81">
      <formula1>"-------,UX/UI,Backend,Mobile,Frontend,Testing,PM"</formula1>
    </dataValidation>
    <dataValidation type="list" allowBlank="1" showErrorMessage="1" sqref="G2:G81">
      <formula1>"----------------,🟢 Активный,⏸️ Приостановлен,🚪 Прекратил стажировку,❌ Отчислен,✅ Успешно завершил"</formula1>
    </dataValidation>
    <dataValidation type="list" allowBlank="1" showErrorMessage="1" sqref="L2:L51 I2:I81">
      <formula1>"---------------,1й проект,2й проект,3й проект,4й проект"</formula1>
    </dataValidation>
    <dataValidation type="list" allowBlank="1" showErrorMessage="1" sqref="H2:H81">
      <formula1>"-----------------,Бишкекский филиал,Ошский филиал,Внешние стажёры(Биш),Внешние стажёры(Ош)"</formula1>
    </dataValidation>
    <dataValidation type="list" allowBlank="1" showErrorMessage="1" sqref="J2:J81">
      <formula1>"---------------,Резюме загружено,Резюме не загружено"</formula1>
    </dataValidation>
    <dataValidation type="list" allowBlank="1" showErrorMessage="1" sqref="M2:M43">
      <formula1>"-----,подписан,не подписан"</formula1>
    </dataValidation>
  </dataValidations>
  <hyperlinks>
    <hyperlink r:id="rId1" ref="K26"/>
    <hyperlink r:id="rId2" ref="K51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5.38"/>
    <col customWidth="1" min="3" max="3" width="13.5"/>
    <col customWidth="1" min="4" max="4" width="16.38"/>
    <col customWidth="1" min="5" max="12" width="11.38"/>
    <col customWidth="1" min="13" max="13" width="3.25"/>
    <col customWidth="1" min="14" max="15" width="9.25"/>
    <col customWidth="1" min="16" max="16" width="9.63"/>
    <col customWidth="1" min="17" max="17" width="11.63"/>
    <col customWidth="1" min="18" max="18" width="3.0"/>
    <col customWidth="1" min="19" max="19" width="7.25"/>
    <col customWidth="1" min="20" max="20" width="7.88"/>
    <col customWidth="1" min="21" max="22" width="7.25"/>
    <col customWidth="1" min="23" max="23" width="9.38"/>
    <col customWidth="1" min="24" max="29" width="7.25"/>
    <col customWidth="1" min="30" max="33" width="13.25"/>
  </cols>
  <sheetData>
    <row r="1" ht="36.0" customHeight="1">
      <c r="A1" s="195"/>
      <c r="B1" s="196" t="s">
        <v>233</v>
      </c>
      <c r="C1" s="196" t="s">
        <v>410</v>
      </c>
      <c r="D1" s="196" t="s">
        <v>411</v>
      </c>
      <c r="E1" s="197" t="s">
        <v>412</v>
      </c>
      <c r="F1" s="198" t="s">
        <v>413</v>
      </c>
      <c r="G1" s="198" t="s">
        <v>414</v>
      </c>
      <c r="H1" s="199" t="s">
        <v>415</v>
      </c>
      <c r="I1" s="199" t="s">
        <v>416</v>
      </c>
      <c r="J1" s="199" t="s">
        <v>417</v>
      </c>
      <c r="K1" s="198" t="s">
        <v>418</v>
      </c>
      <c r="L1" s="199" t="s">
        <v>419</v>
      </c>
      <c r="M1" s="200"/>
      <c r="N1" s="201" t="s">
        <v>420</v>
      </c>
      <c r="O1" s="202" t="s">
        <v>421</v>
      </c>
      <c r="P1" s="203" t="s">
        <v>422</v>
      </c>
      <c r="Q1" s="203" t="s">
        <v>423</v>
      </c>
      <c r="R1" s="200"/>
      <c r="S1" s="204" t="s">
        <v>424</v>
      </c>
      <c r="T1" s="204" t="s">
        <v>424</v>
      </c>
      <c r="U1" s="204" t="s">
        <v>25</v>
      </c>
      <c r="V1" s="205" t="s">
        <v>39</v>
      </c>
      <c r="W1" s="24"/>
      <c r="X1" s="205" t="s">
        <v>425</v>
      </c>
      <c r="Y1" s="24"/>
      <c r="Z1" s="205" t="s">
        <v>426</v>
      </c>
      <c r="AA1" s="24"/>
      <c r="AB1" s="204" t="s">
        <v>427</v>
      </c>
      <c r="AC1" s="204" t="s">
        <v>428</v>
      </c>
      <c r="AD1" s="200"/>
      <c r="AE1" s="200"/>
      <c r="AF1" s="200"/>
      <c r="AG1" s="200"/>
    </row>
    <row r="2" ht="36.0" customHeight="1">
      <c r="A2" s="206">
        <v>2.0</v>
      </c>
      <c r="B2" s="207">
        <v>10.0</v>
      </c>
      <c r="C2" s="208" t="s">
        <v>148</v>
      </c>
      <c r="D2" s="209">
        <v>46127.0</v>
      </c>
      <c r="E2" s="210"/>
      <c r="F2" s="211" t="s">
        <v>413</v>
      </c>
      <c r="G2" s="212"/>
      <c r="H2" s="211" t="s">
        <v>429</v>
      </c>
      <c r="I2" s="213" t="s">
        <v>430</v>
      </c>
      <c r="J2" s="214" t="s">
        <v>431</v>
      </c>
      <c r="K2" s="212"/>
      <c r="L2" s="215" t="s">
        <v>432</v>
      </c>
      <c r="M2" s="44"/>
      <c r="N2" s="42"/>
      <c r="O2" s="42"/>
      <c r="P2" s="42"/>
      <c r="Q2" s="42"/>
      <c r="R2" s="44"/>
      <c r="S2" s="7"/>
      <c r="T2" s="216" t="s">
        <v>433</v>
      </c>
      <c r="U2" s="42"/>
      <c r="V2" s="42"/>
      <c r="W2" s="217" t="s">
        <v>434</v>
      </c>
      <c r="X2" s="216" t="s">
        <v>435</v>
      </c>
      <c r="Y2" s="218" t="s">
        <v>182</v>
      </c>
      <c r="Z2" s="42"/>
      <c r="AA2" s="42"/>
      <c r="AB2" s="42"/>
      <c r="AC2" s="217" t="s">
        <v>436</v>
      </c>
      <c r="AD2" s="44"/>
      <c r="AE2" s="44"/>
      <c r="AF2" s="44"/>
      <c r="AG2" s="44"/>
    </row>
    <row r="3" ht="36.0" customHeight="1">
      <c r="A3" s="195">
        <v>3.0</v>
      </c>
      <c r="B3" s="207">
        <v>10.0</v>
      </c>
      <c r="C3" s="219" t="s">
        <v>151</v>
      </c>
      <c r="D3" s="209">
        <v>46127.0</v>
      </c>
      <c r="E3" s="210"/>
      <c r="F3" s="220"/>
      <c r="G3" s="212"/>
      <c r="H3" s="211" t="s">
        <v>429</v>
      </c>
      <c r="I3" s="213" t="s">
        <v>437</v>
      </c>
      <c r="J3" s="214" t="s">
        <v>438</v>
      </c>
      <c r="K3" s="212"/>
      <c r="L3" s="225" t="s">
        <v>439</v>
      </c>
      <c r="M3" s="44"/>
      <c r="N3" s="42"/>
      <c r="O3" s="42"/>
      <c r="P3" s="42"/>
      <c r="Q3" s="42"/>
      <c r="R3" s="44"/>
      <c r="S3" s="7"/>
      <c r="T3" s="216" t="s">
        <v>441</v>
      </c>
      <c r="U3" s="42"/>
      <c r="V3" s="42"/>
      <c r="W3" s="217" t="s">
        <v>434</v>
      </c>
      <c r="X3" s="216" t="s">
        <v>435</v>
      </c>
      <c r="Y3" s="218" t="s">
        <v>182</v>
      </c>
      <c r="Z3" s="42"/>
      <c r="AA3" s="42"/>
      <c r="AB3" s="42"/>
      <c r="AC3" s="217" t="s">
        <v>436</v>
      </c>
      <c r="AD3" s="44"/>
      <c r="AE3" s="44"/>
      <c r="AF3" s="44"/>
      <c r="AG3" s="44"/>
    </row>
    <row r="4" ht="36.0" customHeight="1">
      <c r="A4" s="195">
        <v>4.0</v>
      </c>
      <c r="B4" s="207">
        <v>10.0</v>
      </c>
      <c r="C4" s="208" t="s">
        <v>155</v>
      </c>
      <c r="D4" s="209">
        <v>46127.0</v>
      </c>
      <c r="E4" s="210"/>
      <c r="F4" s="211" t="s">
        <v>413</v>
      </c>
      <c r="G4" s="212"/>
      <c r="H4" s="211" t="s">
        <v>429</v>
      </c>
      <c r="I4" s="213" t="s">
        <v>446</v>
      </c>
      <c r="J4" s="214" t="s">
        <v>448</v>
      </c>
      <c r="K4" s="212"/>
      <c r="L4" s="215" t="s">
        <v>449</v>
      </c>
      <c r="M4" s="44"/>
      <c r="N4" s="42"/>
      <c r="O4" s="42"/>
      <c r="P4" s="42"/>
      <c r="Q4" s="42"/>
      <c r="R4" s="44"/>
      <c r="S4" s="7"/>
      <c r="T4" s="216" t="s">
        <v>451</v>
      </c>
      <c r="U4" s="42"/>
      <c r="V4" s="42"/>
      <c r="W4" s="216" t="s">
        <v>452</v>
      </c>
      <c r="X4" s="216" t="s">
        <v>435</v>
      </c>
      <c r="Y4" s="218" t="s">
        <v>182</v>
      </c>
      <c r="Z4" s="42"/>
      <c r="AA4" s="42"/>
      <c r="AB4" s="42"/>
      <c r="AC4" s="217" t="s">
        <v>436</v>
      </c>
      <c r="AD4" s="44"/>
      <c r="AE4" s="44"/>
      <c r="AF4" s="44"/>
      <c r="AG4" s="44"/>
    </row>
    <row r="5" ht="36.0" customHeight="1">
      <c r="A5" s="195">
        <v>6.0</v>
      </c>
      <c r="B5" s="207">
        <v>10.0</v>
      </c>
      <c r="C5" s="230" t="s">
        <v>157</v>
      </c>
      <c r="D5" s="209">
        <v>46127.0</v>
      </c>
      <c r="E5" s="210"/>
      <c r="F5" s="211" t="s">
        <v>413</v>
      </c>
      <c r="G5" s="212"/>
      <c r="H5" s="231" t="s">
        <v>429</v>
      </c>
      <c r="I5" s="232" t="s">
        <v>457</v>
      </c>
      <c r="J5" s="214" t="s">
        <v>459</v>
      </c>
      <c r="K5" s="212"/>
      <c r="L5" s="215" t="s">
        <v>460</v>
      </c>
      <c r="M5" s="44"/>
      <c r="N5" s="42"/>
      <c r="O5" s="42"/>
      <c r="P5" s="42"/>
      <c r="Q5" s="42"/>
      <c r="R5" s="44"/>
      <c r="S5" s="7"/>
      <c r="T5" s="235" t="s">
        <v>462</v>
      </c>
      <c r="U5" s="42"/>
      <c r="V5" s="42"/>
      <c r="W5" s="216" t="s">
        <v>452</v>
      </c>
      <c r="X5" s="216" t="s">
        <v>435</v>
      </c>
      <c r="Y5" s="218" t="s">
        <v>182</v>
      </c>
      <c r="Z5" s="42"/>
      <c r="AA5" s="42"/>
      <c r="AB5" s="42"/>
      <c r="AC5" s="217" t="s">
        <v>436</v>
      </c>
      <c r="AD5" s="44"/>
      <c r="AE5" s="44"/>
      <c r="AF5" s="44"/>
      <c r="AG5" s="44"/>
    </row>
    <row r="6" ht="36.0" customHeight="1">
      <c r="A6" s="206">
        <v>5.0</v>
      </c>
      <c r="B6" s="207">
        <v>10.0</v>
      </c>
      <c r="C6" s="207" t="s">
        <v>160</v>
      </c>
      <c r="D6" s="236" t="s">
        <v>464</v>
      </c>
      <c r="E6" s="210"/>
      <c r="F6" s="211" t="s">
        <v>413</v>
      </c>
      <c r="G6" s="207" t="s">
        <v>466</v>
      </c>
      <c r="H6" s="211" t="s">
        <v>429</v>
      </c>
      <c r="I6" s="214" t="s">
        <v>202</v>
      </c>
      <c r="J6" s="238"/>
      <c r="K6" s="212"/>
      <c r="L6" s="212"/>
      <c r="M6" s="44"/>
      <c r="N6" s="42"/>
      <c r="O6" s="42"/>
      <c r="P6" s="42"/>
      <c r="Q6" s="42"/>
      <c r="R6" s="44"/>
      <c r="S6" s="7"/>
      <c r="T6" s="239" t="s">
        <v>468</v>
      </c>
      <c r="U6" s="42"/>
      <c r="V6" s="42"/>
      <c r="W6" s="216" t="s">
        <v>452</v>
      </c>
      <c r="X6" s="216" t="s">
        <v>435</v>
      </c>
      <c r="Y6" s="218" t="s">
        <v>182</v>
      </c>
      <c r="Z6" s="42"/>
      <c r="AA6" s="42"/>
      <c r="AB6" s="42"/>
      <c r="AC6" s="217" t="s">
        <v>436</v>
      </c>
      <c r="AD6" s="44"/>
      <c r="AE6" s="44"/>
      <c r="AF6" s="44"/>
      <c r="AG6" s="44"/>
    </row>
    <row r="7" ht="42.75" customHeight="1">
      <c r="A7" s="240">
        <v>7.0</v>
      </c>
      <c r="B7" s="241">
        <v>10.0</v>
      </c>
      <c r="C7" s="242" t="s">
        <v>163</v>
      </c>
      <c r="D7" s="241" t="s">
        <v>471</v>
      </c>
      <c r="E7" s="243"/>
      <c r="F7" s="245" t="s">
        <v>413</v>
      </c>
      <c r="G7" s="243"/>
      <c r="H7" s="245" t="s">
        <v>429</v>
      </c>
      <c r="I7" s="249" t="s">
        <v>475</v>
      </c>
      <c r="J7" s="251"/>
      <c r="K7" s="243"/>
      <c r="L7" s="254" t="s">
        <v>480</v>
      </c>
      <c r="M7" s="256"/>
      <c r="N7" s="257"/>
      <c r="O7" s="257"/>
      <c r="P7" s="257"/>
      <c r="Q7" s="257"/>
      <c r="R7" s="256"/>
      <c r="S7" s="257"/>
      <c r="T7" s="257"/>
      <c r="U7" s="257"/>
      <c r="V7" s="257"/>
      <c r="W7" s="257"/>
      <c r="X7" s="258" t="s">
        <v>435</v>
      </c>
      <c r="Y7" s="257"/>
      <c r="Z7" s="257"/>
      <c r="AA7" s="257"/>
      <c r="AB7" s="257"/>
      <c r="AC7" s="259" t="s">
        <v>436</v>
      </c>
      <c r="AD7" s="256"/>
      <c r="AE7" s="256"/>
      <c r="AF7" s="256"/>
      <c r="AG7" s="256"/>
    </row>
    <row r="8" ht="36.0" customHeight="1">
      <c r="A8" s="206">
        <v>8.0</v>
      </c>
      <c r="B8" s="261"/>
      <c r="C8" s="261"/>
      <c r="D8" s="261"/>
      <c r="E8" s="261"/>
      <c r="F8" s="261"/>
      <c r="G8" s="261"/>
      <c r="H8" s="261"/>
      <c r="I8" s="262"/>
      <c r="J8" s="261"/>
      <c r="K8" s="261"/>
      <c r="L8" s="261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</row>
    <row r="9" ht="36.0" customHeight="1">
      <c r="A9" s="195">
        <v>9.0</v>
      </c>
      <c r="B9" s="264">
        <v>11.0</v>
      </c>
      <c r="C9" s="265" t="s">
        <v>16</v>
      </c>
      <c r="D9" s="268" t="s">
        <v>487</v>
      </c>
      <c r="E9" s="270"/>
      <c r="F9" s="272" t="s">
        <v>413</v>
      </c>
      <c r="G9" s="273"/>
      <c r="H9" s="272" t="s">
        <v>415</v>
      </c>
      <c r="I9" s="279" t="s">
        <v>491</v>
      </c>
      <c r="J9" s="280"/>
      <c r="K9" s="281"/>
      <c r="L9" s="272" t="s">
        <v>419</v>
      </c>
      <c r="M9" s="44"/>
      <c r="N9" s="283"/>
      <c r="O9" s="283"/>
      <c r="P9" s="283"/>
      <c r="Q9" s="285"/>
      <c r="R9" s="44"/>
      <c r="S9" s="286"/>
      <c r="T9" s="218" t="s">
        <v>501</v>
      </c>
      <c r="U9" s="287" t="s">
        <v>502</v>
      </c>
      <c r="V9" s="287" t="s">
        <v>504</v>
      </c>
      <c r="W9" s="217" t="s">
        <v>434</v>
      </c>
      <c r="X9" s="287" t="s">
        <v>505</v>
      </c>
      <c r="Y9" s="217" t="s">
        <v>506</v>
      </c>
      <c r="Z9" s="42"/>
      <c r="AA9" s="288"/>
      <c r="AB9" s="42"/>
      <c r="AC9" s="217" t="s">
        <v>436</v>
      </c>
      <c r="AD9" s="44"/>
      <c r="AE9" s="44"/>
      <c r="AF9" s="44"/>
      <c r="AG9" s="44"/>
    </row>
    <row r="10" ht="36.0" customHeight="1">
      <c r="A10" s="206">
        <v>10.0</v>
      </c>
      <c r="B10" s="290">
        <v>11.0</v>
      </c>
      <c r="C10" s="265" t="s">
        <v>129</v>
      </c>
      <c r="D10" s="290" t="s">
        <v>511</v>
      </c>
      <c r="E10" s="270"/>
      <c r="F10" s="272" t="s">
        <v>413</v>
      </c>
      <c r="G10" s="292"/>
      <c r="H10" s="294" t="s">
        <v>415</v>
      </c>
      <c r="I10" s="295" t="s">
        <v>522</v>
      </c>
      <c r="J10" s="298" t="s">
        <v>526</v>
      </c>
      <c r="K10" s="281"/>
      <c r="L10" s="272" t="s">
        <v>419</v>
      </c>
      <c r="M10" s="44"/>
      <c r="N10" s="283"/>
      <c r="O10" s="283"/>
      <c r="P10" s="301" t="s">
        <v>226</v>
      </c>
      <c r="Q10" s="217"/>
      <c r="R10" s="44"/>
      <c r="S10" s="286"/>
      <c r="T10" s="304" t="s">
        <v>533</v>
      </c>
      <c r="U10" s="287" t="s">
        <v>502</v>
      </c>
      <c r="V10" s="287" t="s">
        <v>504</v>
      </c>
      <c r="W10" s="217" t="s">
        <v>434</v>
      </c>
      <c r="X10" s="287" t="s">
        <v>505</v>
      </c>
      <c r="Y10" s="217" t="s">
        <v>506</v>
      </c>
      <c r="Z10" s="42"/>
      <c r="AA10" s="288"/>
      <c r="AB10" s="42"/>
      <c r="AC10" s="217" t="s">
        <v>436</v>
      </c>
      <c r="AD10" s="44"/>
      <c r="AE10" s="44"/>
      <c r="AF10" s="44"/>
      <c r="AG10" s="44"/>
    </row>
    <row r="11" ht="36.0" customHeight="1">
      <c r="A11" s="195">
        <v>11.0</v>
      </c>
      <c r="B11" s="290">
        <v>11.0</v>
      </c>
      <c r="C11" s="264" t="s">
        <v>131</v>
      </c>
      <c r="D11" s="306" t="s">
        <v>536</v>
      </c>
      <c r="E11" s="307"/>
      <c r="F11" s="272" t="s">
        <v>413</v>
      </c>
      <c r="G11" s="273"/>
      <c r="H11" s="272" t="s">
        <v>415</v>
      </c>
      <c r="I11" s="279" t="s">
        <v>540</v>
      </c>
      <c r="J11" s="307"/>
      <c r="K11" s="273"/>
      <c r="L11" s="272" t="s">
        <v>419</v>
      </c>
      <c r="M11" s="44"/>
      <c r="N11" s="309"/>
      <c r="O11" s="216" t="s">
        <v>421</v>
      </c>
      <c r="P11" s="283"/>
      <c r="Q11" s="217"/>
      <c r="R11" s="44"/>
      <c r="S11" s="286"/>
      <c r="T11" s="304" t="s">
        <v>545</v>
      </c>
      <c r="U11" s="287" t="s">
        <v>502</v>
      </c>
      <c r="V11" s="287" t="s">
        <v>504</v>
      </c>
      <c r="W11" s="217" t="s">
        <v>434</v>
      </c>
      <c r="X11" s="287" t="s">
        <v>505</v>
      </c>
      <c r="Y11" s="217" t="s">
        <v>506</v>
      </c>
      <c r="Z11" s="42"/>
      <c r="AA11" s="288"/>
      <c r="AB11" s="42"/>
      <c r="AC11" s="217" t="s">
        <v>436</v>
      </c>
      <c r="AD11" s="44"/>
      <c r="AE11" s="44"/>
      <c r="AF11" s="44"/>
      <c r="AG11" s="44"/>
    </row>
    <row r="12" ht="36.0" customHeight="1">
      <c r="A12" s="195">
        <v>13.0</v>
      </c>
      <c r="B12" s="290">
        <v>11.0</v>
      </c>
      <c r="C12" s="265" t="s">
        <v>133</v>
      </c>
      <c r="D12" s="290" t="s">
        <v>547</v>
      </c>
      <c r="E12" s="270"/>
      <c r="F12" s="270"/>
      <c r="G12" s="292"/>
      <c r="H12" s="272" t="s">
        <v>415</v>
      </c>
      <c r="I12" s="295" t="s">
        <v>548</v>
      </c>
      <c r="J12" s="281" t="s">
        <v>552</v>
      </c>
      <c r="K12" s="292"/>
      <c r="L12" s="272" t="s">
        <v>419</v>
      </c>
      <c r="M12" s="44"/>
      <c r="N12" s="309"/>
      <c r="O12" s="216" t="s">
        <v>421</v>
      </c>
      <c r="P12" s="283"/>
      <c r="Q12" s="288"/>
      <c r="R12" s="44"/>
      <c r="S12" s="286"/>
      <c r="T12" s="304" t="s">
        <v>533</v>
      </c>
      <c r="U12" s="287" t="s">
        <v>502</v>
      </c>
      <c r="V12" s="287" t="s">
        <v>504</v>
      </c>
      <c r="W12" s="217" t="s">
        <v>434</v>
      </c>
      <c r="X12" s="287" t="s">
        <v>505</v>
      </c>
      <c r="Y12" s="217" t="s">
        <v>506</v>
      </c>
      <c r="Z12" s="42"/>
      <c r="AA12" s="288"/>
      <c r="AB12" s="287" t="s">
        <v>556</v>
      </c>
      <c r="AC12" s="217" t="s">
        <v>436</v>
      </c>
      <c r="AD12" s="44"/>
      <c r="AE12" s="44"/>
      <c r="AF12" s="44"/>
      <c r="AG12" s="44"/>
    </row>
    <row r="13" ht="36.0" customHeight="1">
      <c r="A13" s="313">
        <v>12.0</v>
      </c>
      <c r="B13" s="314">
        <v>11.0</v>
      </c>
      <c r="C13" s="315" t="s">
        <v>136</v>
      </c>
      <c r="D13" s="314" t="s">
        <v>558</v>
      </c>
      <c r="E13" s="317"/>
      <c r="F13" s="318" t="s">
        <v>413</v>
      </c>
      <c r="G13" s="319"/>
      <c r="H13" s="318" t="s">
        <v>415</v>
      </c>
      <c r="I13" s="321"/>
      <c r="J13" s="319"/>
      <c r="K13" s="319"/>
      <c r="L13" s="318" t="s">
        <v>419</v>
      </c>
      <c r="M13" s="322"/>
      <c r="N13" s="323"/>
      <c r="O13" s="324" t="s">
        <v>421</v>
      </c>
      <c r="P13" s="325"/>
      <c r="Q13" s="326"/>
      <c r="R13" s="322"/>
      <c r="S13" s="328"/>
      <c r="T13" s="216" t="s">
        <v>533</v>
      </c>
      <c r="U13" s="328" t="s">
        <v>502</v>
      </c>
      <c r="V13" s="328" t="s">
        <v>504</v>
      </c>
      <c r="W13" s="329" t="s">
        <v>434</v>
      </c>
      <c r="X13" s="328" t="s">
        <v>505</v>
      </c>
      <c r="Y13" s="329" t="s">
        <v>505</v>
      </c>
      <c r="Z13" s="328" t="s">
        <v>572</v>
      </c>
      <c r="AA13" s="329" t="s">
        <v>573</v>
      </c>
      <c r="AB13" s="325"/>
      <c r="AC13" s="329" t="s">
        <v>436</v>
      </c>
      <c r="AD13" s="322"/>
      <c r="AE13" s="322"/>
      <c r="AF13" s="322"/>
      <c r="AG13" s="322"/>
    </row>
    <row r="14" ht="23.25" customHeight="1">
      <c r="A14" s="44"/>
      <c r="B14" s="44"/>
      <c r="C14" s="44"/>
      <c r="D14" s="44"/>
      <c r="E14" s="44"/>
      <c r="F14" s="44"/>
      <c r="G14" s="44"/>
      <c r="H14" s="44"/>
      <c r="I14" s="330"/>
      <c r="J14" s="261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</row>
    <row r="15" ht="37.5" customHeight="1">
      <c r="A15" s="206">
        <v>14.0</v>
      </c>
      <c r="B15" s="264">
        <v>12.0</v>
      </c>
      <c r="C15" s="264" t="s">
        <v>577</v>
      </c>
      <c r="D15" s="331" t="s">
        <v>579</v>
      </c>
      <c r="E15" s="332" t="s">
        <v>581</v>
      </c>
      <c r="F15" s="272" t="s">
        <v>413</v>
      </c>
      <c r="G15" s="333"/>
      <c r="H15" s="334" t="s">
        <v>415</v>
      </c>
      <c r="I15" s="336"/>
      <c r="J15" s="337"/>
      <c r="K15" s="337"/>
      <c r="L15" s="340" t="s">
        <v>419</v>
      </c>
      <c r="M15" s="48"/>
      <c r="N15" s="48"/>
      <c r="O15" s="304" t="s">
        <v>421</v>
      </c>
      <c r="P15" s="42"/>
      <c r="Q15" s="42"/>
      <c r="R15" s="42"/>
      <c r="S15" s="42"/>
      <c r="T15" s="216" t="s">
        <v>599</v>
      </c>
      <c r="U15" s="42"/>
      <c r="V15" s="42"/>
      <c r="W15" s="217" t="s">
        <v>434</v>
      </c>
      <c r="X15" s="347" t="s">
        <v>506</v>
      </c>
      <c r="Y15" s="45" t="s">
        <v>182</v>
      </c>
      <c r="Z15" s="42"/>
      <c r="AA15" s="42"/>
      <c r="AB15" s="42"/>
      <c r="AC15" s="348" t="s">
        <v>436</v>
      </c>
      <c r="AD15" s="44"/>
      <c r="AE15" s="44"/>
      <c r="AF15" s="44"/>
      <c r="AG15" s="44"/>
    </row>
    <row r="16" ht="31.5" customHeight="1">
      <c r="A16" s="195">
        <v>15.0</v>
      </c>
      <c r="B16" s="264">
        <v>12.0</v>
      </c>
      <c r="C16" s="281" t="s">
        <v>604</v>
      </c>
      <c r="D16" s="349">
        <v>46090.0</v>
      </c>
      <c r="E16" s="332" t="s">
        <v>581</v>
      </c>
      <c r="F16" s="272" t="s">
        <v>413</v>
      </c>
      <c r="G16" s="333"/>
      <c r="H16" s="272" t="s">
        <v>415</v>
      </c>
      <c r="I16" s="336"/>
      <c r="J16" s="337"/>
      <c r="K16" s="337"/>
      <c r="L16" s="340" t="s">
        <v>419</v>
      </c>
      <c r="M16" s="48"/>
      <c r="N16" s="48"/>
      <c r="O16" s="304" t="s">
        <v>421</v>
      </c>
      <c r="P16" s="42"/>
      <c r="Q16" s="42"/>
      <c r="R16" s="42"/>
      <c r="S16" s="42"/>
      <c r="T16" s="216" t="s">
        <v>616</v>
      </c>
      <c r="U16" s="42"/>
      <c r="V16" s="42"/>
      <c r="W16" s="42"/>
      <c r="X16" s="347" t="s">
        <v>506</v>
      </c>
      <c r="Y16" s="45" t="s">
        <v>182</v>
      </c>
      <c r="Z16" s="42"/>
      <c r="AA16" s="42"/>
      <c r="AB16" s="42"/>
      <c r="AC16" s="348" t="s">
        <v>436</v>
      </c>
      <c r="AD16" s="44"/>
      <c r="AE16" s="44"/>
      <c r="AF16" s="44"/>
      <c r="AG16" s="44"/>
    </row>
    <row r="17" ht="36.75" customHeight="1">
      <c r="A17" s="206">
        <v>16.0</v>
      </c>
      <c r="B17" s="264">
        <v>12.0</v>
      </c>
      <c r="C17" s="281" t="s">
        <v>496</v>
      </c>
      <c r="D17" s="331" t="s">
        <v>619</v>
      </c>
      <c r="E17" s="332" t="s">
        <v>581</v>
      </c>
      <c r="F17" s="272" t="s">
        <v>413</v>
      </c>
      <c r="G17" s="333"/>
      <c r="H17" s="272" t="s">
        <v>415</v>
      </c>
      <c r="I17" s="336"/>
      <c r="J17" s="337"/>
      <c r="K17" s="337"/>
      <c r="L17" s="340" t="s">
        <v>419</v>
      </c>
      <c r="M17" s="48"/>
      <c r="N17" s="48"/>
      <c r="O17" s="304" t="s">
        <v>421</v>
      </c>
      <c r="P17" s="42"/>
      <c r="Q17" s="42"/>
      <c r="R17" s="42"/>
      <c r="S17" s="42"/>
      <c r="T17" s="352" t="s">
        <v>621</v>
      </c>
      <c r="U17" s="42"/>
      <c r="V17" s="42"/>
      <c r="W17" s="42"/>
      <c r="X17" s="347" t="s">
        <v>506</v>
      </c>
      <c r="Y17" s="45" t="s">
        <v>182</v>
      </c>
      <c r="Z17" s="42"/>
      <c r="AA17" s="42"/>
      <c r="AB17" s="42"/>
      <c r="AC17" s="348" t="s">
        <v>436</v>
      </c>
      <c r="AD17" s="44"/>
      <c r="AE17" s="44"/>
      <c r="AF17" s="44"/>
      <c r="AG17" s="44"/>
    </row>
    <row r="18" ht="32.25" customHeight="1">
      <c r="A18" s="195">
        <v>17.0</v>
      </c>
      <c r="B18" s="264">
        <v>12.0</v>
      </c>
      <c r="C18" s="281" t="s">
        <v>622</v>
      </c>
      <c r="D18" s="331" t="s">
        <v>623</v>
      </c>
      <c r="E18" s="332" t="s">
        <v>581</v>
      </c>
      <c r="F18" s="272" t="s">
        <v>413</v>
      </c>
      <c r="G18" s="333"/>
      <c r="H18" s="272" t="s">
        <v>415</v>
      </c>
      <c r="I18" s="336"/>
      <c r="J18" s="337"/>
      <c r="K18" s="337"/>
      <c r="L18" s="340" t="s">
        <v>419</v>
      </c>
      <c r="M18" s="48"/>
      <c r="N18" s="48"/>
      <c r="O18" s="304" t="s">
        <v>421</v>
      </c>
      <c r="P18" s="42"/>
      <c r="Q18" s="42"/>
      <c r="R18" s="42"/>
      <c r="S18" s="42"/>
      <c r="T18" s="235" t="s">
        <v>624</v>
      </c>
      <c r="U18" s="42"/>
      <c r="V18" s="62"/>
      <c r="W18" s="62"/>
      <c r="X18" s="347" t="s">
        <v>506</v>
      </c>
      <c r="Y18" s="45" t="s">
        <v>182</v>
      </c>
      <c r="Z18" s="42"/>
      <c r="AA18" s="42"/>
      <c r="AB18" s="42"/>
      <c r="AC18" s="348" t="s">
        <v>436</v>
      </c>
      <c r="AD18" s="44"/>
      <c r="AE18" s="44"/>
      <c r="AF18" s="44"/>
      <c r="AG18" s="44"/>
    </row>
    <row r="19" ht="23.25" customHeight="1">
      <c r="A19" s="206">
        <v>18.0</v>
      </c>
      <c r="B19" s="264">
        <v>12.0</v>
      </c>
      <c r="C19" s="353" t="s">
        <v>625</v>
      </c>
      <c r="D19" s="283"/>
      <c r="E19" s="283"/>
      <c r="F19" s="354"/>
      <c r="G19" s="355"/>
      <c r="H19" s="356" t="s">
        <v>415</v>
      </c>
      <c r="I19" s="336"/>
      <c r="J19" s="337"/>
      <c r="K19" s="48"/>
      <c r="L19" s="48"/>
      <c r="M19" s="48"/>
      <c r="N19" s="48"/>
      <c r="O19" s="42"/>
      <c r="P19" s="42"/>
      <c r="Q19" s="42"/>
      <c r="R19" s="42"/>
      <c r="S19" s="42"/>
      <c r="T19" s="216" t="s">
        <v>533</v>
      </c>
      <c r="U19" s="42"/>
      <c r="V19" s="42"/>
      <c r="W19" s="42"/>
      <c r="X19" s="42"/>
      <c r="Y19" s="42"/>
      <c r="Z19" s="42"/>
      <c r="AA19" s="42"/>
      <c r="AB19" s="42"/>
      <c r="AC19" s="42"/>
      <c r="AD19" s="44"/>
      <c r="AE19" s="44"/>
      <c r="AF19" s="44"/>
      <c r="AG19" s="44"/>
    </row>
    <row r="20" ht="23.25" customHeight="1">
      <c r="A20" s="206"/>
      <c r="B20" s="261"/>
      <c r="C20" s="261"/>
      <c r="D20" s="261"/>
      <c r="E20" s="261"/>
      <c r="F20" s="261"/>
      <c r="G20" s="261"/>
      <c r="H20" s="261"/>
      <c r="I20" s="330"/>
      <c r="J20" s="261"/>
      <c r="K20" s="261"/>
      <c r="L20" s="261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</row>
    <row r="21" ht="17.25" customHeight="1">
      <c r="A21" s="195">
        <v>18.0</v>
      </c>
      <c r="B21" s="264"/>
      <c r="C21" s="264" t="s">
        <v>626</v>
      </c>
      <c r="D21" s="264"/>
      <c r="E21" s="292"/>
      <c r="F21" s="357" t="s">
        <v>413</v>
      </c>
      <c r="G21" s="292"/>
      <c r="H21" s="357" t="s">
        <v>415</v>
      </c>
      <c r="I21" s="358"/>
      <c r="J21" s="292"/>
      <c r="K21" s="292"/>
      <c r="L21" s="357" t="s">
        <v>419</v>
      </c>
      <c r="M21" s="44"/>
      <c r="N21" s="42"/>
      <c r="O21" s="42"/>
      <c r="P21" s="42"/>
      <c r="Q21" s="42"/>
      <c r="R21" s="44"/>
      <c r="S21" s="359"/>
      <c r="T21" s="216" t="s">
        <v>342</v>
      </c>
      <c r="U21" s="42"/>
      <c r="V21" s="360"/>
      <c r="W21" s="216" t="s">
        <v>181</v>
      </c>
      <c r="X21" s="42"/>
      <c r="Y21" s="288"/>
      <c r="Z21" s="42"/>
      <c r="AA21" s="288"/>
      <c r="AB21" s="42"/>
      <c r="AC21" s="217" t="s">
        <v>436</v>
      </c>
      <c r="AD21" s="44"/>
      <c r="AE21" s="44"/>
      <c r="AF21" s="44"/>
      <c r="AG21" s="44"/>
    </row>
    <row r="22">
      <c r="A22" s="206">
        <v>19.0</v>
      </c>
      <c r="B22" s="264"/>
      <c r="C22" s="264" t="s">
        <v>634</v>
      </c>
      <c r="D22" s="264"/>
      <c r="E22" s="292"/>
      <c r="F22" s="292"/>
      <c r="G22" s="292"/>
      <c r="H22" s="292"/>
      <c r="I22" s="358"/>
      <c r="J22" s="292"/>
      <c r="K22" s="292"/>
      <c r="L22" s="292"/>
      <c r="M22" s="44"/>
      <c r="N22" s="42"/>
      <c r="O22" s="42"/>
      <c r="P22" s="42"/>
      <c r="Q22" s="42"/>
      <c r="R22" s="44"/>
      <c r="S22" s="359"/>
      <c r="T22" s="42"/>
      <c r="U22" s="42"/>
      <c r="V22" s="360"/>
      <c r="W22" s="217"/>
      <c r="X22" s="42"/>
      <c r="Y22" s="288"/>
      <c r="Z22" s="42"/>
      <c r="AA22" s="288"/>
      <c r="AB22" s="42"/>
      <c r="AC22" s="217" t="s">
        <v>436</v>
      </c>
      <c r="AD22" s="44"/>
      <c r="AE22" s="44"/>
      <c r="AF22" s="44"/>
      <c r="AG22" s="44"/>
    </row>
    <row r="23" ht="23.25" customHeight="1">
      <c r="A23" s="361">
        <v>20.0</v>
      </c>
      <c r="B23" s="361">
        <v>13.0</v>
      </c>
      <c r="C23" s="218" t="s">
        <v>639</v>
      </c>
      <c r="D23" s="42"/>
      <c r="E23" s="42"/>
      <c r="F23" s="362" t="s">
        <v>413</v>
      </c>
      <c r="G23" s="42"/>
      <c r="H23" s="42"/>
      <c r="I23" s="363"/>
      <c r="J23" s="212"/>
      <c r="K23" s="42"/>
      <c r="L23" s="42"/>
      <c r="M23" s="44"/>
      <c r="N23" s="42"/>
      <c r="O23" s="42"/>
      <c r="P23" s="42"/>
      <c r="Q23" s="42"/>
      <c r="R23" s="44"/>
      <c r="S23" s="42"/>
      <c r="T23" s="216" t="s">
        <v>342</v>
      </c>
      <c r="U23" s="42"/>
      <c r="V23" s="42"/>
      <c r="W23" s="216" t="s">
        <v>181</v>
      </c>
      <c r="X23" s="42"/>
      <c r="Y23" s="216" t="s">
        <v>182</v>
      </c>
      <c r="Z23" s="42"/>
      <c r="AA23" s="42"/>
      <c r="AB23" s="42"/>
      <c r="AC23" s="42"/>
      <c r="AD23" s="44"/>
      <c r="AE23" s="44"/>
      <c r="AF23" s="44"/>
      <c r="AG23" s="44"/>
    </row>
    <row r="24" ht="23.25" customHeight="1">
      <c r="A24" s="44"/>
      <c r="B24" s="44"/>
      <c r="C24" s="365" t="s">
        <v>108</v>
      </c>
      <c r="D24" s="44"/>
      <c r="E24" s="44"/>
      <c r="F24" s="365"/>
      <c r="G24" s="44"/>
      <c r="H24" s="44"/>
      <c r="I24" s="330"/>
      <c r="J24" s="261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</row>
    <row r="25">
      <c r="A25" s="44"/>
      <c r="B25" s="44"/>
      <c r="C25" s="365" t="s">
        <v>647</v>
      </c>
      <c r="D25" s="44"/>
      <c r="E25" s="44"/>
      <c r="F25" s="44"/>
      <c r="G25" s="44"/>
      <c r="H25" s="44"/>
      <c r="I25" s="330"/>
      <c r="J25" s="261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</row>
    <row r="26" ht="23.25" customHeight="1">
      <c r="A26" s="44"/>
      <c r="B26" s="44"/>
      <c r="C26" s="44"/>
      <c r="D26" s="44"/>
      <c r="E26" s="44"/>
      <c r="F26" s="365"/>
      <c r="G26" s="44"/>
      <c r="H26" s="44"/>
      <c r="I26" s="330"/>
      <c r="J26" s="261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</row>
    <row r="27" ht="23.25" customHeight="1">
      <c r="A27" s="44"/>
      <c r="B27" s="44"/>
      <c r="C27" s="44"/>
      <c r="D27" s="44"/>
      <c r="E27" s="44"/>
      <c r="F27" s="365"/>
      <c r="G27" s="44"/>
      <c r="H27" s="44"/>
      <c r="I27" s="330"/>
      <c r="J27" s="261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</row>
    <row r="28" ht="23.25" customHeight="1">
      <c r="A28" s="44"/>
      <c r="B28" s="44"/>
      <c r="C28" s="44"/>
      <c r="D28" s="44"/>
      <c r="E28" s="44"/>
      <c r="F28" s="44"/>
      <c r="H28" s="44"/>
      <c r="I28" s="330"/>
      <c r="J28" s="261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</row>
    <row r="29" ht="23.25" customHeight="1">
      <c r="A29" s="44"/>
      <c r="B29" s="44"/>
      <c r="C29" s="44"/>
      <c r="D29" s="44"/>
      <c r="E29" s="44"/>
      <c r="H29" s="44"/>
      <c r="I29" s="330"/>
      <c r="J29" s="261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</row>
    <row r="30" ht="23.25" customHeight="1">
      <c r="A30" s="44"/>
      <c r="B30" s="44"/>
      <c r="C30" s="44"/>
      <c r="D30" s="44"/>
      <c r="E30" s="44"/>
      <c r="G30" s="44"/>
      <c r="H30" s="44"/>
      <c r="I30" s="330"/>
      <c r="J30" s="261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</row>
    <row r="31" ht="23.25" customHeight="1">
      <c r="A31" s="44"/>
      <c r="B31" s="44"/>
      <c r="C31" s="44"/>
      <c r="D31" s="44"/>
      <c r="E31" s="44"/>
      <c r="G31" s="44"/>
      <c r="H31" s="44"/>
      <c r="I31" s="330"/>
      <c r="J31" s="261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</row>
    <row r="32" ht="23.25" customHeight="1">
      <c r="A32" s="44"/>
      <c r="B32" s="44"/>
      <c r="C32" s="44"/>
      <c r="D32" s="44"/>
      <c r="E32" s="44"/>
      <c r="F32" s="44"/>
      <c r="G32" s="44"/>
      <c r="H32" s="44"/>
      <c r="I32" s="330"/>
      <c r="J32" s="261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</row>
    <row r="33" ht="23.25" customHeight="1">
      <c r="A33" s="44"/>
      <c r="B33" s="44"/>
      <c r="C33" s="44"/>
      <c r="D33" s="44"/>
      <c r="E33" s="44"/>
      <c r="F33" s="44"/>
      <c r="G33" s="44"/>
      <c r="H33" s="44"/>
      <c r="I33" s="330"/>
      <c r="J33" s="261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</row>
    <row r="34" ht="23.25" customHeight="1">
      <c r="A34" s="44"/>
      <c r="B34" s="44"/>
      <c r="C34" s="44"/>
      <c r="D34" s="44"/>
      <c r="E34" s="44"/>
      <c r="F34" s="44"/>
      <c r="G34" s="44"/>
      <c r="H34" s="44"/>
      <c r="I34" s="330"/>
      <c r="J34" s="261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</row>
    <row r="35" ht="23.25" customHeight="1">
      <c r="A35" s="44"/>
      <c r="B35" s="44"/>
      <c r="C35" s="44"/>
      <c r="D35" s="44"/>
      <c r="E35" s="44"/>
      <c r="F35" s="44"/>
      <c r="G35" s="44"/>
      <c r="H35" s="44"/>
      <c r="I35" s="330"/>
      <c r="J35" s="261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</row>
    <row r="36" ht="23.25" customHeight="1">
      <c r="A36" s="44"/>
      <c r="B36" s="44"/>
      <c r="C36" s="44"/>
      <c r="D36" s="44"/>
      <c r="E36" s="44"/>
      <c r="F36" s="44"/>
      <c r="G36" s="44"/>
      <c r="H36" s="44"/>
      <c r="I36" s="330"/>
      <c r="J36" s="261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</row>
    <row r="37" ht="23.25" customHeight="1">
      <c r="A37" s="44"/>
      <c r="B37" s="44"/>
      <c r="C37" s="44"/>
      <c r="D37" s="44"/>
      <c r="E37" s="44"/>
      <c r="F37" s="44"/>
      <c r="G37" s="44"/>
      <c r="H37" s="44"/>
      <c r="I37" s="330"/>
      <c r="J37" s="261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</row>
    <row r="38" ht="23.25" customHeight="1">
      <c r="A38" s="44"/>
      <c r="B38" s="44"/>
      <c r="C38" s="44"/>
      <c r="D38" s="44"/>
      <c r="E38" s="44"/>
      <c r="F38" s="44"/>
      <c r="G38" s="44"/>
      <c r="H38" s="44"/>
      <c r="I38" s="330"/>
      <c r="J38" s="261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</row>
    <row r="39" ht="23.25" customHeight="1">
      <c r="A39" s="44"/>
      <c r="B39" s="44"/>
      <c r="C39" s="44"/>
      <c r="D39" s="44"/>
      <c r="E39" s="44"/>
      <c r="F39" s="44"/>
      <c r="G39" s="44"/>
      <c r="H39" s="44"/>
      <c r="I39" s="330"/>
      <c r="J39" s="261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</row>
    <row r="40" ht="23.25" customHeight="1">
      <c r="A40" s="44"/>
      <c r="B40" s="44"/>
      <c r="C40" s="44"/>
      <c r="D40" s="44"/>
      <c r="E40" s="44"/>
      <c r="F40" s="44"/>
      <c r="G40" s="44"/>
      <c r="H40" s="44"/>
      <c r="I40" s="330"/>
      <c r="J40" s="261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</row>
    <row r="41" ht="23.25" customHeight="1">
      <c r="A41" s="44"/>
      <c r="B41" s="44"/>
      <c r="C41" s="44"/>
      <c r="D41" s="44"/>
      <c r="E41" s="44"/>
      <c r="F41" s="44"/>
      <c r="G41" s="44"/>
      <c r="H41" s="44"/>
      <c r="I41" s="330">
        <f>30000*88</f>
        <v>2640000</v>
      </c>
      <c r="J41" s="261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</row>
    <row r="42" ht="23.25" customHeight="1">
      <c r="A42" s="44"/>
      <c r="B42" s="44"/>
      <c r="C42" s="44"/>
      <c r="D42" s="44"/>
      <c r="E42" s="44"/>
      <c r="F42" s="44"/>
      <c r="G42" s="44"/>
      <c r="H42" s="44"/>
      <c r="I42" s="330"/>
      <c r="J42" s="261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</row>
    <row r="43" ht="23.25" customHeight="1">
      <c r="A43" s="44"/>
      <c r="B43" s="44"/>
      <c r="C43" s="44"/>
      <c r="D43" s="44"/>
      <c r="E43" s="44"/>
      <c r="F43" s="44"/>
      <c r="G43" s="44"/>
      <c r="H43" s="44"/>
      <c r="I43" s="330"/>
      <c r="J43" s="261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</row>
    <row r="44" ht="23.25" customHeight="1">
      <c r="A44" s="44"/>
      <c r="B44" s="44"/>
      <c r="C44" s="44"/>
      <c r="D44" s="44"/>
      <c r="E44" s="44"/>
      <c r="F44" s="44"/>
      <c r="G44" s="44"/>
      <c r="H44" s="44"/>
      <c r="I44" s="330"/>
      <c r="J44" s="261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</row>
    <row r="45" ht="23.25" customHeight="1">
      <c r="A45" s="44"/>
      <c r="B45" s="44"/>
      <c r="C45" s="44"/>
      <c r="D45" s="44"/>
      <c r="E45" s="44"/>
      <c r="F45" s="44"/>
      <c r="G45" s="44"/>
      <c r="H45" s="44"/>
      <c r="I45" s="330"/>
      <c r="J45" s="261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</row>
    <row r="46" ht="23.25" customHeight="1">
      <c r="A46" s="44"/>
      <c r="B46" s="44"/>
      <c r="C46" s="44"/>
      <c r="D46" s="44"/>
      <c r="E46" s="44"/>
      <c r="F46" s="44"/>
      <c r="G46" s="44"/>
      <c r="H46" s="44"/>
      <c r="I46" s="330"/>
      <c r="J46" s="261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</row>
    <row r="47" ht="23.25" customHeight="1">
      <c r="A47" s="44"/>
      <c r="B47" s="44"/>
      <c r="C47" s="44"/>
      <c r="D47" s="44"/>
      <c r="E47" s="44"/>
      <c r="F47" s="44"/>
      <c r="G47" s="44"/>
      <c r="H47" s="44"/>
      <c r="I47" s="330"/>
      <c r="J47" s="261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</row>
    <row r="48" ht="23.25" customHeight="1">
      <c r="A48" s="44"/>
      <c r="B48" s="44"/>
      <c r="C48" s="44"/>
      <c r="D48" s="44"/>
      <c r="E48" s="44"/>
      <c r="F48" s="44"/>
      <c r="G48" s="44"/>
      <c r="H48" s="44"/>
      <c r="I48" s="330"/>
      <c r="J48" s="261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</row>
    <row r="49" ht="23.25" customHeight="1">
      <c r="A49" s="44"/>
      <c r="B49" s="44"/>
      <c r="C49" s="44"/>
      <c r="D49" s="44"/>
      <c r="E49" s="44"/>
      <c r="F49" s="44"/>
      <c r="G49" s="44"/>
      <c r="H49" s="44"/>
      <c r="I49" s="330"/>
      <c r="J49" s="261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</row>
    <row r="50" ht="23.25" customHeight="1">
      <c r="A50" s="372"/>
      <c r="B50" s="372"/>
      <c r="C50" s="372"/>
      <c r="D50" s="372"/>
      <c r="E50" s="372"/>
      <c r="F50" s="44"/>
      <c r="G50" s="44"/>
      <c r="H50" s="44"/>
      <c r="I50" s="330"/>
      <c r="J50" s="261"/>
      <c r="K50" s="44"/>
      <c r="L50" s="44"/>
      <c r="M50" s="44"/>
      <c r="N50" s="44"/>
      <c r="O50" s="44"/>
      <c r="P50" s="44"/>
      <c r="Q50" s="372"/>
      <c r="R50" s="372"/>
      <c r="S50" s="372"/>
      <c r="T50" s="372"/>
      <c r="U50" s="372"/>
      <c r="V50" s="372"/>
      <c r="W50" s="372"/>
      <c r="X50" s="372"/>
      <c r="Y50" s="372"/>
      <c r="Z50" s="372"/>
      <c r="AA50" s="372"/>
      <c r="AB50" s="372"/>
      <c r="AC50" s="372"/>
      <c r="AD50" s="372"/>
      <c r="AE50" s="372"/>
      <c r="AF50" s="372"/>
      <c r="AG50" s="372"/>
    </row>
    <row r="51" ht="23.25" customHeight="1">
      <c r="A51" s="44"/>
      <c r="B51" s="44"/>
      <c r="C51" s="44"/>
      <c r="D51" s="44"/>
      <c r="E51" s="44"/>
      <c r="F51" s="44"/>
      <c r="G51" s="44"/>
      <c r="H51" s="44"/>
      <c r="I51" s="330"/>
      <c r="J51" s="261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</row>
    <row r="52" ht="23.25" customHeight="1">
      <c r="A52" s="44"/>
      <c r="B52" s="44"/>
      <c r="C52" s="44"/>
      <c r="D52" s="44"/>
      <c r="E52" s="44"/>
      <c r="F52" s="44"/>
      <c r="G52" s="44"/>
      <c r="H52" s="44"/>
      <c r="I52" s="330"/>
      <c r="J52" s="261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</row>
    <row r="53" ht="23.25" customHeight="1">
      <c r="A53" s="44"/>
      <c r="B53" s="44"/>
      <c r="C53" s="44"/>
      <c r="D53" s="44"/>
      <c r="E53" s="44"/>
      <c r="F53" s="44"/>
      <c r="G53" s="44"/>
      <c r="H53" s="44"/>
      <c r="I53" s="330"/>
      <c r="J53" s="261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</row>
    <row r="54" ht="23.25" customHeight="1">
      <c r="A54" s="44"/>
      <c r="B54" s="44"/>
      <c r="C54" s="44"/>
      <c r="D54" s="44"/>
      <c r="E54" s="44"/>
      <c r="F54" s="44"/>
      <c r="G54" s="44"/>
      <c r="H54" s="44"/>
      <c r="I54" s="330"/>
      <c r="J54" s="261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</row>
    <row r="55" ht="23.25" customHeight="1">
      <c r="A55" s="44"/>
      <c r="B55" s="44"/>
      <c r="C55" s="44"/>
      <c r="D55" s="44"/>
      <c r="E55" s="44"/>
      <c r="F55" s="44"/>
      <c r="G55" s="44"/>
      <c r="H55" s="44"/>
      <c r="I55" s="330"/>
      <c r="J55" s="261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</row>
    <row r="56" ht="23.25" customHeight="1">
      <c r="A56" s="44"/>
      <c r="B56" s="44"/>
      <c r="C56" s="44"/>
      <c r="D56" s="44"/>
      <c r="E56" s="44"/>
      <c r="F56" s="44"/>
      <c r="G56" s="44"/>
      <c r="H56" s="44"/>
      <c r="I56" s="330"/>
      <c r="J56" s="261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</row>
    <row r="57" ht="23.25" customHeight="1">
      <c r="A57" s="44"/>
      <c r="B57" s="44"/>
      <c r="C57" s="44"/>
      <c r="D57" s="44"/>
      <c r="E57" s="44"/>
      <c r="F57" s="44"/>
      <c r="G57" s="44"/>
      <c r="H57" s="44"/>
      <c r="I57" s="330"/>
      <c r="J57" s="261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</row>
    <row r="58" ht="23.25" customHeight="1">
      <c r="A58" s="44"/>
      <c r="B58" s="44"/>
      <c r="C58" s="44"/>
      <c r="D58" s="44"/>
      <c r="E58" s="44"/>
      <c r="F58" s="44"/>
      <c r="G58" s="44"/>
      <c r="H58" s="44"/>
      <c r="I58" s="330"/>
      <c r="J58" s="261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</row>
    <row r="59" ht="23.25" customHeight="1">
      <c r="A59" s="44"/>
      <c r="B59" s="44"/>
      <c r="C59" s="44"/>
      <c r="D59" s="44"/>
      <c r="E59" s="44"/>
      <c r="F59" s="44"/>
      <c r="G59" s="44"/>
      <c r="H59" s="44"/>
      <c r="I59" s="330"/>
      <c r="J59" s="261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</row>
    <row r="60" ht="23.25" customHeight="1">
      <c r="A60" s="44"/>
      <c r="B60" s="44"/>
      <c r="C60" s="44"/>
      <c r="D60" s="44"/>
      <c r="E60" s="44"/>
      <c r="F60" s="44"/>
      <c r="G60" s="44"/>
      <c r="H60" s="44"/>
      <c r="I60" s="330"/>
      <c r="J60" s="261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</row>
    <row r="61" ht="23.25" customHeight="1">
      <c r="A61" s="44"/>
      <c r="B61" s="44"/>
      <c r="C61" s="44"/>
      <c r="D61" s="44"/>
      <c r="E61" s="44"/>
      <c r="F61" s="44"/>
      <c r="G61" s="44"/>
      <c r="H61" s="44"/>
      <c r="I61" s="330"/>
      <c r="J61" s="261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</row>
    <row r="62" ht="23.25" customHeight="1">
      <c r="A62" s="44"/>
      <c r="B62" s="44"/>
      <c r="C62" s="44"/>
      <c r="D62" s="44"/>
      <c r="E62" s="44"/>
      <c r="F62" s="44"/>
      <c r="G62" s="44"/>
      <c r="H62" s="44"/>
      <c r="I62" s="330"/>
      <c r="J62" s="261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</row>
    <row r="63" ht="23.25" customHeight="1">
      <c r="A63" s="44"/>
      <c r="B63" s="44"/>
      <c r="C63" s="44"/>
      <c r="D63" s="44"/>
      <c r="E63" s="44"/>
      <c r="F63" s="44"/>
      <c r="G63" s="44"/>
      <c r="H63" s="44"/>
      <c r="I63" s="330"/>
      <c r="J63" s="261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</row>
    <row r="64" ht="23.25" customHeight="1">
      <c r="A64" s="44"/>
      <c r="B64" s="44"/>
      <c r="C64" s="44"/>
      <c r="D64" s="44"/>
      <c r="E64" s="44"/>
      <c r="F64" s="44"/>
      <c r="G64" s="44"/>
      <c r="H64" s="44"/>
      <c r="I64" s="330"/>
      <c r="J64" s="261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</row>
    <row r="65" ht="23.25" customHeight="1">
      <c r="A65" s="44"/>
      <c r="B65" s="44"/>
      <c r="C65" s="44"/>
      <c r="D65" s="44"/>
      <c r="E65" s="44"/>
      <c r="F65" s="44"/>
      <c r="G65" s="44"/>
      <c r="H65" s="44"/>
      <c r="I65" s="330"/>
      <c r="J65" s="261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</row>
    <row r="66" ht="23.25" customHeight="1">
      <c r="A66" s="44"/>
      <c r="B66" s="44"/>
      <c r="C66" s="44"/>
      <c r="D66" s="44"/>
      <c r="E66" s="44"/>
      <c r="F66" s="44"/>
      <c r="G66" s="44"/>
      <c r="H66" s="44"/>
      <c r="I66" s="330"/>
      <c r="J66" s="261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</row>
    <row r="67" ht="23.25" customHeight="1">
      <c r="A67" s="44"/>
      <c r="B67" s="44"/>
      <c r="C67" s="44"/>
      <c r="D67" s="44"/>
      <c r="E67" s="44"/>
      <c r="F67" s="44"/>
      <c r="G67" s="44"/>
      <c r="H67" s="44"/>
      <c r="I67" s="330"/>
      <c r="J67" s="261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</row>
    <row r="68" ht="23.25" customHeight="1">
      <c r="A68" s="44"/>
      <c r="B68" s="44"/>
      <c r="C68" s="44"/>
      <c r="D68" s="44"/>
      <c r="E68" s="44"/>
      <c r="F68" s="44"/>
      <c r="G68" s="44"/>
      <c r="H68" s="44"/>
      <c r="I68" s="330"/>
      <c r="J68" s="261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</row>
    <row r="69" ht="23.25" customHeight="1">
      <c r="A69" s="44"/>
      <c r="B69" s="44"/>
      <c r="C69" s="44"/>
      <c r="D69" s="44"/>
      <c r="E69" s="44"/>
      <c r="F69" s="44"/>
      <c r="G69" s="44"/>
      <c r="H69" s="44"/>
      <c r="I69" s="330"/>
      <c r="J69" s="261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</row>
    <row r="70" ht="23.25" customHeight="1">
      <c r="A70" s="44"/>
      <c r="B70" s="44"/>
      <c r="C70" s="44"/>
      <c r="D70" s="44"/>
      <c r="E70" s="44"/>
      <c r="F70" s="44"/>
      <c r="G70" s="44"/>
      <c r="H70" s="44"/>
      <c r="I70" s="330"/>
      <c r="J70" s="261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</row>
    <row r="71" ht="23.25" customHeight="1">
      <c r="A71" s="44"/>
      <c r="B71" s="44"/>
      <c r="C71" s="44"/>
      <c r="D71" s="44"/>
      <c r="E71" s="44"/>
      <c r="F71" s="44"/>
      <c r="G71" s="44"/>
      <c r="H71" s="44"/>
      <c r="I71" s="330"/>
      <c r="J71" s="261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</row>
    <row r="72" ht="23.25" customHeight="1">
      <c r="A72" s="44"/>
      <c r="B72" s="44"/>
      <c r="C72" s="44"/>
      <c r="D72" s="44"/>
      <c r="E72" s="44"/>
      <c r="F72" s="44"/>
      <c r="G72" s="44"/>
      <c r="H72" s="44"/>
      <c r="I72" s="330"/>
      <c r="J72" s="261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</row>
    <row r="73" ht="23.25" customHeight="1">
      <c r="A73" s="44"/>
      <c r="B73" s="44"/>
      <c r="C73" s="44"/>
      <c r="D73" s="44"/>
      <c r="E73" s="44"/>
      <c r="F73" s="44"/>
      <c r="G73" s="44"/>
      <c r="H73" s="44"/>
      <c r="I73" s="330"/>
      <c r="J73" s="261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</row>
    <row r="74" ht="23.25" customHeight="1">
      <c r="A74" s="44"/>
      <c r="B74" s="44"/>
      <c r="C74" s="44"/>
      <c r="D74" s="44"/>
      <c r="E74" s="44"/>
      <c r="F74" s="44"/>
      <c r="G74" s="44"/>
      <c r="H74" s="44"/>
      <c r="I74" s="330"/>
      <c r="J74" s="261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</row>
    <row r="75" ht="23.25" customHeight="1">
      <c r="A75" s="44"/>
      <c r="B75" s="44"/>
      <c r="C75" s="44"/>
      <c r="D75" s="44"/>
      <c r="E75" s="44"/>
      <c r="F75" s="44"/>
      <c r="G75" s="44"/>
      <c r="H75" s="44"/>
      <c r="I75" s="330"/>
      <c r="J75" s="261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</row>
    <row r="76" ht="23.25" customHeight="1">
      <c r="A76" s="44"/>
      <c r="B76" s="44"/>
      <c r="C76" s="44"/>
      <c r="D76" s="44"/>
      <c r="E76" s="44"/>
      <c r="F76" s="44"/>
      <c r="G76" s="44"/>
      <c r="H76" s="44"/>
      <c r="I76" s="330"/>
      <c r="J76" s="261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</row>
    <row r="77" ht="23.25" customHeight="1">
      <c r="A77" s="44"/>
      <c r="B77" s="44"/>
      <c r="C77" s="44"/>
      <c r="D77" s="44"/>
      <c r="E77" s="44"/>
      <c r="F77" s="44"/>
      <c r="G77" s="44"/>
      <c r="H77" s="44"/>
      <c r="I77" s="330"/>
      <c r="J77" s="261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</row>
    <row r="78" ht="23.25" customHeight="1">
      <c r="A78" s="44"/>
      <c r="B78" s="44"/>
      <c r="C78" s="44"/>
      <c r="D78" s="44"/>
      <c r="E78" s="44"/>
      <c r="F78" s="44"/>
      <c r="G78" s="44"/>
      <c r="H78" s="44"/>
      <c r="I78" s="330"/>
      <c r="J78" s="261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</row>
    <row r="79" ht="23.25" customHeight="1">
      <c r="A79" s="44"/>
      <c r="B79" s="44"/>
      <c r="C79" s="44"/>
      <c r="D79" s="44"/>
      <c r="E79" s="44"/>
      <c r="F79" s="44"/>
      <c r="G79" s="44"/>
      <c r="H79" s="44"/>
      <c r="I79" s="330"/>
      <c r="J79" s="261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</row>
    <row r="80" ht="23.25" customHeight="1">
      <c r="A80" s="44"/>
      <c r="B80" s="44"/>
      <c r="C80" s="44"/>
      <c r="D80" s="44"/>
      <c r="E80" s="44"/>
      <c r="F80" s="44"/>
      <c r="G80" s="44"/>
      <c r="H80" s="44"/>
      <c r="I80" s="330"/>
      <c r="J80" s="261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</row>
    <row r="81" ht="23.25" customHeight="1">
      <c r="A81" s="44"/>
      <c r="B81" s="44"/>
      <c r="C81" s="44"/>
      <c r="D81" s="44"/>
      <c r="E81" s="44"/>
      <c r="F81" s="44"/>
      <c r="G81" s="44"/>
      <c r="H81" s="44"/>
      <c r="I81" s="330"/>
      <c r="J81" s="261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</row>
    <row r="82" ht="23.25" customHeight="1">
      <c r="A82" s="44"/>
      <c r="B82" s="44"/>
      <c r="C82" s="44"/>
      <c r="D82" s="44"/>
      <c r="E82" s="44"/>
      <c r="F82" s="44"/>
      <c r="G82" s="44"/>
      <c r="H82" s="44"/>
      <c r="I82" s="330"/>
      <c r="J82" s="261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</row>
    <row r="83" ht="23.25" customHeight="1">
      <c r="A83" s="44"/>
      <c r="B83" s="44"/>
      <c r="C83" s="44"/>
      <c r="D83" s="44"/>
      <c r="E83" s="44"/>
      <c r="F83" s="44"/>
      <c r="G83" s="44"/>
      <c r="H83" s="44"/>
      <c r="I83" s="330"/>
      <c r="J83" s="261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</row>
    <row r="84" ht="23.25" customHeight="1">
      <c r="A84" s="44"/>
      <c r="B84" s="44"/>
      <c r="C84" s="44"/>
      <c r="D84" s="44"/>
      <c r="E84" s="44"/>
      <c r="F84" s="44"/>
      <c r="G84" s="44"/>
      <c r="H84" s="44"/>
      <c r="I84" s="330"/>
      <c r="J84" s="261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</row>
    <row r="85" ht="23.25" customHeight="1">
      <c r="A85" s="44"/>
      <c r="B85" s="44"/>
      <c r="C85" s="44"/>
      <c r="D85" s="44"/>
      <c r="E85" s="44"/>
      <c r="F85" s="44"/>
      <c r="G85" s="44"/>
      <c r="H85" s="44"/>
      <c r="I85" s="330"/>
      <c r="J85" s="261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</row>
    <row r="86" ht="23.25" customHeight="1">
      <c r="A86" s="44"/>
      <c r="B86" s="44"/>
      <c r="C86" s="44"/>
      <c r="D86" s="44"/>
      <c r="E86" s="44"/>
      <c r="F86" s="44"/>
      <c r="G86" s="44"/>
      <c r="H86" s="44"/>
      <c r="I86" s="330"/>
      <c r="J86" s="261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</row>
    <row r="87" ht="23.25" customHeight="1">
      <c r="A87" s="44"/>
      <c r="B87" s="44"/>
      <c r="C87" s="44"/>
      <c r="D87" s="44"/>
      <c r="E87" s="44"/>
      <c r="F87" s="44"/>
      <c r="G87" s="44"/>
      <c r="H87" s="44"/>
      <c r="I87" s="330"/>
      <c r="J87" s="261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</row>
    <row r="88" ht="23.25" customHeight="1">
      <c r="A88" s="44"/>
      <c r="B88" s="44"/>
      <c r="C88" s="44"/>
      <c r="D88" s="44"/>
      <c r="E88" s="44"/>
      <c r="F88" s="44"/>
      <c r="G88" s="44"/>
      <c r="H88" s="44"/>
      <c r="I88" s="330"/>
      <c r="J88" s="261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</row>
    <row r="89" ht="23.25" customHeight="1">
      <c r="A89" s="44"/>
      <c r="B89" s="44"/>
      <c r="C89" s="44"/>
      <c r="D89" s="44"/>
      <c r="E89" s="44"/>
      <c r="F89" s="44"/>
      <c r="G89" s="44"/>
      <c r="H89" s="44"/>
      <c r="I89" s="330"/>
      <c r="J89" s="261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</row>
    <row r="90" ht="23.25" customHeight="1">
      <c r="A90" s="44"/>
      <c r="B90" s="44"/>
      <c r="C90" s="44"/>
      <c r="D90" s="44"/>
      <c r="E90" s="44"/>
      <c r="F90" s="44"/>
      <c r="G90" s="44"/>
      <c r="H90" s="44"/>
      <c r="I90" s="330"/>
      <c r="J90" s="261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</row>
    <row r="91" ht="23.25" customHeight="1">
      <c r="A91" s="44"/>
      <c r="B91" s="44"/>
      <c r="C91" s="44"/>
      <c r="D91" s="44"/>
      <c r="E91" s="44"/>
      <c r="F91" s="44"/>
      <c r="G91" s="44"/>
      <c r="H91" s="44"/>
      <c r="I91" s="330"/>
      <c r="J91" s="261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</row>
    <row r="92" ht="23.25" customHeight="1">
      <c r="A92" s="44"/>
      <c r="B92" s="44"/>
      <c r="C92" s="44"/>
      <c r="D92" s="44"/>
      <c r="E92" s="44"/>
      <c r="F92" s="44"/>
      <c r="G92" s="44"/>
      <c r="H92" s="44"/>
      <c r="I92" s="330"/>
      <c r="J92" s="261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</row>
    <row r="93" ht="23.25" customHeight="1">
      <c r="A93" s="44"/>
      <c r="B93" s="44"/>
      <c r="C93" s="44"/>
      <c r="D93" s="44"/>
      <c r="E93" s="44"/>
      <c r="F93" s="44"/>
      <c r="G93" s="44"/>
      <c r="H93" s="44"/>
      <c r="I93" s="330"/>
      <c r="J93" s="261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</row>
    <row r="94" ht="23.25" customHeight="1">
      <c r="A94" s="44"/>
      <c r="B94" s="44"/>
      <c r="C94" s="44"/>
      <c r="D94" s="44"/>
      <c r="E94" s="44"/>
      <c r="F94" s="44"/>
      <c r="G94" s="44"/>
      <c r="H94" s="44"/>
      <c r="I94" s="330"/>
      <c r="J94" s="261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</row>
    <row r="95" ht="23.25" customHeight="1">
      <c r="A95" s="44"/>
      <c r="B95" s="44"/>
      <c r="C95" s="44"/>
      <c r="D95" s="44"/>
      <c r="E95" s="44"/>
      <c r="F95" s="44"/>
      <c r="G95" s="44"/>
      <c r="H95" s="44"/>
      <c r="I95" s="330"/>
      <c r="J95" s="261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</row>
    <row r="96" ht="23.25" customHeight="1">
      <c r="A96" s="44"/>
      <c r="B96" s="44"/>
      <c r="C96" s="44"/>
      <c r="D96" s="44"/>
      <c r="E96" s="44"/>
      <c r="F96" s="44"/>
      <c r="G96" s="44"/>
      <c r="H96" s="44"/>
      <c r="I96" s="330"/>
      <c r="J96" s="261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</row>
    <row r="97" ht="23.25" customHeight="1">
      <c r="A97" s="44"/>
      <c r="B97" s="44"/>
      <c r="C97" s="44"/>
      <c r="D97" s="44"/>
      <c r="E97" s="44"/>
      <c r="F97" s="44"/>
      <c r="G97" s="44"/>
      <c r="H97" s="44"/>
      <c r="I97" s="330"/>
      <c r="J97" s="261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</row>
    <row r="98" ht="23.25" customHeight="1">
      <c r="A98" s="44"/>
      <c r="B98" s="44"/>
      <c r="C98" s="44"/>
      <c r="D98" s="44"/>
      <c r="E98" s="44"/>
      <c r="F98" s="44"/>
      <c r="G98" s="44"/>
      <c r="H98" s="44"/>
      <c r="I98" s="330"/>
      <c r="J98" s="261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</row>
    <row r="99" ht="23.25" customHeight="1">
      <c r="A99" s="44"/>
      <c r="B99" s="44"/>
      <c r="C99" s="44"/>
      <c r="D99" s="44"/>
      <c r="E99" s="44"/>
      <c r="F99" s="44"/>
      <c r="G99" s="44"/>
      <c r="H99" s="44"/>
      <c r="I99" s="330"/>
      <c r="J99" s="261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</row>
    <row r="100" ht="23.25" customHeight="1">
      <c r="A100" s="44"/>
      <c r="B100" s="44"/>
      <c r="C100" s="44"/>
      <c r="D100" s="44"/>
      <c r="E100" s="44"/>
      <c r="F100" s="44"/>
      <c r="G100" s="44"/>
      <c r="H100" s="44"/>
      <c r="I100" s="330"/>
      <c r="J100" s="261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</row>
    <row r="101" ht="23.25" customHeight="1">
      <c r="A101" s="44"/>
      <c r="B101" s="44"/>
      <c r="C101" s="44"/>
      <c r="D101" s="44"/>
      <c r="E101" s="44"/>
      <c r="F101" s="44"/>
      <c r="G101" s="44"/>
      <c r="H101" s="44"/>
      <c r="I101" s="330"/>
      <c r="J101" s="261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</row>
    <row r="102" ht="23.25" customHeight="1">
      <c r="A102" s="44"/>
      <c r="B102" s="44"/>
      <c r="C102" s="44"/>
      <c r="D102" s="44"/>
      <c r="E102" s="44"/>
      <c r="F102" s="44"/>
      <c r="G102" s="44"/>
      <c r="H102" s="44"/>
      <c r="I102" s="330"/>
      <c r="J102" s="261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</row>
    <row r="103" ht="23.25" customHeight="1">
      <c r="A103" s="44"/>
      <c r="B103" s="44"/>
      <c r="C103" s="44"/>
      <c r="D103" s="44"/>
      <c r="E103" s="44"/>
      <c r="F103" s="44"/>
      <c r="G103" s="44"/>
      <c r="H103" s="44"/>
      <c r="I103" s="330"/>
      <c r="J103" s="261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</row>
    <row r="104" ht="23.25" customHeight="1">
      <c r="A104" s="44"/>
      <c r="B104" s="44"/>
      <c r="C104" s="44"/>
      <c r="D104" s="44"/>
      <c r="E104" s="44"/>
      <c r="F104" s="44"/>
      <c r="G104" s="44"/>
      <c r="H104" s="44"/>
      <c r="I104" s="330"/>
      <c r="J104" s="261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</row>
    <row r="105" ht="23.25" customHeight="1">
      <c r="A105" s="44"/>
      <c r="B105" s="44"/>
      <c r="C105" s="44"/>
      <c r="D105" s="44"/>
      <c r="E105" s="44"/>
      <c r="F105" s="44"/>
      <c r="G105" s="44"/>
      <c r="H105" s="44"/>
      <c r="I105" s="330"/>
      <c r="J105" s="261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</row>
    <row r="106" ht="23.25" customHeight="1">
      <c r="A106" s="44"/>
      <c r="B106" s="44"/>
      <c r="C106" s="44"/>
      <c r="D106" s="44"/>
      <c r="E106" s="44"/>
      <c r="F106" s="44"/>
      <c r="G106" s="44"/>
      <c r="H106" s="44"/>
      <c r="I106" s="330"/>
      <c r="J106" s="261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</row>
    <row r="107" ht="23.25" customHeight="1">
      <c r="A107" s="44"/>
      <c r="B107" s="44"/>
      <c r="C107" s="44"/>
      <c r="D107" s="44"/>
      <c r="E107" s="44"/>
      <c r="F107" s="44"/>
      <c r="G107" s="44"/>
      <c r="H107" s="44"/>
      <c r="I107" s="330"/>
      <c r="J107" s="261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</row>
    <row r="108" ht="23.25" customHeight="1">
      <c r="A108" s="44"/>
      <c r="B108" s="44"/>
      <c r="C108" s="44"/>
      <c r="D108" s="44"/>
      <c r="E108" s="44"/>
      <c r="F108" s="44"/>
      <c r="G108" s="44"/>
      <c r="H108" s="44"/>
      <c r="I108" s="330"/>
      <c r="J108" s="261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</row>
    <row r="109" ht="23.25" customHeight="1">
      <c r="A109" s="44"/>
      <c r="B109" s="44"/>
      <c r="C109" s="44"/>
      <c r="D109" s="44"/>
      <c r="E109" s="44"/>
      <c r="F109" s="44"/>
      <c r="G109" s="44"/>
      <c r="H109" s="44"/>
      <c r="I109" s="330"/>
      <c r="J109" s="261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</row>
    <row r="110" ht="23.25" customHeight="1">
      <c r="A110" s="44"/>
      <c r="B110" s="44"/>
      <c r="C110" s="44"/>
      <c r="D110" s="44"/>
      <c r="E110" s="44"/>
      <c r="F110" s="44"/>
      <c r="G110" s="44"/>
      <c r="H110" s="44"/>
      <c r="I110" s="330"/>
      <c r="J110" s="261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</row>
    <row r="111" ht="23.25" customHeight="1">
      <c r="A111" s="44"/>
      <c r="B111" s="44"/>
      <c r="C111" s="44"/>
      <c r="D111" s="44"/>
      <c r="E111" s="44"/>
      <c r="F111" s="44"/>
      <c r="G111" s="44"/>
      <c r="H111" s="44"/>
      <c r="I111" s="330"/>
      <c r="J111" s="261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</row>
    <row r="112" ht="23.25" customHeight="1">
      <c r="A112" s="44"/>
      <c r="B112" s="44"/>
      <c r="C112" s="44"/>
      <c r="D112" s="44"/>
      <c r="E112" s="44"/>
      <c r="F112" s="44"/>
      <c r="G112" s="44"/>
      <c r="H112" s="44"/>
      <c r="I112" s="330"/>
      <c r="J112" s="261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</row>
    <row r="113" ht="23.25" customHeight="1">
      <c r="A113" s="44"/>
      <c r="B113" s="44"/>
      <c r="C113" s="44"/>
      <c r="D113" s="44"/>
      <c r="E113" s="44"/>
      <c r="F113" s="44"/>
      <c r="G113" s="44"/>
      <c r="H113" s="44"/>
      <c r="I113" s="330"/>
      <c r="J113" s="261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</row>
    <row r="114" ht="23.25" customHeight="1">
      <c r="A114" s="44"/>
      <c r="B114" s="44"/>
      <c r="C114" s="44"/>
      <c r="D114" s="44"/>
      <c r="E114" s="44"/>
      <c r="F114" s="44"/>
      <c r="G114" s="44"/>
      <c r="H114" s="44"/>
      <c r="I114" s="330"/>
      <c r="J114" s="261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</row>
    <row r="115" ht="23.25" customHeight="1">
      <c r="A115" s="44"/>
      <c r="B115" s="44"/>
      <c r="C115" s="44"/>
      <c r="D115" s="44"/>
      <c r="E115" s="44"/>
      <c r="F115" s="44"/>
      <c r="G115" s="44"/>
      <c r="H115" s="44"/>
      <c r="I115" s="330"/>
      <c r="J115" s="261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</row>
    <row r="116" ht="23.25" customHeight="1">
      <c r="A116" s="44"/>
      <c r="B116" s="44"/>
      <c r="C116" s="44"/>
      <c r="D116" s="44"/>
      <c r="E116" s="44"/>
      <c r="F116" s="44"/>
      <c r="G116" s="44"/>
      <c r="H116" s="44"/>
      <c r="I116" s="330"/>
      <c r="J116" s="261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</row>
    <row r="117" ht="23.25" customHeight="1">
      <c r="A117" s="44"/>
      <c r="B117" s="44"/>
      <c r="C117" s="44"/>
      <c r="D117" s="44"/>
      <c r="E117" s="44"/>
      <c r="F117" s="44"/>
      <c r="G117" s="44"/>
      <c r="H117" s="44"/>
      <c r="I117" s="330"/>
      <c r="J117" s="261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</row>
    <row r="118" ht="23.25" customHeight="1">
      <c r="A118" s="44"/>
      <c r="B118" s="44"/>
      <c r="C118" s="44"/>
      <c r="D118" s="44"/>
      <c r="E118" s="44"/>
      <c r="F118" s="44"/>
      <c r="G118" s="44"/>
      <c r="H118" s="44"/>
      <c r="I118" s="330"/>
      <c r="J118" s="261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</row>
    <row r="119" ht="23.25" customHeight="1">
      <c r="A119" s="44"/>
      <c r="B119" s="44"/>
      <c r="C119" s="44"/>
      <c r="D119" s="44"/>
      <c r="E119" s="44"/>
      <c r="F119" s="44"/>
      <c r="G119" s="44"/>
      <c r="H119" s="44"/>
      <c r="I119" s="330"/>
      <c r="J119" s="261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</row>
    <row r="120" ht="23.25" customHeight="1">
      <c r="A120" s="44"/>
      <c r="B120" s="44"/>
      <c r="C120" s="44"/>
      <c r="D120" s="44"/>
      <c r="E120" s="44"/>
      <c r="F120" s="44"/>
      <c r="G120" s="44"/>
      <c r="H120" s="44"/>
      <c r="I120" s="330"/>
      <c r="J120" s="261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</row>
    <row r="121" ht="23.25" customHeight="1">
      <c r="A121" s="44"/>
      <c r="B121" s="44"/>
      <c r="C121" s="44"/>
      <c r="D121" s="44"/>
      <c r="E121" s="44"/>
      <c r="F121" s="44"/>
      <c r="G121" s="44"/>
      <c r="H121" s="44"/>
      <c r="I121" s="330"/>
      <c r="J121" s="261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</row>
    <row r="122" ht="23.25" customHeight="1">
      <c r="A122" s="44"/>
      <c r="B122" s="44"/>
      <c r="C122" s="44"/>
      <c r="D122" s="44"/>
      <c r="E122" s="44"/>
      <c r="F122" s="44"/>
      <c r="G122" s="44"/>
      <c r="H122" s="44"/>
      <c r="I122" s="330"/>
      <c r="J122" s="261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</row>
    <row r="123" ht="23.25" customHeight="1">
      <c r="A123" s="44"/>
      <c r="B123" s="44"/>
      <c r="C123" s="44"/>
      <c r="D123" s="44"/>
      <c r="E123" s="44"/>
      <c r="F123" s="44"/>
      <c r="G123" s="44"/>
      <c r="H123" s="44"/>
      <c r="I123" s="330"/>
      <c r="J123" s="261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</row>
    <row r="124" ht="23.25" customHeight="1">
      <c r="A124" s="44"/>
      <c r="B124" s="44"/>
      <c r="C124" s="44"/>
      <c r="D124" s="44"/>
      <c r="E124" s="44"/>
      <c r="F124" s="44"/>
      <c r="G124" s="44"/>
      <c r="H124" s="44"/>
      <c r="I124" s="330"/>
      <c r="J124" s="261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</row>
    <row r="125" ht="23.25" customHeight="1">
      <c r="A125" s="44"/>
      <c r="B125" s="44"/>
      <c r="C125" s="44"/>
      <c r="D125" s="44"/>
      <c r="E125" s="44"/>
      <c r="F125" s="44"/>
      <c r="G125" s="44"/>
      <c r="H125" s="44"/>
      <c r="I125" s="330"/>
      <c r="J125" s="261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</row>
    <row r="126" ht="23.25" customHeight="1">
      <c r="A126" s="44"/>
      <c r="B126" s="44"/>
      <c r="C126" s="44"/>
      <c r="D126" s="44"/>
      <c r="E126" s="44"/>
      <c r="F126" s="44"/>
      <c r="G126" s="44"/>
      <c r="H126" s="44"/>
      <c r="I126" s="330"/>
      <c r="J126" s="261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</row>
    <row r="127" ht="23.25" customHeight="1">
      <c r="A127" s="44"/>
      <c r="B127" s="44"/>
      <c r="C127" s="44"/>
      <c r="D127" s="44"/>
      <c r="E127" s="44"/>
      <c r="F127" s="44"/>
      <c r="G127" s="44"/>
      <c r="H127" s="44"/>
      <c r="I127" s="330"/>
      <c r="J127" s="261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</row>
    <row r="128" ht="23.25" customHeight="1">
      <c r="A128" s="44"/>
      <c r="B128" s="44"/>
      <c r="C128" s="44"/>
      <c r="D128" s="44"/>
      <c r="E128" s="44"/>
      <c r="F128" s="44"/>
      <c r="G128" s="44"/>
      <c r="H128" s="44"/>
      <c r="I128" s="330"/>
      <c r="J128" s="261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</row>
    <row r="129" ht="23.25" customHeight="1">
      <c r="A129" s="44"/>
      <c r="B129" s="44"/>
      <c r="C129" s="44"/>
      <c r="D129" s="44"/>
      <c r="E129" s="44"/>
      <c r="F129" s="44"/>
      <c r="G129" s="44"/>
      <c r="H129" s="44"/>
      <c r="I129" s="330"/>
      <c r="J129" s="261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</row>
    <row r="130" ht="23.25" customHeight="1">
      <c r="A130" s="44"/>
      <c r="B130" s="44"/>
      <c r="C130" s="44"/>
      <c r="D130" s="44"/>
      <c r="E130" s="44"/>
      <c r="F130" s="44"/>
      <c r="G130" s="44"/>
      <c r="H130" s="44"/>
      <c r="I130" s="330"/>
      <c r="J130" s="261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</row>
    <row r="131" ht="23.25" customHeight="1">
      <c r="A131" s="44"/>
      <c r="B131" s="44"/>
      <c r="C131" s="44"/>
      <c r="D131" s="44"/>
      <c r="E131" s="44"/>
      <c r="F131" s="44"/>
      <c r="G131" s="44"/>
      <c r="H131" s="44"/>
      <c r="I131" s="330"/>
      <c r="J131" s="261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</row>
    <row r="132" ht="23.25" customHeight="1">
      <c r="A132" s="44"/>
      <c r="B132" s="44"/>
      <c r="C132" s="44"/>
      <c r="D132" s="44"/>
      <c r="E132" s="44"/>
      <c r="F132" s="44"/>
      <c r="G132" s="44"/>
      <c r="H132" s="44"/>
      <c r="I132" s="330"/>
      <c r="J132" s="261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</row>
    <row r="133" ht="23.25" customHeight="1">
      <c r="A133" s="44"/>
      <c r="B133" s="44"/>
      <c r="C133" s="44"/>
      <c r="D133" s="44"/>
      <c r="E133" s="44"/>
      <c r="F133" s="44"/>
      <c r="G133" s="44"/>
      <c r="H133" s="44"/>
      <c r="I133" s="330"/>
      <c r="J133" s="261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</row>
    <row r="134" ht="23.25" customHeight="1">
      <c r="A134" s="44"/>
      <c r="B134" s="44"/>
      <c r="C134" s="44"/>
      <c r="D134" s="44"/>
      <c r="E134" s="44"/>
      <c r="F134" s="44"/>
      <c r="G134" s="44"/>
      <c r="H134" s="44"/>
      <c r="I134" s="330"/>
      <c r="J134" s="261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</row>
    <row r="135" ht="23.25" customHeight="1">
      <c r="A135" s="44"/>
      <c r="B135" s="44"/>
      <c r="C135" s="44"/>
      <c r="D135" s="44"/>
      <c r="E135" s="44"/>
      <c r="F135" s="44"/>
      <c r="G135" s="44"/>
      <c r="H135" s="44"/>
      <c r="I135" s="330"/>
      <c r="J135" s="261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</row>
    <row r="136" ht="23.25" customHeight="1">
      <c r="A136" s="44"/>
      <c r="B136" s="44"/>
      <c r="C136" s="44"/>
      <c r="D136" s="44"/>
      <c r="E136" s="44"/>
      <c r="F136" s="44"/>
      <c r="G136" s="44"/>
      <c r="H136" s="44"/>
      <c r="I136" s="330"/>
      <c r="J136" s="261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</row>
    <row r="137" ht="23.25" customHeight="1">
      <c r="A137" s="44"/>
      <c r="B137" s="44"/>
      <c r="C137" s="44"/>
      <c r="D137" s="44"/>
      <c r="E137" s="44"/>
      <c r="F137" s="44"/>
      <c r="G137" s="44"/>
      <c r="H137" s="44"/>
      <c r="I137" s="330"/>
      <c r="J137" s="261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</row>
    <row r="138" ht="23.25" customHeight="1">
      <c r="A138" s="44"/>
      <c r="B138" s="44"/>
      <c r="C138" s="44"/>
      <c r="D138" s="44"/>
      <c r="E138" s="44"/>
      <c r="F138" s="44"/>
      <c r="G138" s="44"/>
      <c r="H138" s="44"/>
      <c r="I138" s="330"/>
      <c r="J138" s="261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</row>
    <row r="139" ht="23.25" customHeight="1">
      <c r="A139" s="44"/>
      <c r="B139" s="44"/>
      <c r="C139" s="44"/>
      <c r="D139" s="44"/>
      <c r="E139" s="44"/>
      <c r="F139" s="44"/>
      <c r="G139" s="44"/>
      <c r="H139" s="44"/>
      <c r="I139" s="330"/>
      <c r="J139" s="261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</row>
    <row r="140" ht="23.25" customHeight="1">
      <c r="A140" s="44"/>
      <c r="B140" s="44"/>
      <c r="C140" s="44"/>
      <c r="D140" s="44"/>
      <c r="E140" s="44"/>
      <c r="F140" s="44"/>
      <c r="G140" s="44"/>
      <c r="H140" s="44"/>
      <c r="I140" s="330"/>
      <c r="J140" s="261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</row>
    <row r="141" ht="23.25" customHeight="1">
      <c r="A141" s="44"/>
      <c r="B141" s="44"/>
      <c r="C141" s="44"/>
      <c r="D141" s="44"/>
      <c r="E141" s="44"/>
      <c r="F141" s="44"/>
      <c r="G141" s="44"/>
      <c r="H141" s="44"/>
      <c r="I141" s="330"/>
      <c r="J141" s="261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</row>
    <row r="142" ht="23.25" customHeight="1">
      <c r="A142" s="44"/>
      <c r="B142" s="44"/>
      <c r="C142" s="44"/>
      <c r="D142" s="44"/>
      <c r="E142" s="44"/>
      <c r="F142" s="44"/>
      <c r="G142" s="44"/>
      <c r="H142" s="44"/>
      <c r="I142" s="330"/>
      <c r="J142" s="261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</row>
    <row r="143" ht="23.25" customHeight="1">
      <c r="A143" s="44"/>
      <c r="B143" s="44"/>
      <c r="C143" s="44"/>
      <c r="D143" s="44"/>
      <c r="E143" s="44"/>
      <c r="F143" s="44"/>
      <c r="G143" s="44"/>
      <c r="H143" s="44"/>
      <c r="I143" s="330"/>
      <c r="J143" s="261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</row>
    <row r="144" ht="23.25" customHeight="1">
      <c r="A144" s="44"/>
      <c r="B144" s="44"/>
      <c r="C144" s="44"/>
      <c r="D144" s="44"/>
      <c r="E144" s="44"/>
      <c r="F144" s="44"/>
      <c r="G144" s="44"/>
      <c r="H144" s="44"/>
      <c r="I144" s="330"/>
      <c r="J144" s="261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</row>
    <row r="145" ht="23.25" customHeight="1">
      <c r="A145" s="44"/>
      <c r="B145" s="44"/>
      <c r="C145" s="44"/>
      <c r="D145" s="44"/>
      <c r="E145" s="44"/>
      <c r="F145" s="44"/>
      <c r="G145" s="44"/>
      <c r="H145" s="44"/>
      <c r="I145" s="330"/>
      <c r="J145" s="261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</row>
    <row r="146" ht="23.25" customHeight="1">
      <c r="A146" s="44"/>
      <c r="B146" s="44"/>
      <c r="C146" s="44"/>
      <c r="D146" s="44"/>
      <c r="E146" s="44"/>
      <c r="F146" s="44"/>
      <c r="G146" s="44"/>
      <c r="H146" s="44"/>
      <c r="I146" s="330"/>
      <c r="J146" s="261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</row>
    <row r="147" ht="23.25" customHeight="1">
      <c r="A147" s="44"/>
      <c r="B147" s="44"/>
      <c r="C147" s="44"/>
      <c r="D147" s="44"/>
      <c r="E147" s="44"/>
      <c r="F147" s="44"/>
      <c r="G147" s="44"/>
      <c r="H147" s="44"/>
      <c r="I147" s="330"/>
      <c r="J147" s="261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</row>
    <row r="148" ht="23.25" customHeight="1">
      <c r="A148" s="44"/>
      <c r="B148" s="44"/>
      <c r="C148" s="44"/>
      <c r="D148" s="44"/>
      <c r="E148" s="44"/>
      <c r="F148" s="44"/>
      <c r="G148" s="44"/>
      <c r="H148" s="44"/>
      <c r="I148" s="330"/>
      <c r="J148" s="261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</row>
    <row r="149" ht="23.25" customHeight="1">
      <c r="A149" s="44"/>
      <c r="B149" s="44"/>
      <c r="C149" s="44"/>
      <c r="D149" s="44"/>
      <c r="E149" s="44"/>
      <c r="F149" s="44"/>
      <c r="G149" s="44"/>
      <c r="H149" s="44"/>
      <c r="I149" s="330"/>
      <c r="J149" s="261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</row>
    <row r="150" ht="23.25" customHeight="1">
      <c r="A150" s="44"/>
      <c r="B150" s="44"/>
      <c r="C150" s="44"/>
      <c r="D150" s="44"/>
      <c r="E150" s="44"/>
      <c r="F150" s="44"/>
      <c r="G150" s="44"/>
      <c r="H150" s="44"/>
      <c r="I150" s="330"/>
      <c r="J150" s="261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</row>
    <row r="151" ht="23.25" customHeight="1">
      <c r="A151" s="44"/>
      <c r="B151" s="44"/>
      <c r="C151" s="44"/>
      <c r="D151" s="44"/>
      <c r="E151" s="44"/>
      <c r="F151" s="44"/>
      <c r="G151" s="44"/>
      <c r="H151" s="44"/>
      <c r="I151" s="330"/>
      <c r="J151" s="261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</row>
    <row r="152" ht="23.25" customHeight="1">
      <c r="A152" s="44"/>
      <c r="B152" s="44"/>
      <c r="C152" s="44"/>
      <c r="D152" s="44"/>
      <c r="E152" s="44"/>
      <c r="F152" s="44"/>
      <c r="G152" s="44"/>
      <c r="H152" s="44"/>
      <c r="I152" s="330"/>
      <c r="J152" s="261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</row>
    <row r="153" ht="23.25" customHeight="1">
      <c r="A153" s="44"/>
      <c r="B153" s="44"/>
      <c r="C153" s="44"/>
      <c r="D153" s="44"/>
      <c r="E153" s="44"/>
      <c r="F153" s="44"/>
      <c r="G153" s="44"/>
      <c r="H153" s="44"/>
      <c r="I153" s="330"/>
      <c r="J153" s="261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</row>
    <row r="154" ht="23.25" customHeight="1">
      <c r="A154" s="44"/>
      <c r="B154" s="44"/>
      <c r="C154" s="44"/>
      <c r="D154" s="44"/>
      <c r="E154" s="44"/>
      <c r="F154" s="44"/>
      <c r="G154" s="44"/>
      <c r="H154" s="44"/>
      <c r="I154" s="330"/>
      <c r="J154" s="261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</row>
    <row r="155" ht="23.25" customHeight="1">
      <c r="A155" s="44"/>
      <c r="B155" s="44"/>
      <c r="C155" s="44"/>
      <c r="D155" s="44"/>
      <c r="E155" s="44"/>
      <c r="F155" s="44"/>
      <c r="G155" s="44"/>
      <c r="H155" s="44"/>
      <c r="I155" s="330"/>
      <c r="J155" s="261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</row>
    <row r="156" ht="23.25" customHeight="1">
      <c r="A156" s="44"/>
      <c r="B156" s="44"/>
      <c r="C156" s="44"/>
      <c r="D156" s="44"/>
      <c r="E156" s="44"/>
      <c r="F156" s="44"/>
      <c r="G156" s="44"/>
      <c r="H156" s="44"/>
      <c r="I156" s="330"/>
      <c r="J156" s="261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</row>
    <row r="157" ht="23.25" customHeight="1">
      <c r="A157" s="44"/>
      <c r="B157" s="44"/>
      <c r="C157" s="44"/>
      <c r="D157" s="44"/>
      <c r="E157" s="44"/>
      <c r="F157" s="44"/>
      <c r="G157" s="44"/>
      <c r="H157" s="44"/>
      <c r="I157" s="330"/>
      <c r="J157" s="261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</row>
    <row r="158" ht="23.25" customHeight="1">
      <c r="A158" s="44"/>
      <c r="B158" s="44"/>
      <c r="C158" s="44"/>
      <c r="D158" s="44"/>
      <c r="E158" s="44"/>
      <c r="F158" s="44"/>
      <c r="G158" s="44"/>
      <c r="H158" s="44"/>
      <c r="I158" s="330"/>
      <c r="J158" s="261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</row>
    <row r="159" ht="23.25" customHeight="1">
      <c r="A159" s="44"/>
      <c r="B159" s="44"/>
      <c r="C159" s="44"/>
      <c r="D159" s="44"/>
      <c r="E159" s="44"/>
      <c r="F159" s="44"/>
      <c r="G159" s="44"/>
      <c r="H159" s="44"/>
      <c r="I159" s="330"/>
      <c r="J159" s="261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</row>
    <row r="160" ht="23.25" customHeight="1">
      <c r="A160" s="44"/>
      <c r="B160" s="44"/>
      <c r="C160" s="44"/>
      <c r="D160" s="44"/>
      <c r="E160" s="44"/>
      <c r="F160" s="44"/>
      <c r="G160" s="44"/>
      <c r="H160" s="44"/>
      <c r="I160" s="330"/>
      <c r="J160" s="261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</row>
    <row r="161" ht="23.25" customHeight="1">
      <c r="A161" s="44"/>
      <c r="B161" s="44"/>
      <c r="C161" s="44"/>
      <c r="D161" s="44"/>
      <c r="E161" s="44"/>
      <c r="F161" s="44"/>
      <c r="G161" s="44"/>
      <c r="H161" s="44"/>
      <c r="I161" s="330"/>
      <c r="J161" s="261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</row>
    <row r="162" ht="23.25" customHeight="1">
      <c r="A162" s="44"/>
      <c r="B162" s="44"/>
      <c r="C162" s="44"/>
      <c r="D162" s="44"/>
      <c r="E162" s="44"/>
      <c r="F162" s="44"/>
      <c r="G162" s="44"/>
      <c r="H162" s="44"/>
      <c r="I162" s="330"/>
      <c r="J162" s="261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</row>
    <row r="163" ht="23.25" customHeight="1">
      <c r="A163" s="44"/>
      <c r="B163" s="44"/>
      <c r="C163" s="44"/>
      <c r="D163" s="44"/>
      <c r="E163" s="44"/>
      <c r="F163" s="44"/>
      <c r="G163" s="44"/>
      <c r="H163" s="44"/>
      <c r="I163" s="330"/>
      <c r="J163" s="261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</row>
    <row r="164" ht="23.25" customHeight="1">
      <c r="A164" s="44"/>
      <c r="B164" s="44"/>
      <c r="C164" s="44"/>
      <c r="D164" s="44"/>
      <c r="E164" s="44"/>
      <c r="F164" s="44"/>
      <c r="G164" s="44"/>
      <c r="H164" s="44"/>
      <c r="I164" s="330"/>
      <c r="J164" s="261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</row>
    <row r="165" ht="23.25" customHeight="1">
      <c r="A165" s="44"/>
      <c r="B165" s="44"/>
      <c r="C165" s="44"/>
      <c r="D165" s="44"/>
      <c r="E165" s="44"/>
      <c r="F165" s="44"/>
      <c r="G165" s="44"/>
      <c r="H165" s="44"/>
      <c r="I165" s="330"/>
      <c r="J165" s="261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</row>
    <row r="166" ht="23.25" customHeight="1">
      <c r="A166" s="44"/>
      <c r="B166" s="44"/>
      <c r="C166" s="44"/>
      <c r="D166" s="44"/>
      <c r="E166" s="44"/>
      <c r="F166" s="44"/>
      <c r="G166" s="44"/>
      <c r="H166" s="44"/>
      <c r="I166" s="330"/>
      <c r="J166" s="261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</row>
    <row r="167" ht="23.25" customHeight="1">
      <c r="A167" s="44"/>
      <c r="B167" s="44"/>
      <c r="C167" s="44"/>
      <c r="D167" s="44"/>
      <c r="E167" s="44"/>
      <c r="F167" s="44"/>
      <c r="G167" s="44"/>
      <c r="H167" s="44"/>
      <c r="I167" s="330"/>
      <c r="J167" s="261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</row>
    <row r="168" ht="23.25" customHeight="1">
      <c r="A168" s="44"/>
      <c r="B168" s="44"/>
      <c r="C168" s="44"/>
      <c r="D168" s="44"/>
      <c r="E168" s="44"/>
      <c r="F168" s="44"/>
      <c r="G168" s="44"/>
      <c r="H168" s="44"/>
      <c r="I168" s="330"/>
      <c r="J168" s="261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</row>
    <row r="169" ht="23.25" customHeight="1">
      <c r="A169" s="44"/>
      <c r="B169" s="44"/>
      <c r="C169" s="44"/>
      <c r="D169" s="44"/>
      <c r="E169" s="44"/>
      <c r="F169" s="44"/>
      <c r="G169" s="44"/>
      <c r="H169" s="44"/>
      <c r="I169" s="330"/>
      <c r="J169" s="261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</row>
    <row r="170" ht="23.25" customHeight="1">
      <c r="A170" s="44"/>
      <c r="B170" s="44"/>
      <c r="C170" s="44"/>
      <c r="D170" s="44"/>
      <c r="E170" s="44"/>
      <c r="F170" s="44"/>
      <c r="G170" s="44"/>
      <c r="H170" s="44"/>
      <c r="I170" s="330"/>
      <c r="J170" s="261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</row>
    <row r="171" ht="23.25" customHeight="1">
      <c r="A171" s="44"/>
      <c r="B171" s="44"/>
      <c r="C171" s="44"/>
      <c r="D171" s="44"/>
      <c r="E171" s="44"/>
      <c r="F171" s="44"/>
      <c r="G171" s="44"/>
      <c r="H171" s="44"/>
      <c r="I171" s="330"/>
      <c r="J171" s="261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</row>
    <row r="172" ht="23.25" customHeight="1">
      <c r="A172" s="44"/>
      <c r="B172" s="44"/>
      <c r="C172" s="44"/>
      <c r="D172" s="44"/>
      <c r="E172" s="44"/>
      <c r="F172" s="44"/>
      <c r="G172" s="44"/>
      <c r="H172" s="44"/>
      <c r="I172" s="330"/>
      <c r="J172" s="261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</row>
    <row r="173" ht="23.25" customHeight="1">
      <c r="A173" s="44"/>
      <c r="B173" s="44"/>
      <c r="C173" s="44"/>
      <c r="D173" s="44"/>
      <c r="E173" s="44"/>
      <c r="F173" s="44"/>
      <c r="G173" s="44"/>
      <c r="H173" s="44"/>
      <c r="I173" s="330"/>
      <c r="J173" s="261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</row>
    <row r="174" ht="23.25" customHeight="1">
      <c r="A174" s="44"/>
      <c r="B174" s="44"/>
      <c r="C174" s="44"/>
      <c r="D174" s="44"/>
      <c r="E174" s="44"/>
      <c r="F174" s="44"/>
      <c r="G174" s="44"/>
      <c r="H174" s="44"/>
      <c r="I174" s="330"/>
      <c r="J174" s="261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</row>
    <row r="175" ht="23.25" customHeight="1">
      <c r="A175" s="44"/>
      <c r="B175" s="44"/>
      <c r="C175" s="44"/>
      <c r="D175" s="44"/>
      <c r="E175" s="44"/>
      <c r="F175" s="44"/>
      <c r="G175" s="44"/>
      <c r="H175" s="44"/>
      <c r="I175" s="330"/>
      <c r="J175" s="261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</row>
    <row r="176" ht="23.25" customHeight="1">
      <c r="A176" s="44"/>
      <c r="B176" s="44"/>
      <c r="C176" s="44"/>
      <c r="D176" s="44"/>
      <c r="E176" s="44"/>
      <c r="F176" s="44"/>
      <c r="G176" s="44"/>
      <c r="H176" s="44"/>
      <c r="I176" s="330"/>
      <c r="J176" s="261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</row>
    <row r="177" ht="23.25" customHeight="1">
      <c r="A177" s="44"/>
      <c r="B177" s="44"/>
      <c r="C177" s="44"/>
      <c r="D177" s="44"/>
      <c r="E177" s="44"/>
      <c r="F177" s="44"/>
      <c r="G177" s="44"/>
      <c r="H177" s="44"/>
      <c r="I177" s="330"/>
      <c r="J177" s="261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</row>
    <row r="178" ht="23.25" customHeight="1">
      <c r="A178" s="44"/>
      <c r="B178" s="44"/>
      <c r="C178" s="44"/>
      <c r="D178" s="44"/>
      <c r="E178" s="44"/>
      <c r="F178" s="44"/>
      <c r="G178" s="44"/>
      <c r="H178" s="44"/>
      <c r="I178" s="330"/>
      <c r="J178" s="261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</row>
    <row r="179" ht="23.25" customHeight="1">
      <c r="A179" s="44"/>
      <c r="B179" s="44"/>
      <c r="C179" s="44"/>
      <c r="D179" s="44"/>
      <c r="E179" s="44"/>
      <c r="F179" s="44"/>
      <c r="G179" s="44"/>
      <c r="H179" s="44"/>
      <c r="I179" s="330"/>
      <c r="J179" s="261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</row>
    <row r="180" ht="23.25" customHeight="1">
      <c r="A180" s="44"/>
      <c r="B180" s="44"/>
      <c r="C180" s="44"/>
      <c r="D180" s="44"/>
      <c r="E180" s="44"/>
      <c r="F180" s="44"/>
      <c r="G180" s="44"/>
      <c r="H180" s="44"/>
      <c r="I180" s="330"/>
      <c r="J180" s="261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</row>
    <row r="181" ht="23.25" customHeight="1">
      <c r="A181" s="44"/>
      <c r="B181" s="44"/>
      <c r="C181" s="44"/>
      <c r="D181" s="44"/>
      <c r="E181" s="44"/>
      <c r="F181" s="44"/>
      <c r="G181" s="44"/>
      <c r="H181" s="44"/>
      <c r="I181" s="330"/>
      <c r="J181" s="261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</row>
    <row r="182" ht="23.25" customHeight="1">
      <c r="A182" s="44"/>
      <c r="B182" s="44"/>
      <c r="C182" s="44"/>
      <c r="D182" s="44"/>
      <c r="E182" s="44"/>
      <c r="F182" s="44"/>
      <c r="G182" s="44"/>
      <c r="H182" s="44"/>
      <c r="I182" s="330"/>
      <c r="J182" s="261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</row>
    <row r="183" ht="23.25" customHeight="1">
      <c r="A183" s="44"/>
      <c r="B183" s="44"/>
      <c r="C183" s="44"/>
      <c r="D183" s="44"/>
      <c r="E183" s="44"/>
      <c r="F183" s="44"/>
      <c r="G183" s="44"/>
      <c r="H183" s="44"/>
      <c r="I183" s="330"/>
      <c r="J183" s="261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</row>
    <row r="184" ht="23.25" customHeight="1">
      <c r="A184" s="44"/>
      <c r="B184" s="44"/>
      <c r="C184" s="44"/>
      <c r="D184" s="44"/>
      <c r="E184" s="44"/>
      <c r="F184" s="44"/>
      <c r="G184" s="44"/>
      <c r="H184" s="44"/>
      <c r="I184" s="330"/>
      <c r="J184" s="261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</row>
    <row r="185" ht="23.25" customHeight="1">
      <c r="A185" s="44"/>
      <c r="B185" s="44"/>
      <c r="C185" s="44"/>
      <c r="D185" s="44"/>
      <c r="E185" s="44"/>
      <c r="F185" s="44"/>
      <c r="G185" s="44"/>
      <c r="H185" s="44"/>
      <c r="I185" s="330"/>
      <c r="J185" s="261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</row>
    <row r="186" ht="23.25" customHeight="1">
      <c r="A186" s="44"/>
      <c r="B186" s="44"/>
      <c r="C186" s="44"/>
      <c r="D186" s="44"/>
      <c r="E186" s="44"/>
      <c r="F186" s="44"/>
      <c r="G186" s="44"/>
      <c r="H186" s="44"/>
      <c r="I186" s="330"/>
      <c r="J186" s="261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</row>
    <row r="187" ht="23.25" customHeight="1">
      <c r="A187" s="44"/>
      <c r="B187" s="44"/>
      <c r="C187" s="44"/>
      <c r="D187" s="44"/>
      <c r="E187" s="44"/>
      <c r="F187" s="44"/>
      <c r="G187" s="44"/>
      <c r="H187" s="44"/>
      <c r="I187" s="330"/>
      <c r="J187" s="261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</row>
    <row r="188" ht="23.25" customHeight="1">
      <c r="A188" s="44"/>
      <c r="B188" s="44"/>
      <c r="C188" s="44"/>
      <c r="D188" s="44"/>
      <c r="E188" s="44"/>
      <c r="F188" s="44"/>
      <c r="G188" s="44"/>
      <c r="H188" s="44"/>
      <c r="I188" s="330"/>
      <c r="J188" s="261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</row>
    <row r="189" ht="23.25" customHeight="1">
      <c r="A189" s="44"/>
      <c r="B189" s="44"/>
      <c r="C189" s="44"/>
      <c r="D189" s="44"/>
      <c r="E189" s="44"/>
      <c r="F189" s="44"/>
      <c r="G189" s="44"/>
      <c r="H189" s="44"/>
      <c r="I189" s="330"/>
      <c r="J189" s="261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</row>
    <row r="190" ht="23.25" customHeight="1">
      <c r="A190" s="44"/>
      <c r="B190" s="44"/>
      <c r="C190" s="44"/>
      <c r="D190" s="44"/>
      <c r="E190" s="44"/>
      <c r="F190" s="44"/>
      <c r="G190" s="44"/>
      <c r="H190" s="44"/>
      <c r="I190" s="330"/>
      <c r="J190" s="261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</row>
    <row r="191" ht="23.25" customHeight="1">
      <c r="A191" s="44"/>
      <c r="B191" s="44"/>
      <c r="C191" s="44"/>
      <c r="D191" s="44"/>
      <c r="E191" s="44"/>
      <c r="F191" s="44"/>
      <c r="G191" s="44"/>
      <c r="H191" s="44"/>
      <c r="I191" s="330"/>
      <c r="J191" s="261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</row>
    <row r="192" ht="23.25" customHeight="1">
      <c r="A192" s="44"/>
      <c r="B192" s="44"/>
      <c r="C192" s="44"/>
      <c r="D192" s="44"/>
      <c r="E192" s="44"/>
      <c r="F192" s="44"/>
      <c r="G192" s="44"/>
      <c r="H192" s="44"/>
      <c r="I192" s="330"/>
      <c r="J192" s="261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</row>
    <row r="193" ht="23.25" customHeight="1">
      <c r="A193" s="44"/>
      <c r="B193" s="44"/>
      <c r="C193" s="44"/>
      <c r="D193" s="44"/>
      <c r="E193" s="44"/>
      <c r="F193" s="44"/>
      <c r="G193" s="44"/>
      <c r="H193" s="44"/>
      <c r="I193" s="330"/>
      <c r="J193" s="261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</row>
    <row r="194" ht="23.25" customHeight="1">
      <c r="A194" s="44"/>
      <c r="B194" s="44"/>
      <c r="C194" s="44"/>
      <c r="D194" s="44"/>
      <c r="E194" s="44"/>
      <c r="F194" s="44"/>
      <c r="G194" s="44"/>
      <c r="H194" s="44"/>
      <c r="I194" s="330"/>
      <c r="J194" s="261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</row>
    <row r="195" ht="23.25" customHeight="1">
      <c r="A195" s="44"/>
      <c r="B195" s="44"/>
      <c r="C195" s="44"/>
      <c r="D195" s="44"/>
      <c r="E195" s="44"/>
      <c r="F195" s="44"/>
      <c r="G195" s="44"/>
      <c r="H195" s="44"/>
      <c r="I195" s="330"/>
      <c r="J195" s="261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</row>
    <row r="196" ht="23.25" customHeight="1">
      <c r="A196" s="44"/>
      <c r="B196" s="44"/>
      <c r="C196" s="44"/>
      <c r="D196" s="44"/>
      <c r="E196" s="44"/>
      <c r="F196" s="44"/>
      <c r="G196" s="44"/>
      <c r="H196" s="44"/>
      <c r="I196" s="330"/>
      <c r="J196" s="261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</row>
    <row r="197" ht="23.25" customHeight="1">
      <c r="A197" s="44"/>
      <c r="B197" s="44"/>
      <c r="C197" s="44"/>
      <c r="D197" s="44"/>
      <c r="E197" s="44"/>
      <c r="F197" s="44"/>
      <c r="G197" s="44"/>
      <c r="H197" s="44"/>
      <c r="I197" s="330"/>
      <c r="J197" s="261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</row>
    <row r="198" ht="23.25" customHeight="1">
      <c r="A198" s="44"/>
      <c r="B198" s="44"/>
      <c r="C198" s="44"/>
      <c r="D198" s="44"/>
      <c r="E198" s="44"/>
      <c r="F198" s="44"/>
      <c r="G198" s="44"/>
      <c r="H198" s="44"/>
      <c r="I198" s="330"/>
      <c r="J198" s="261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</row>
    <row r="199" ht="23.25" customHeight="1">
      <c r="A199" s="44"/>
      <c r="B199" s="44"/>
      <c r="C199" s="44"/>
      <c r="D199" s="44"/>
      <c r="E199" s="44"/>
      <c r="F199" s="44"/>
      <c r="G199" s="44"/>
      <c r="H199" s="44"/>
      <c r="I199" s="330"/>
      <c r="J199" s="261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</row>
    <row r="200" ht="23.25" customHeight="1">
      <c r="A200" s="44"/>
      <c r="B200" s="44"/>
      <c r="C200" s="44"/>
      <c r="D200" s="44"/>
      <c r="E200" s="44"/>
      <c r="F200" s="44"/>
      <c r="G200" s="44"/>
      <c r="H200" s="44"/>
      <c r="I200" s="330"/>
      <c r="J200" s="261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</row>
    <row r="201" ht="23.25" customHeight="1">
      <c r="A201" s="44"/>
      <c r="B201" s="44"/>
      <c r="C201" s="44"/>
      <c r="D201" s="44"/>
      <c r="E201" s="44"/>
      <c r="F201" s="44"/>
      <c r="G201" s="44"/>
      <c r="H201" s="44"/>
      <c r="I201" s="330"/>
      <c r="J201" s="261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</row>
    <row r="202" ht="23.25" customHeight="1">
      <c r="A202" s="44"/>
      <c r="B202" s="44"/>
      <c r="C202" s="44"/>
      <c r="D202" s="44"/>
      <c r="E202" s="44"/>
      <c r="F202" s="44"/>
      <c r="G202" s="44"/>
      <c r="H202" s="44"/>
      <c r="I202" s="330"/>
      <c r="J202" s="261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</row>
    <row r="203" ht="23.25" customHeight="1">
      <c r="A203" s="44"/>
      <c r="B203" s="44"/>
      <c r="C203" s="44"/>
      <c r="D203" s="44"/>
      <c r="E203" s="44"/>
      <c r="F203" s="44"/>
      <c r="G203" s="44"/>
      <c r="H203" s="44"/>
      <c r="I203" s="330"/>
      <c r="J203" s="261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</row>
    <row r="204" ht="23.25" customHeight="1">
      <c r="A204" s="44"/>
      <c r="B204" s="44"/>
      <c r="C204" s="44"/>
      <c r="D204" s="44"/>
      <c r="E204" s="44"/>
      <c r="F204" s="44"/>
      <c r="G204" s="44"/>
      <c r="H204" s="44"/>
      <c r="I204" s="330"/>
      <c r="J204" s="261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</row>
    <row r="205" ht="23.25" customHeight="1">
      <c r="A205" s="44"/>
      <c r="B205" s="44"/>
      <c r="C205" s="44"/>
      <c r="D205" s="44"/>
      <c r="E205" s="44"/>
      <c r="F205" s="44"/>
      <c r="G205" s="44"/>
      <c r="H205" s="44"/>
      <c r="I205" s="330"/>
      <c r="J205" s="261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</row>
    <row r="206" ht="23.25" customHeight="1">
      <c r="A206" s="44"/>
      <c r="B206" s="44"/>
      <c r="C206" s="44"/>
      <c r="D206" s="44"/>
      <c r="E206" s="44"/>
      <c r="F206" s="44"/>
      <c r="G206" s="44"/>
      <c r="H206" s="44"/>
      <c r="I206" s="330"/>
      <c r="J206" s="261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</row>
    <row r="207" ht="23.25" customHeight="1">
      <c r="A207" s="44"/>
      <c r="B207" s="44"/>
      <c r="C207" s="44"/>
      <c r="D207" s="44"/>
      <c r="E207" s="44"/>
      <c r="F207" s="44"/>
      <c r="G207" s="44"/>
      <c r="H207" s="44"/>
      <c r="I207" s="330"/>
      <c r="J207" s="261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</row>
    <row r="208" ht="23.25" customHeight="1">
      <c r="A208" s="44"/>
      <c r="B208" s="44"/>
      <c r="C208" s="44"/>
      <c r="D208" s="44"/>
      <c r="E208" s="44"/>
      <c r="F208" s="44"/>
      <c r="G208" s="44"/>
      <c r="H208" s="44"/>
      <c r="I208" s="330"/>
      <c r="J208" s="261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</row>
    <row r="209" ht="23.25" customHeight="1">
      <c r="A209" s="44"/>
      <c r="B209" s="44"/>
      <c r="C209" s="44"/>
      <c r="D209" s="44"/>
      <c r="E209" s="44"/>
      <c r="F209" s="44"/>
      <c r="G209" s="44"/>
      <c r="H209" s="44"/>
      <c r="I209" s="330"/>
      <c r="J209" s="261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</row>
    <row r="210" ht="23.25" customHeight="1">
      <c r="A210" s="44"/>
      <c r="B210" s="44"/>
      <c r="C210" s="44"/>
      <c r="D210" s="44"/>
      <c r="E210" s="44"/>
      <c r="F210" s="44"/>
      <c r="G210" s="44"/>
      <c r="H210" s="44"/>
      <c r="I210" s="330"/>
      <c r="J210" s="261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</row>
    <row r="211" ht="23.25" customHeight="1">
      <c r="A211" s="44"/>
      <c r="B211" s="44"/>
      <c r="C211" s="44"/>
      <c r="D211" s="44"/>
      <c r="E211" s="44"/>
      <c r="F211" s="44"/>
      <c r="G211" s="44"/>
      <c r="H211" s="44"/>
      <c r="I211" s="330"/>
      <c r="J211" s="261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</row>
    <row r="212" ht="23.25" customHeight="1">
      <c r="A212" s="44"/>
      <c r="B212" s="44"/>
      <c r="C212" s="44"/>
      <c r="D212" s="44"/>
      <c r="E212" s="44"/>
      <c r="F212" s="44"/>
      <c r="G212" s="44"/>
      <c r="H212" s="44"/>
      <c r="I212" s="330"/>
      <c r="J212" s="261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</row>
    <row r="213" ht="23.25" customHeight="1">
      <c r="A213" s="44"/>
      <c r="B213" s="44"/>
      <c r="C213" s="44"/>
      <c r="D213" s="44"/>
      <c r="E213" s="44"/>
      <c r="F213" s="44"/>
      <c r="G213" s="44"/>
      <c r="H213" s="44"/>
      <c r="I213" s="330"/>
      <c r="J213" s="261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</row>
    <row r="214" ht="23.25" customHeight="1">
      <c r="A214" s="44"/>
      <c r="B214" s="44"/>
      <c r="C214" s="44"/>
      <c r="D214" s="44"/>
      <c r="E214" s="44"/>
      <c r="F214" s="44"/>
      <c r="G214" s="44"/>
      <c r="H214" s="44"/>
      <c r="I214" s="330"/>
      <c r="J214" s="261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</row>
    <row r="215" ht="23.25" customHeight="1">
      <c r="A215" s="44"/>
      <c r="B215" s="44"/>
      <c r="C215" s="44"/>
      <c r="D215" s="44"/>
      <c r="E215" s="44"/>
      <c r="F215" s="44"/>
      <c r="G215" s="44"/>
      <c r="H215" s="44"/>
      <c r="I215" s="330"/>
      <c r="J215" s="261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</row>
    <row r="216" ht="23.25" customHeight="1">
      <c r="A216" s="44"/>
      <c r="B216" s="44"/>
      <c r="C216" s="44"/>
      <c r="D216" s="44"/>
      <c r="E216" s="44"/>
      <c r="F216" s="44"/>
      <c r="G216" s="44"/>
      <c r="H216" s="44"/>
      <c r="I216" s="330"/>
      <c r="J216" s="261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</row>
    <row r="217" ht="23.25" customHeight="1">
      <c r="A217" s="44"/>
      <c r="B217" s="44"/>
      <c r="C217" s="44"/>
      <c r="D217" s="44"/>
      <c r="E217" s="44"/>
      <c r="F217" s="44"/>
      <c r="G217" s="44"/>
      <c r="H217" s="44"/>
      <c r="I217" s="330"/>
      <c r="J217" s="261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</row>
    <row r="218" ht="23.25" customHeight="1">
      <c r="A218" s="44"/>
      <c r="B218" s="44"/>
      <c r="C218" s="44"/>
      <c r="D218" s="44"/>
      <c r="E218" s="44"/>
      <c r="F218" s="44"/>
      <c r="G218" s="44"/>
      <c r="H218" s="44"/>
      <c r="I218" s="330"/>
      <c r="J218" s="261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</row>
    <row r="219" ht="23.25" customHeight="1">
      <c r="A219" s="44"/>
      <c r="B219" s="44"/>
      <c r="C219" s="44"/>
      <c r="D219" s="44"/>
      <c r="E219" s="44"/>
      <c r="F219" s="44"/>
      <c r="G219" s="44"/>
      <c r="H219" s="44"/>
      <c r="I219" s="330"/>
      <c r="J219" s="261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</row>
    <row r="220" ht="23.25" customHeight="1">
      <c r="A220" s="44"/>
      <c r="B220" s="44"/>
      <c r="C220" s="44"/>
      <c r="D220" s="44"/>
      <c r="E220" s="44"/>
      <c r="F220" s="44"/>
      <c r="G220" s="44"/>
      <c r="H220" s="44"/>
      <c r="I220" s="330"/>
      <c r="J220" s="261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</row>
    <row r="221" ht="23.25" customHeight="1">
      <c r="A221" s="44"/>
      <c r="B221" s="44"/>
      <c r="C221" s="44"/>
      <c r="D221" s="44"/>
      <c r="E221" s="44"/>
      <c r="F221" s="44"/>
      <c r="G221" s="44"/>
      <c r="H221" s="44"/>
      <c r="I221" s="330"/>
      <c r="J221" s="261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</row>
    <row r="222" ht="23.25" customHeight="1">
      <c r="A222" s="44"/>
      <c r="B222" s="44"/>
      <c r="C222" s="44"/>
      <c r="D222" s="44"/>
      <c r="E222" s="44"/>
      <c r="F222" s="44"/>
      <c r="G222" s="44"/>
      <c r="H222" s="44"/>
      <c r="I222" s="330"/>
      <c r="J222" s="261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</row>
    <row r="223" ht="23.25" customHeight="1">
      <c r="A223" s="44"/>
      <c r="B223" s="44"/>
      <c r="C223" s="44"/>
      <c r="D223" s="44"/>
      <c r="E223" s="44"/>
      <c r="F223" s="44"/>
      <c r="G223" s="44"/>
      <c r="H223" s="44"/>
      <c r="I223" s="330"/>
      <c r="J223" s="261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</row>
    <row r="224" ht="23.25" customHeight="1">
      <c r="A224" s="44"/>
      <c r="B224" s="44"/>
      <c r="C224" s="44"/>
      <c r="D224" s="44"/>
      <c r="E224" s="44"/>
      <c r="F224" s="44"/>
      <c r="G224" s="44"/>
      <c r="H224" s="44"/>
      <c r="I224" s="330"/>
      <c r="J224" s="261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</row>
    <row r="225" ht="23.25" customHeight="1">
      <c r="A225" s="44"/>
      <c r="B225" s="44"/>
      <c r="C225" s="44"/>
      <c r="D225" s="44"/>
      <c r="E225" s="44"/>
      <c r="F225" s="44"/>
      <c r="G225" s="44"/>
      <c r="H225" s="44"/>
      <c r="I225" s="330"/>
      <c r="J225" s="261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</row>
    <row r="226" ht="23.25" customHeight="1">
      <c r="A226" s="44"/>
      <c r="B226" s="44"/>
      <c r="C226" s="44"/>
      <c r="D226" s="44"/>
      <c r="E226" s="44"/>
      <c r="F226" s="44"/>
      <c r="G226" s="44"/>
      <c r="H226" s="44"/>
      <c r="I226" s="330"/>
      <c r="J226" s="261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</row>
    <row r="227" ht="23.25" customHeight="1">
      <c r="A227" s="44"/>
      <c r="B227" s="44"/>
      <c r="C227" s="44"/>
      <c r="D227" s="44"/>
      <c r="E227" s="44"/>
      <c r="F227" s="44"/>
      <c r="G227" s="44"/>
      <c r="H227" s="44"/>
      <c r="I227" s="330"/>
      <c r="J227" s="261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</row>
    <row r="228" ht="23.25" customHeight="1">
      <c r="A228" s="44"/>
      <c r="B228" s="44"/>
      <c r="C228" s="44"/>
      <c r="D228" s="44"/>
      <c r="E228" s="44"/>
      <c r="F228" s="44"/>
      <c r="G228" s="44"/>
      <c r="H228" s="44"/>
      <c r="I228" s="330"/>
      <c r="J228" s="261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</row>
    <row r="229" ht="23.25" customHeight="1">
      <c r="A229" s="44"/>
      <c r="B229" s="44"/>
      <c r="C229" s="44"/>
      <c r="D229" s="44"/>
      <c r="E229" s="44"/>
      <c r="F229" s="44"/>
      <c r="G229" s="44"/>
      <c r="H229" s="44"/>
      <c r="I229" s="330"/>
      <c r="J229" s="261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</row>
    <row r="230" ht="23.25" customHeight="1">
      <c r="A230" s="44"/>
      <c r="B230" s="44"/>
      <c r="C230" s="44"/>
      <c r="D230" s="44"/>
      <c r="E230" s="44"/>
      <c r="F230" s="44"/>
      <c r="G230" s="44"/>
      <c r="H230" s="44"/>
      <c r="I230" s="330"/>
      <c r="J230" s="261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</row>
    <row r="231" ht="23.25" customHeight="1">
      <c r="A231" s="44"/>
      <c r="B231" s="44"/>
      <c r="C231" s="44"/>
      <c r="D231" s="44"/>
      <c r="E231" s="44"/>
      <c r="F231" s="44"/>
      <c r="G231" s="44"/>
      <c r="H231" s="44"/>
      <c r="I231" s="330"/>
      <c r="J231" s="261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</row>
    <row r="232" ht="23.25" customHeight="1">
      <c r="A232" s="44"/>
      <c r="B232" s="44"/>
      <c r="C232" s="44"/>
      <c r="D232" s="44"/>
      <c r="E232" s="44"/>
      <c r="F232" s="44"/>
      <c r="G232" s="44"/>
      <c r="H232" s="44"/>
      <c r="I232" s="330"/>
      <c r="J232" s="261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</row>
    <row r="233" ht="23.25" customHeight="1">
      <c r="A233" s="44"/>
      <c r="B233" s="44"/>
      <c r="C233" s="44"/>
      <c r="D233" s="44"/>
      <c r="E233" s="44"/>
      <c r="F233" s="44"/>
      <c r="G233" s="44"/>
      <c r="H233" s="44"/>
      <c r="I233" s="330"/>
      <c r="J233" s="261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</row>
    <row r="234" ht="23.25" customHeight="1">
      <c r="A234" s="44"/>
      <c r="B234" s="44"/>
      <c r="C234" s="44"/>
      <c r="D234" s="44"/>
      <c r="E234" s="44"/>
      <c r="F234" s="44"/>
      <c r="G234" s="44"/>
      <c r="H234" s="44"/>
      <c r="I234" s="330"/>
      <c r="J234" s="261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</row>
    <row r="235" ht="23.25" customHeight="1">
      <c r="A235" s="44"/>
      <c r="B235" s="44"/>
      <c r="C235" s="44"/>
      <c r="D235" s="44"/>
      <c r="E235" s="44"/>
      <c r="F235" s="44"/>
      <c r="G235" s="44"/>
      <c r="H235" s="44"/>
      <c r="I235" s="330"/>
      <c r="J235" s="261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</row>
    <row r="236" ht="23.25" customHeight="1">
      <c r="A236" s="44"/>
      <c r="B236" s="44"/>
      <c r="C236" s="44"/>
      <c r="D236" s="44"/>
      <c r="E236" s="44"/>
      <c r="F236" s="44"/>
      <c r="G236" s="44"/>
      <c r="H236" s="44"/>
      <c r="I236" s="330"/>
      <c r="J236" s="261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</row>
    <row r="237" ht="23.25" customHeight="1">
      <c r="A237" s="44"/>
      <c r="B237" s="44"/>
      <c r="C237" s="44"/>
      <c r="D237" s="44"/>
      <c r="E237" s="44"/>
      <c r="F237" s="44"/>
      <c r="G237" s="44"/>
      <c r="H237" s="44"/>
      <c r="I237" s="330"/>
      <c r="J237" s="261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</row>
    <row r="238" ht="23.25" customHeight="1">
      <c r="A238" s="44"/>
      <c r="B238" s="44"/>
      <c r="C238" s="44"/>
      <c r="D238" s="44"/>
      <c r="E238" s="44"/>
      <c r="F238" s="44"/>
      <c r="G238" s="44"/>
      <c r="H238" s="44"/>
      <c r="I238" s="330"/>
      <c r="J238" s="261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</row>
    <row r="239" ht="23.25" customHeight="1">
      <c r="A239" s="44"/>
      <c r="B239" s="44"/>
      <c r="C239" s="44"/>
      <c r="D239" s="44"/>
      <c r="E239" s="44"/>
      <c r="F239" s="44"/>
      <c r="G239" s="44"/>
      <c r="H239" s="44"/>
      <c r="I239" s="330"/>
      <c r="J239" s="261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</row>
    <row r="240" ht="23.25" customHeight="1">
      <c r="A240" s="44"/>
      <c r="B240" s="44"/>
      <c r="C240" s="44"/>
      <c r="D240" s="44"/>
      <c r="E240" s="44"/>
      <c r="F240" s="44"/>
      <c r="G240" s="44"/>
      <c r="H240" s="44"/>
      <c r="I240" s="330"/>
      <c r="J240" s="261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</row>
    <row r="241" ht="23.25" customHeight="1">
      <c r="A241" s="44"/>
      <c r="B241" s="44"/>
      <c r="C241" s="44"/>
      <c r="D241" s="44"/>
      <c r="E241" s="44"/>
      <c r="F241" s="44"/>
      <c r="G241" s="44"/>
      <c r="H241" s="44"/>
      <c r="I241" s="330"/>
      <c r="J241" s="261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</row>
    <row r="242" ht="23.25" customHeight="1">
      <c r="A242" s="44"/>
      <c r="B242" s="44"/>
      <c r="C242" s="44"/>
      <c r="D242" s="44"/>
      <c r="E242" s="44"/>
      <c r="F242" s="44"/>
      <c r="G242" s="44"/>
      <c r="H242" s="44"/>
      <c r="I242" s="330"/>
      <c r="J242" s="261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</row>
    <row r="243" ht="23.25" customHeight="1">
      <c r="A243" s="44"/>
      <c r="B243" s="44"/>
      <c r="C243" s="44"/>
      <c r="D243" s="44"/>
      <c r="E243" s="44"/>
      <c r="F243" s="44"/>
      <c r="G243" s="44"/>
      <c r="H243" s="44"/>
      <c r="I243" s="330"/>
      <c r="J243" s="261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</row>
    <row r="244" ht="23.25" customHeight="1">
      <c r="A244" s="44"/>
      <c r="B244" s="44"/>
      <c r="C244" s="44"/>
      <c r="D244" s="44"/>
      <c r="E244" s="44"/>
      <c r="F244" s="44"/>
      <c r="G244" s="44"/>
      <c r="H244" s="44"/>
      <c r="I244" s="330"/>
      <c r="J244" s="261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</row>
    <row r="245" ht="23.25" customHeight="1">
      <c r="A245" s="44"/>
      <c r="B245" s="44"/>
      <c r="C245" s="44"/>
      <c r="D245" s="44"/>
      <c r="E245" s="44"/>
      <c r="F245" s="44"/>
      <c r="G245" s="44"/>
      <c r="H245" s="44"/>
      <c r="I245" s="330"/>
      <c r="J245" s="261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</row>
    <row r="246" ht="23.25" customHeight="1">
      <c r="A246" s="44"/>
      <c r="B246" s="44"/>
      <c r="C246" s="44"/>
      <c r="D246" s="44"/>
      <c r="E246" s="44"/>
      <c r="F246" s="44"/>
      <c r="G246" s="44"/>
      <c r="H246" s="44"/>
      <c r="I246" s="330"/>
      <c r="J246" s="261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</row>
    <row r="247" ht="23.25" customHeight="1">
      <c r="A247" s="44"/>
      <c r="B247" s="44"/>
      <c r="C247" s="44"/>
      <c r="D247" s="44"/>
      <c r="E247" s="44"/>
      <c r="F247" s="44"/>
      <c r="G247" s="44"/>
      <c r="H247" s="44"/>
      <c r="I247" s="330"/>
      <c r="J247" s="261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</row>
    <row r="248" ht="23.25" customHeight="1">
      <c r="A248" s="44"/>
      <c r="B248" s="44"/>
      <c r="C248" s="44"/>
      <c r="D248" s="44"/>
      <c r="E248" s="44"/>
      <c r="F248" s="44"/>
      <c r="G248" s="44"/>
      <c r="H248" s="44"/>
      <c r="I248" s="330"/>
      <c r="J248" s="261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</row>
    <row r="249" ht="23.25" customHeight="1">
      <c r="A249" s="44"/>
      <c r="B249" s="44"/>
      <c r="C249" s="44"/>
      <c r="D249" s="44"/>
      <c r="E249" s="44"/>
      <c r="F249" s="44"/>
      <c r="G249" s="44"/>
      <c r="H249" s="44"/>
      <c r="I249" s="330"/>
      <c r="J249" s="261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</row>
    <row r="250" ht="23.25" customHeight="1">
      <c r="A250" s="44"/>
      <c r="B250" s="44"/>
      <c r="C250" s="44"/>
      <c r="D250" s="44"/>
      <c r="E250" s="44"/>
      <c r="F250" s="44"/>
      <c r="G250" s="44"/>
      <c r="H250" s="44"/>
      <c r="I250" s="330"/>
      <c r="J250" s="261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</row>
    <row r="251" ht="23.25" customHeight="1">
      <c r="A251" s="44"/>
      <c r="B251" s="44"/>
      <c r="C251" s="44"/>
      <c r="D251" s="44"/>
      <c r="E251" s="44"/>
      <c r="F251" s="44"/>
      <c r="G251" s="44"/>
      <c r="H251" s="44"/>
      <c r="I251" s="330"/>
      <c r="J251" s="261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</row>
    <row r="252" ht="23.25" customHeight="1">
      <c r="A252" s="44"/>
      <c r="B252" s="44"/>
      <c r="C252" s="44"/>
      <c r="D252" s="44"/>
      <c r="E252" s="44"/>
      <c r="F252" s="44"/>
      <c r="G252" s="44"/>
      <c r="H252" s="44"/>
      <c r="I252" s="330"/>
      <c r="J252" s="261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</row>
    <row r="253" ht="23.25" customHeight="1">
      <c r="A253" s="44"/>
      <c r="B253" s="44"/>
      <c r="C253" s="44"/>
      <c r="D253" s="44"/>
      <c r="E253" s="44"/>
      <c r="F253" s="44"/>
      <c r="G253" s="44"/>
      <c r="H253" s="44"/>
      <c r="I253" s="330"/>
      <c r="J253" s="261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</row>
    <row r="254" ht="23.25" customHeight="1">
      <c r="A254" s="44"/>
      <c r="B254" s="44"/>
      <c r="C254" s="44"/>
      <c r="D254" s="44"/>
      <c r="E254" s="44"/>
      <c r="F254" s="44"/>
      <c r="G254" s="44"/>
      <c r="H254" s="44"/>
      <c r="I254" s="330"/>
      <c r="J254" s="261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</row>
    <row r="255" ht="23.25" customHeight="1">
      <c r="A255" s="44"/>
      <c r="B255" s="44"/>
      <c r="C255" s="44"/>
      <c r="D255" s="44"/>
      <c r="E255" s="44"/>
      <c r="F255" s="44"/>
      <c r="G255" s="44"/>
      <c r="H255" s="44"/>
      <c r="I255" s="330"/>
      <c r="J255" s="261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</row>
    <row r="256" ht="23.25" customHeight="1">
      <c r="A256" s="44"/>
      <c r="B256" s="44"/>
      <c r="C256" s="44"/>
      <c r="D256" s="44"/>
      <c r="E256" s="44"/>
      <c r="F256" s="44"/>
      <c r="G256" s="44"/>
      <c r="H256" s="44"/>
      <c r="I256" s="330"/>
      <c r="J256" s="261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</row>
    <row r="257" ht="23.25" customHeight="1">
      <c r="A257" s="44"/>
      <c r="B257" s="44"/>
      <c r="C257" s="44"/>
      <c r="D257" s="44"/>
      <c r="E257" s="44"/>
      <c r="F257" s="44"/>
      <c r="G257" s="44"/>
      <c r="H257" s="44"/>
      <c r="I257" s="330"/>
      <c r="J257" s="261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</row>
    <row r="258" ht="23.25" customHeight="1">
      <c r="A258" s="44"/>
      <c r="B258" s="44"/>
      <c r="C258" s="44"/>
      <c r="D258" s="44"/>
      <c r="E258" s="44"/>
      <c r="F258" s="44"/>
      <c r="G258" s="44"/>
      <c r="H258" s="44"/>
      <c r="I258" s="330"/>
      <c r="J258" s="261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</row>
    <row r="259" ht="23.25" customHeight="1">
      <c r="A259" s="44"/>
      <c r="B259" s="44"/>
      <c r="C259" s="44"/>
      <c r="D259" s="44"/>
      <c r="E259" s="44"/>
      <c r="F259" s="44"/>
      <c r="G259" s="44"/>
      <c r="H259" s="44"/>
      <c r="I259" s="330"/>
      <c r="J259" s="261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</row>
    <row r="260" ht="23.25" customHeight="1">
      <c r="A260" s="44"/>
      <c r="B260" s="44"/>
      <c r="C260" s="44"/>
      <c r="D260" s="44"/>
      <c r="E260" s="44"/>
      <c r="F260" s="44"/>
      <c r="G260" s="44"/>
      <c r="H260" s="44"/>
      <c r="I260" s="330"/>
      <c r="J260" s="261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</row>
    <row r="261" ht="23.25" customHeight="1">
      <c r="A261" s="44"/>
      <c r="B261" s="44"/>
      <c r="C261" s="44"/>
      <c r="D261" s="44"/>
      <c r="E261" s="44"/>
      <c r="F261" s="44"/>
      <c r="G261" s="44"/>
      <c r="H261" s="44"/>
      <c r="I261" s="330"/>
      <c r="J261" s="261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</row>
    <row r="262" ht="23.25" customHeight="1">
      <c r="A262" s="44"/>
      <c r="B262" s="44"/>
      <c r="C262" s="44"/>
      <c r="D262" s="44"/>
      <c r="E262" s="44"/>
      <c r="F262" s="44"/>
      <c r="G262" s="44"/>
      <c r="H262" s="44"/>
      <c r="I262" s="330"/>
      <c r="J262" s="261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</row>
    <row r="263" ht="23.25" customHeight="1">
      <c r="A263" s="44"/>
      <c r="B263" s="44"/>
      <c r="C263" s="44"/>
      <c r="D263" s="44"/>
      <c r="E263" s="44"/>
      <c r="F263" s="44"/>
      <c r="G263" s="44"/>
      <c r="H263" s="44"/>
      <c r="I263" s="330"/>
      <c r="J263" s="261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</row>
    <row r="264" ht="23.25" customHeight="1">
      <c r="A264" s="44"/>
      <c r="B264" s="44"/>
      <c r="C264" s="44"/>
      <c r="D264" s="44"/>
      <c r="E264" s="44"/>
      <c r="F264" s="44"/>
      <c r="G264" s="44"/>
      <c r="H264" s="44"/>
      <c r="I264" s="330"/>
      <c r="J264" s="261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</row>
    <row r="265" ht="23.25" customHeight="1">
      <c r="A265" s="44"/>
      <c r="B265" s="44"/>
      <c r="C265" s="44"/>
      <c r="D265" s="44"/>
      <c r="E265" s="44"/>
      <c r="F265" s="44"/>
      <c r="G265" s="44"/>
      <c r="H265" s="44"/>
      <c r="I265" s="330"/>
      <c r="J265" s="261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</row>
    <row r="266" ht="23.25" customHeight="1">
      <c r="A266" s="44"/>
      <c r="B266" s="44"/>
      <c r="C266" s="44"/>
      <c r="D266" s="44"/>
      <c r="E266" s="44"/>
      <c r="F266" s="44"/>
      <c r="G266" s="44"/>
      <c r="H266" s="44"/>
      <c r="I266" s="330"/>
      <c r="J266" s="261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</row>
    <row r="267" ht="23.25" customHeight="1">
      <c r="A267" s="44"/>
      <c r="B267" s="44"/>
      <c r="C267" s="44"/>
      <c r="D267" s="44"/>
      <c r="E267" s="44"/>
      <c r="F267" s="44"/>
      <c r="G267" s="44"/>
      <c r="H267" s="44"/>
      <c r="I267" s="330"/>
      <c r="J267" s="261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</row>
    <row r="268" ht="23.25" customHeight="1">
      <c r="A268" s="44"/>
      <c r="B268" s="44"/>
      <c r="C268" s="44"/>
      <c r="D268" s="44"/>
      <c r="E268" s="44"/>
      <c r="F268" s="44"/>
      <c r="G268" s="44"/>
      <c r="H268" s="44"/>
      <c r="I268" s="330"/>
      <c r="J268" s="261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</row>
    <row r="269" ht="23.25" customHeight="1">
      <c r="A269" s="44"/>
      <c r="B269" s="44"/>
      <c r="C269" s="44"/>
      <c r="D269" s="44"/>
      <c r="E269" s="44"/>
      <c r="F269" s="44"/>
      <c r="G269" s="44"/>
      <c r="H269" s="44"/>
      <c r="I269" s="330"/>
      <c r="J269" s="261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</row>
    <row r="270" ht="23.25" customHeight="1">
      <c r="A270" s="44"/>
      <c r="B270" s="44"/>
      <c r="C270" s="44"/>
      <c r="D270" s="44"/>
      <c r="E270" s="44"/>
      <c r="F270" s="44"/>
      <c r="G270" s="44"/>
      <c r="H270" s="44"/>
      <c r="I270" s="330"/>
      <c r="J270" s="261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</row>
    <row r="271" ht="23.25" customHeight="1">
      <c r="A271" s="44"/>
      <c r="B271" s="44"/>
      <c r="C271" s="44"/>
      <c r="D271" s="44"/>
      <c r="E271" s="44"/>
      <c r="F271" s="44"/>
      <c r="G271" s="44"/>
      <c r="H271" s="44"/>
      <c r="I271" s="330"/>
      <c r="J271" s="261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</row>
    <row r="272" ht="23.25" customHeight="1">
      <c r="A272" s="44"/>
      <c r="B272" s="44"/>
      <c r="C272" s="44"/>
      <c r="D272" s="44"/>
      <c r="E272" s="44"/>
      <c r="F272" s="44"/>
      <c r="G272" s="44"/>
      <c r="H272" s="44"/>
      <c r="I272" s="330"/>
      <c r="J272" s="261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</row>
    <row r="273" ht="23.25" customHeight="1">
      <c r="A273" s="44"/>
      <c r="B273" s="44"/>
      <c r="C273" s="44"/>
      <c r="D273" s="44"/>
      <c r="E273" s="44"/>
      <c r="F273" s="44"/>
      <c r="G273" s="44"/>
      <c r="H273" s="44"/>
      <c r="I273" s="330"/>
      <c r="J273" s="261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</row>
    <row r="274" ht="23.25" customHeight="1">
      <c r="A274" s="44"/>
      <c r="B274" s="44"/>
      <c r="C274" s="44"/>
      <c r="D274" s="44"/>
      <c r="E274" s="44"/>
      <c r="F274" s="44"/>
      <c r="G274" s="44"/>
      <c r="H274" s="44"/>
      <c r="I274" s="330"/>
      <c r="J274" s="261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</row>
    <row r="275" ht="23.25" customHeight="1">
      <c r="A275" s="44"/>
      <c r="B275" s="44"/>
      <c r="C275" s="44"/>
      <c r="D275" s="44"/>
      <c r="E275" s="44"/>
      <c r="F275" s="44"/>
      <c r="G275" s="44"/>
      <c r="H275" s="44"/>
      <c r="I275" s="330"/>
      <c r="J275" s="261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</row>
    <row r="276" ht="23.25" customHeight="1">
      <c r="A276" s="44"/>
      <c r="B276" s="44"/>
      <c r="C276" s="44"/>
      <c r="D276" s="44"/>
      <c r="E276" s="44"/>
      <c r="F276" s="44"/>
      <c r="G276" s="44"/>
      <c r="H276" s="44"/>
      <c r="I276" s="330"/>
      <c r="J276" s="261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</row>
    <row r="277" ht="23.25" customHeight="1">
      <c r="A277" s="44"/>
      <c r="B277" s="44"/>
      <c r="C277" s="44"/>
      <c r="D277" s="44"/>
      <c r="E277" s="44"/>
      <c r="F277" s="44"/>
      <c r="G277" s="44"/>
      <c r="H277" s="44"/>
      <c r="I277" s="330"/>
      <c r="J277" s="261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</row>
    <row r="278" ht="23.25" customHeight="1">
      <c r="A278" s="44"/>
      <c r="B278" s="44"/>
      <c r="C278" s="44"/>
      <c r="D278" s="44"/>
      <c r="E278" s="44"/>
      <c r="F278" s="44"/>
      <c r="G278" s="44"/>
      <c r="H278" s="44"/>
      <c r="I278" s="330"/>
      <c r="J278" s="261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</row>
    <row r="279" ht="23.25" customHeight="1">
      <c r="A279" s="44"/>
      <c r="B279" s="44"/>
      <c r="C279" s="44"/>
      <c r="D279" s="44"/>
      <c r="E279" s="44"/>
      <c r="F279" s="44"/>
      <c r="G279" s="44"/>
      <c r="H279" s="44"/>
      <c r="I279" s="330"/>
      <c r="J279" s="261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</row>
    <row r="280" ht="23.25" customHeight="1">
      <c r="A280" s="44"/>
      <c r="B280" s="44"/>
      <c r="C280" s="44"/>
      <c r="D280" s="44"/>
      <c r="E280" s="44"/>
      <c r="F280" s="44"/>
      <c r="G280" s="44"/>
      <c r="H280" s="44"/>
      <c r="I280" s="330"/>
      <c r="J280" s="261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</row>
    <row r="281" ht="23.25" customHeight="1">
      <c r="A281" s="44"/>
      <c r="B281" s="44"/>
      <c r="C281" s="44"/>
      <c r="D281" s="44"/>
      <c r="E281" s="44"/>
      <c r="F281" s="44"/>
      <c r="G281" s="44"/>
      <c r="H281" s="44"/>
      <c r="I281" s="330"/>
      <c r="J281" s="261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</row>
    <row r="282" ht="23.25" customHeight="1">
      <c r="A282" s="44"/>
      <c r="B282" s="44"/>
      <c r="C282" s="44"/>
      <c r="D282" s="44"/>
      <c r="E282" s="44"/>
      <c r="F282" s="44"/>
      <c r="G282" s="44"/>
      <c r="H282" s="44"/>
      <c r="I282" s="330"/>
      <c r="J282" s="261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</row>
    <row r="283" ht="23.25" customHeight="1">
      <c r="A283" s="44"/>
      <c r="B283" s="44"/>
      <c r="C283" s="44"/>
      <c r="D283" s="44"/>
      <c r="E283" s="44"/>
      <c r="F283" s="44"/>
      <c r="G283" s="44"/>
      <c r="H283" s="44"/>
      <c r="I283" s="330"/>
      <c r="J283" s="261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</row>
    <row r="284" ht="23.25" customHeight="1">
      <c r="A284" s="44"/>
      <c r="B284" s="44"/>
      <c r="C284" s="44"/>
      <c r="D284" s="44"/>
      <c r="E284" s="44"/>
      <c r="F284" s="44"/>
      <c r="G284" s="44"/>
      <c r="H284" s="44"/>
      <c r="I284" s="330"/>
      <c r="J284" s="261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</row>
    <row r="285" ht="23.25" customHeight="1">
      <c r="A285" s="44"/>
      <c r="B285" s="44"/>
      <c r="C285" s="44"/>
      <c r="D285" s="44"/>
      <c r="E285" s="44"/>
      <c r="F285" s="44"/>
      <c r="G285" s="44"/>
      <c r="H285" s="44"/>
      <c r="I285" s="330"/>
      <c r="J285" s="261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</row>
    <row r="286" ht="23.25" customHeight="1">
      <c r="A286" s="44"/>
      <c r="B286" s="44"/>
      <c r="C286" s="44"/>
      <c r="D286" s="44"/>
      <c r="E286" s="44"/>
      <c r="F286" s="44"/>
      <c r="G286" s="44"/>
      <c r="H286" s="44"/>
      <c r="I286" s="330"/>
      <c r="J286" s="261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</row>
    <row r="287" ht="23.25" customHeight="1">
      <c r="A287" s="44"/>
      <c r="B287" s="44"/>
      <c r="C287" s="44"/>
      <c r="D287" s="44"/>
      <c r="E287" s="44"/>
      <c r="F287" s="44"/>
      <c r="G287" s="44"/>
      <c r="H287" s="44"/>
      <c r="I287" s="330"/>
      <c r="J287" s="261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</row>
    <row r="288" ht="23.25" customHeight="1">
      <c r="A288" s="44"/>
      <c r="B288" s="44"/>
      <c r="C288" s="44"/>
      <c r="D288" s="44"/>
      <c r="E288" s="44"/>
      <c r="F288" s="44"/>
      <c r="G288" s="44"/>
      <c r="H288" s="44"/>
      <c r="I288" s="330"/>
      <c r="J288" s="261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</row>
    <row r="289" ht="23.25" customHeight="1">
      <c r="A289" s="44"/>
      <c r="B289" s="44"/>
      <c r="C289" s="44"/>
      <c r="D289" s="44"/>
      <c r="E289" s="44"/>
      <c r="F289" s="44"/>
      <c r="G289" s="44"/>
      <c r="H289" s="44"/>
      <c r="I289" s="330"/>
      <c r="J289" s="261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</row>
    <row r="290" ht="23.25" customHeight="1">
      <c r="A290" s="44"/>
      <c r="B290" s="44"/>
      <c r="C290" s="44"/>
      <c r="D290" s="44"/>
      <c r="E290" s="44"/>
      <c r="F290" s="44"/>
      <c r="G290" s="44"/>
      <c r="H290" s="44"/>
      <c r="I290" s="330"/>
      <c r="J290" s="261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</row>
    <row r="291" ht="23.25" customHeight="1">
      <c r="A291" s="44"/>
      <c r="B291" s="44"/>
      <c r="C291" s="44"/>
      <c r="D291" s="44"/>
      <c r="E291" s="44"/>
      <c r="F291" s="44"/>
      <c r="G291" s="44"/>
      <c r="H291" s="44"/>
      <c r="I291" s="330"/>
      <c r="J291" s="261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</row>
    <row r="292" ht="23.25" customHeight="1">
      <c r="A292" s="44"/>
      <c r="B292" s="44"/>
      <c r="C292" s="44"/>
      <c r="D292" s="44"/>
      <c r="E292" s="44"/>
      <c r="F292" s="44"/>
      <c r="G292" s="44"/>
      <c r="H292" s="44"/>
      <c r="I292" s="330"/>
      <c r="J292" s="261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</row>
    <row r="293" ht="23.25" customHeight="1">
      <c r="A293" s="44"/>
      <c r="B293" s="44"/>
      <c r="C293" s="44"/>
      <c r="D293" s="44"/>
      <c r="E293" s="44"/>
      <c r="F293" s="44"/>
      <c r="G293" s="44"/>
      <c r="H293" s="44"/>
      <c r="I293" s="330"/>
      <c r="J293" s="261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</row>
    <row r="294" ht="23.25" customHeight="1">
      <c r="A294" s="44"/>
      <c r="B294" s="44"/>
      <c r="C294" s="44"/>
      <c r="D294" s="44"/>
      <c r="E294" s="44"/>
      <c r="F294" s="44"/>
      <c r="G294" s="44"/>
      <c r="H294" s="44"/>
      <c r="I294" s="330"/>
      <c r="J294" s="261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</row>
    <row r="295" ht="23.25" customHeight="1">
      <c r="A295" s="44"/>
      <c r="B295" s="44"/>
      <c r="C295" s="44"/>
      <c r="D295" s="44"/>
      <c r="E295" s="44"/>
      <c r="F295" s="44"/>
      <c r="G295" s="44"/>
      <c r="H295" s="44"/>
      <c r="I295" s="330"/>
      <c r="J295" s="261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</row>
    <row r="296" ht="23.25" customHeight="1">
      <c r="A296" s="44"/>
      <c r="B296" s="44"/>
      <c r="C296" s="44"/>
      <c r="D296" s="44"/>
      <c r="E296" s="44"/>
      <c r="F296" s="44"/>
      <c r="G296" s="44"/>
      <c r="H296" s="44"/>
      <c r="I296" s="330"/>
      <c r="J296" s="261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</row>
    <row r="297" ht="23.25" customHeight="1">
      <c r="A297" s="44"/>
      <c r="B297" s="44"/>
      <c r="C297" s="44"/>
      <c r="D297" s="44"/>
      <c r="E297" s="44"/>
      <c r="F297" s="44"/>
      <c r="G297" s="44"/>
      <c r="H297" s="44"/>
      <c r="I297" s="330"/>
      <c r="J297" s="261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</row>
    <row r="298" ht="23.25" customHeight="1">
      <c r="A298" s="44"/>
      <c r="B298" s="44"/>
      <c r="C298" s="44"/>
      <c r="D298" s="44"/>
      <c r="E298" s="44"/>
      <c r="F298" s="44"/>
      <c r="G298" s="44"/>
      <c r="H298" s="44"/>
      <c r="I298" s="330"/>
      <c r="J298" s="261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</row>
    <row r="299" ht="23.25" customHeight="1">
      <c r="A299" s="44"/>
      <c r="B299" s="44"/>
      <c r="C299" s="44"/>
      <c r="D299" s="44"/>
      <c r="E299" s="44"/>
      <c r="F299" s="44"/>
      <c r="G299" s="44"/>
      <c r="H299" s="44"/>
      <c r="I299" s="330"/>
      <c r="J299" s="261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</row>
    <row r="300" ht="23.25" customHeight="1">
      <c r="A300" s="44"/>
      <c r="B300" s="44"/>
      <c r="C300" s="44"/>
      <c r="D300" s="44"/>
      <c r="E300" s="44"/>
      <c r="F300" s="44"/>
      <c r="G300" s="44"/>
      <c r="H300" s="44"/>
      <c r="I300" s="330"/>
      <c r="J300" s="261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</row>
    <row r="301" ht="23.25" customHeight="1">
      <c r="A301" s="44"/>
      <c r="B301" s="44"/>
      <c r="C301" s="44"/>
      <c r="D301" s="44"/>
      <c r="E301" s="44"/>
      <c r="F301" s="44"/>
      <c r="G301" s="44"/>
      <c r="H301" s="44"/>
      <c r="I301" s="330"/>
      <c r="J301" s="261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</row>
    <row r="302" ht="23.25" customHeight="1">
      <c r="A302" s="44"/>
      <c r="B302" s="44"/>
      <c r="C302" s="44"/>
      <c r="D302" s="44"/>
      <c r="E302" s="44"/>
      <c r="F302" s="44"/>
      <c r="G302" s="44"/>
      <c r="H302" s="44"/>
      <c r="I302" s="330"/>
      <c r="J302" s="261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</row>
    <row r="303" ht="23.25" customHeight="1">
      <c r="A303" s="44"/>
      <c r="B303" s="44"/>
      <c r="C303" s="44"/>
      <c r="D303" s="44"/>
      <c r="E303" s="44"/>
      <c r="F303" s="44"/>
      <c r="G303" s="44"/>
      <c r="H303" s="44"/>
      <c r="I303" s="330"/>
      <c r="J303" s="261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</row>
    <row r="304" ht="23.25" customHeight="1">
      <c r="A304" s="44"/>
      <c r="B304" s="44"/>
      <c r="C304" s="44"/>
      <c r="D304" s="44"/>
      <c r="E304" s="44"/>
      <c r="F304" s="44"/>
      <c r="G304" s="44"/>
      <c r="H304" s="44"/>
      <c r="I304" s="330"/>
      <c r="J304" s="261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</row>
    <row r="305" ht="23.25" customHeight="1">
      <c r="A305" s="44"/>
      <c r="B305" s="44"/>
      <c r="C305" s="44"/>
      <c r="D305" s="44"/>
      <c r="E305" s="44"/>
      <c r="F305" s="44"/>
      <c r="G305" s="44"/>
      <c r="H305" s="44"/>
      <c r="I305" s="330"/>
      <c r="J305" s="261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</row>
    <row r="306" ht="23.25" customHeight="1">
      <c r="A306" s="44"/>
      <c r="B306" s="44"/>
      <c r="C306" s="44"/>
      <c r="D306" s="44"/>
      <c r="E306" s="44"/>
      <c r="F306" s="44"/>
      <c r="G306" s="44"/>
      <c r="H306" s="44"/>
      <c r="I306" s="330"/>
      <c r="J306" s="261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</row>
    <row r="307" ht="23.25" customHeight="1">
      <c r="A307" s="44"/>
      <c r="B307" s="44"/>
      <c r="C307" s="44"/>
      <c r="D307" s="44"/>
      <c r="E307" s="44"/>
      <c r="F307" s="44"/>
      <c r="G307" s="44"/>
      <c r="H307" s="44"/>
      <c r="I307" s="330"/>
      <c r="J307" s="261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</row>
    <row r="308" ht="23.25" customHeight="1">
      <c r="A308" s="44"/>
      <c r="B308" s="44"/>
      <c r="C308" s="44"/>
      <c r="D308" s="44"/>
      <c r="E308" s="44"/>
      <c r="F308" s="44"/>
      <c r="G308" s="44"/>
      <c r="H308" s="44"/>
      <c r="I308" s="330"/>
      <c r="J308" s="261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</row>
    <row r="309" ht="23.25" customHeight="1">
      <c r="A309" s="44"/>
      <c r="B309" s="44"/>
      <c r="C309" s="44"/>
      <c r="D309" s="44"/>
      <c r="E309" s="44"/>
      <c r="F309" s="44"/>
      <c r="G309" s="44"/>
      <c r="H309" s="44"/>
      <c r="I309" s="330"/>
      <c r="J309" s="261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</row>
    <row r="310" ht="23.25" customHeight="1">
      <c r="A310" s="44"/>
      <c r="B310" s="44"/>
      <c r="C310" s="44"/>
      <c r="D310" s="44"/>
      <c r="E310" s="44"/>
      <c r="F310" s="44"/>
      <c r="G310" s="44"/>
      <c r="H310" s="44"/>
      <c r="I310" s="330"/>
      <c r="J310" s="261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</row>
    <row r="311" ht="23.25" customHeight="1">
      <c r="A311" s="44"/>
      <c r="B311" s="44"/>
      <c r="C311" s="44"/>
      <c r="D311" s="44"/>
      <c r="E311" s="44"/>
      <c r="F311" s="44"/>
      <c r="G311" s="44"/>
      <c r="H311" s="44"/>
      <c r="I311" s="330"/>
      <c r="J311" s="261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</row>
    <row r="312" ht="23.25" customHeight="1">
      <c r="A312" s="44"/>
      <c r="B312" s="44"/>
      <c r="C312" s="44"/>
      <c r="D312" s="44"/>
      <c r="E312" s="44"/>
      <c r="F312" s="44"/>
      <c r="G312" s="44"/>
      <c r="H312" s="44"/>
      <c r="I312" s="330"/>
      <c r="J312" s="261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</row>
    <row r="313" ht="23.25" customHeight="1">
      <c r="A313" s="44"/>
      <c r="B313" s="44"/>
      <c r="C313" s="44"/>
      <c r="D313" s="44"/>
      <c r="E313" s="44"/>
      <c r="F313" s="44"/>
      <c r="G313" s="44"/>
      <c r="H313" s="44"/>
      <c r="I313" s="330"/>
      <c r="J313" s="261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</row>
    <row r="314" ht="23.25" customHeight="1">
      <c r="A314" s="44"/>
      <c r="B314" s="44"/>
      <c r="C314" s="44"/>
      <c r="D314" s="44"/>
      <c r="E314" s="44"/>
      <c r="F314" s="44"/>
      <c r="G314" s="44"/>
      <c r="H314" s="44"/>
      <c r="I314" s="330"/>
      <c r="J314" s="261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</row>
    <row r="315" ht="23.25" customHeight="1">
      <c r="A315" s="44"/>
      <c r="B315" s="44"/>
      <c r="C315" s="44"/>
      <c r="D315" s="44"/>
      <c r="E315" s="44"/>
      <c r="F315" s="44"/>
      <c r="G315" s="44"/>
      <c r="H315" s="44"/>
      <c r="I315" s="330"/>
      <c r="J315" s="261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</row>
    <row r="316" ht="23.25" customHeight="1">
      <c r="A316" s="44"/>
      <c r="B316" s="44"/>
      <c r="C316" s="44"/>
      <c r="D316" s="44"/>
      <c r="E316" s="44"/>
      <c r="F316" s="44"/>
      <c r="G316" s="44"/>
      <c r="H316" s="44"/>
      <c r="I316" s="330"/>
      <c r="J316" s="261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</row>
    <row r="317" ht="23.25" customHeight="1">
      <c r="A317" s="44"/>
      <c r="B317" s="44"/>
      <c r="C317" s="44"/>
      <c r="D317" s="44"/>
      <c r="E317" s="44"/>
      <c r="F317" s="44"/>
      <c r="G317" s="44"/>
      <c r="H317" s="44"/>
      <c r="I317" s="330"/>
      <c r="J317" s="261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</row>
    <row r="318" ht="23.25" customHeight="1">
      <c r="A318" s="44"/>
      <c r="B318" s="44"/>
      <c r="C318" s="44"/>
      <c r="D318" s="44"/>
      <c r="E318" s="44"/>
      <c r="F318" s="44"/>
      <c r="G318" s="44"/>
      <c r="H318" s="44"/>
      <c r="I318" s="330"/>
      <c r="J318" s="261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</row>
    <row r="319" ht="23.25" customHeight="1">
      <c r="A319" s="44"/>
      <c r="B319" s="44"/>
      <c r="C319" s="44"/>
      <c r="D319" s="44"/>
      <c r="E319" s="44"/>
      <c r="F319" s="44"/>
      <c r="G319" s="44"/>
      <c r="H319" s="44"/>
      <c r="I319" s="330"/>
      <c r="J319" s="261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</row>
    <row r="320" ht="23.25" customHeight="1">
      <c r="A320" s="44"/>
      <c r="B320" s="44"/>
      <c r="C320" s="44"/>
      <c r="D320" s="44"/>
      <c r="E320" s="44"/>
      <c r="F320" s="44"/>
      <c r="G320" s="44"/>
      <c r="H320" s="44"/>
      <c r="I320" s="330"/>
      <c r="J320" s="261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</row>
    <row r="321" ht="23.25" customHeight="1">
      <c r="A321" s="44"/>
      <c r="B321" s="44"/>
      <c r="C321" s="44"/>
      <c r="D321" s="44"/>
      <c r="E321" s="44"/>
      <c r="F321" s="44"/>
      <c r="G321" s="44"/>
      <c r="H321" s="44"/>
      <c r="I321" s="330"/>
      <c r="J321" s="261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</row>
    <row r="322" ht="23.25" customHeight="1">
      <c r="A322" s="44"/>
      <c r="B322" s="44"/>
      <c r="C322" s="44"/>
      <c r="D322" s="44"/>
      <c r="E322" s="44"/>
      <c r="F322" s="44"/>
      <c r="G322" s="44"/>
      <c r="H322" s="44"/>
      <c r="I322" s="330"/>
      <c r="J322" s="261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</row>
    <row r="323" ht="23.25" customHeight="1">
      <c r="A323" s="44"/>
      <c r="B323" s="44"/>
      <c r="C323" s="44"/>
      <c r="D323" s="44"/>
      <c r="E323" s="44"/>
      <c r="F323" s="44"/>
      <c r="G323" s="44"/>
      <c r="H323" s="44"/>
      <c r="I323" s="330"/>
      <c r="J323" s="261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</row>
    <row r="324" ht="23.25" customHeight="1">
      <c r="A324" s="44"/>
      <c r="B324" s="44"/>
      <c r="C324" s="44"/>
      <c r="D324" s="44"/>
      <c r="E324" s="44"/>
      <c r="F324" s="44"/>
      <c r="G324" s="44"/>
      <c r="H324" s="44"/>
      <c r="I324" s="330"/>
      <c r="J324" s="261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</row>
    <row r="325" ht="23.25" customHeight="1">
      <c r="A325" s="44"/>
      <c r="B325" s="44"/>
      <c r="C325" s="44"/>
      <c r="D325" s="44"/>
      <c r="E325" s="44"/>
      <c r="F325" s="44"/>
      <c r="G325" s="44"/>
      <c r="H325" s="44"/>
      <c r="I325" s="330"/>
      <c r="J325" s="261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</row>
    <row r="326" ht="23.25" customHeight="1">
      <c r="A326" s="44"/>
      <c r="B326" s="44"/>
      <c r="C326" s="44"/>
      <c r="D326" s="44"/>
      <c r="E326" s="44"/>
      <c r="F326" s="44"/>
      <c r="G326" s="44"/>
      <c r="H326" s="44"/>
      <c r="I326" s="330"/>
      <c r="J326" s="261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</row>
    <row r="327" ht="23.25" customHeight="1">
      <c r="A327" s="44"/>
      <c r="B327" s="44"/>
      <c r="C327" s="44"/>
      <c r="D327" s="44"/>
      <c r="E327" s="44"/>
      <c r="F327" s="44"/>
      <c r="G327" s="44"/>
      <c r="H327" s="44"/>
      <c r="I327" s="330"/>
      <c r="J327" s="261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</row>
    <row r="328" ht="23.25" customHeight="1">
      <c r="A328" s="44"/>
      <c r="B328" s="44"/>
      <c r="C328" s="44"/>
      <c r="D328" s="44"/>
      <c r="E328" s="44"/>
      <c r="F328" s="44"/>
      <c r="G328" s="44"/>
      <c r="H328" s="44"/>
      <c r="I328" s="330"/>
      <c r="J328" s="261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</row>
    <row r="329" ht="23.25" customHeight="1">
      <c r="A329" s="44"/>
      <c r="B329" s="44"/>
      <c r="C329" s="44"/>
      <c r="D329" s="44"/>
      <c r="E329" s="44"/>
      <c r="F329" s="44"/>
      <c r="G329" s="44"/>
      <c r="H329" s="44"/>
      <c r="I329" s="330"/>
      <c r="J329" s="261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</row>
    <row r="330" ht="23.25" customHeight="1">
      <c r="A330" s="44"/>
      <c r="B330" s="44"/>
      <c r="C330" s="44"/>
      <c r="D330" s="44"/>
      <c r="E330" s="44"/>
      <c r="F330" s="44"/>
      <c r="G330" s="44"/>
      <c r="H330" s="44"/>
      <c r="I330" s="330"/>
      <c r="J330" s="261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</row>
    <row r="331" ht="23.25" customHeight="1">
      <c r="A331" s="44"/>
      <c r="B331" s="44"/>
      <c r="C331" s="44"/>
      <c r="D331" s="44"/>
      <c r="E331" s="44"/>
      <c r="F331" s="44"/>
      <c r="G331" s="44"/>
      <c r="H331" s="44"/>
      <c r="I331" s="330"/>
      <c r="J331" s="261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</row>
    <row r="332" ht="23.25" customHeight="1">
      <c r="A332" s="44"/>
      <c r="B332" s="44"/>
      <c r="C332" s="44"/>
      <c r="D332" s="44"/>
      <c r="E332" s="44"/>
      <c r="F332" s="44"/>
      <c r="G332" s="44"/>
      <c r="H332" s="44"/>
      <c r="I332" s="330"/>
      <c r="J332" s="261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</row>
    <row r="333" ht="23.25" customHeight="1">
      <c r="A333" s="44"/>
      <c r="B333" s="44"/>
      <c r="C333" s="44"/>
      <c r="D333" s="44"/>
      <c r="E333" s="44"/>
      <c r="F333" s="44"/>
      <c r="G333" s="44"/>
      <c r="H333" s="44"/>
      <c r="I333" s="330"/>
      <c r="J333" s="261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</row>
    <row r="334" ht="23.25" customHeight="1">
      <c r="A334" s="44"/>
      <c r="B334" s="44"/>
      <c r="C334" s="44"/>
      <c r="D334" s="44"/>
      <c r="E334" s="44"/>
      <c r="F334" s="44"/>
      <c r="G334" s="44"/>
      <c r="H334" s="44"/>
      <c r="I334" s="330"/>
      <c r="J334" s="261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</row>
    <row r="335" ht="23.25" customHeight="1">
      <c r="A335" s="44"/>
      <c r="B335" s="44"/>
      <c r="C335" s="44"/>
      <c r="D335" s="44"/>
      <c r="E335" s="44"/>
      <c r="F335" s="44"/>
      <c r="G335" s="44"/>
      <c r="H335" s="44"/>
      <c r="I335" s="330"/>
      <c r="J335" s="261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</row>
    <row r="336" ht="23.25" customHeight="1">
      <c r="A336" s="44"/>
      <c r="B336" s="44"/>
      <c r="C336" s="44"/>
      <c r="D336" s="44"/>
      <c r="E336" s="44"/>
      <c r="F336" s="44"/>
      <c r="G336" s="44"/>
      <c r="H336" s="44"/>
      <c r="I336" s="330"/>
      <c r="J336" s="261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</row>
    <row r="337" ht="23.25" customHeight="1">
      <c r="A337" s="44"/>
      <c r="B337" s="44"/>
      <c r="C337" s="44"/>
      <c r="D337" s="44"/>
      <c r="E337" s="44"/>
      <c r="F337" s="44"/>
      <c r="G337" s="44"/>
      <c r="H337" s="44"/>
      <c r="I337" s="330"/>
      <c r="J337" s="261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</row>
    <row r="338" ht="23.25" customHeight="1">
      <c r="A338" s="44"/>
      <c r="B338" s="44"/>
      <c r="C338" s="44"/>
      <c r="D338" s="44"/>
      <c r="E338" s="44"/>
      <c r="F338" s="44"/>
      <c r="G338" s="44"/>
      <c r="H338" s="44"/>
      <c r="I338" s="330"/>
      <c r="J338" s="261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</row>
    <row r="339" ht="23.25" customHeight="1">
      <c r="A339" s="44"/>
      <c r="B339" s="44"/>
      <c r="C339" s="44"/>
      <c r="D339" s="44"/>
      <c r="E339" s="44"/>
      <c r="F339" s="44"/>
      <c r="G339" s="44"/>
      <c r="H339" s="44"/>
      <c r="I339" s="330"/>
      <c r="J339" s="261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</row>
    <row r="340" ht="23.25" customHeight="1">
      <c r="A340" s="44"/>
      <c r="B340" s="44"/>
      <c r="C340" s="44"/>
      <c r="D340" s="44"/>
      <c r="E340" s="44"/>
      <c r="F340" s="44"/>
      <c r="G340" s="44"/>
      <c r="H340" s="44"/>
      <c r="I340" s="330"/>
      <c r="J340" s="261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</row>
    <row r="341" ht="23.25" customHeight="1">
      <c r="A341" s="44"/>
      <c r="B341" s="44"/>
      <c r="C341" s="44"/>
      <c r="D341" s="44"/>
      <c r="E341" s="44"/>
      <c r="F341" s="44"/>
      <c r="G341" s="44"/>
      <c r="H341" s="44"/>
      <c r="I341" s="330"/>
      <c r="J341" s="261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</row>
    <row r="342" ht="23.25" customHeight="1">
      <c r="A342" s="44"/>
      <c r="B342" s="44"/>
      <c r="C342" s="44"/>
      <c r="D342" s="44"/>
      <c r="E342" s="44"/>
      <c r="F342" s="44"/>
      <c r="G342" s="44"/>
      <c r="H342" s="44"/>
      <c r="I342" s="330"/>
      <c r="J342" s="261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</row>
    <row r="343" ht="23.25" customHeight="1">
      <c r="A343" s="44"/>
      <c r="B343" s="44"/>
      <c r="C343" s="44"/>
      <c r="D343" s="44"/>
      <c r="E343" s="44"/>
      <c r="F343" s="44"/>
      <c r="G343" s="44"/>
      <c r="H343" s="44"/>
      <c r="I343" s="330"/>
      <c r="J343" s="261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</row>
    <row r="344" ht="23.25" customHeight="1">
      <c r="A344" s="44"/>
      <c r="B344" s="44"/>
      <c r="C344" s="44"/>
      <c r="D344" s="44"/>
      <c r="E344" s="44"/>
      <c r="F344" s="44"/>
      <c r="G344" s="44"/>
      <c r="H344" s="44"/>
      <c r="I344" s="330"/>
      <c r="J344" s="261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</row>
    <row r="345" ht="23.25" customHeight="1">
      <c r="A345" s="44"/>
      <c r="B345" s="44"/>
      <c r="C345" s="44"/>
      <c r="D345" s="44"/>
      <c r="E345" s="44"/>
      <c r="F345" s="44"/>
      <c r="G345" s="44"/>
      <c r="H345" s="44"/>
      <c r="I345" s="330"/>
      <c r="J345" s="261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</row>
    <row r="346" ht="23.25" customHeight="1">
      <c r="A346" s="44"/>
      <c r="B346" s="44"/>
      <c r="C346" s="44"/>
      <c r="D346" s="44"/>
      <c r="E346" s="44"/>
      <c r="F346" s="44"/>
      <c r="G346" s="44"/>
      <c r="H346" s="44"/>
      <c r="I346" s="330"/>
      <c r="J346" s="261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</row>
    <row r="347" ht="23.25" customHeight="1">
      <c r="A347" s="44"/>
      <c r="B347" s="44"/>
      <c r="C347" s="44"/>
      <c r="D347" s="44"/>
      <c r="E347" s="44"/>
      <c r="F347" s="44"/>
      <c r="G347" s="44"/>
      <c r="H347" s="44"/>
      <c r="I347" s="330"/>
      <c r="J347" s="261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</row>
    <row r="348" ht="23.25" customHeight="1">
      <c r="A348" s="44"/>
      <c r="B348" s="44"/>
      <c r="C348" s="44"/>
      <c r="D348" s="44"/>
      <c r="E348" s="44"/>
      <c r="F348" s="44"/>
      <c r="G348" s="44"/>
      <c r="H348" s="44"/>
      <c r="I348" s="330"/>
      <c r="J348" s="261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</row>
    <row r="349" ht="23.25" customHeight="1">
      <c r="A349" s="44"/>
      <c r="B349" s="44"/>
      <c r="C349" s="44"/>
      <c r="D349" s="44"/>
      <c r="E349" s="44"/>
      <c r="F349" s="44"/>
      <c r="G349" s="44"/>
      <c r="H349" s="44"/>
      <c r="I349" s="330"/>
      <c r="J349" s="261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</row>
    <row r="350" ht="23.25" customHeight="1">
      <c r="A350" s="44"/>
      <c r="B350" s="44"/>
      <c r="C350" s="44"/>
      <c r="D350" s="44"/>
      <c r="E350" s="44"/>
      <c r="F350" s="44"/>
      <c r="G350" s="44"/>
      <c r="H350" s="44"/>
      <c r="I350" s="330"/>
      <c r="J350" s="261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</row>
    <row r="351" ht="23.25" customHeight="1">
      <c r="A351" s="44"/>
      <c r="B351" s="44"/>
      <c r="C351" s="44"/>
      <c r="D351" s="44"/>
      <c r="E351" s="44"/>
      <c r="F351" s="44"/>
      <c r="G351" s="44"/>
      <c r="H351" s="44"/>
      <c r="I351" s="330"/>
      <c r="J351" s="261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</row>
    <row r="352" ht="23.25" customHeight="1">
      <c r="A352" s="44"/>
      <c r="B352" s="44"/>
      <c r="C352" s="44"/>
      <c r="D352" s="44"/>
      <c r="E352" s="44"/>
      <c r="F352" s="44"/>
      <c r="G352" s="44"/>
      <c r="H352" s="44"/>
      <c r="I352" s="330"/>
      <c r="J352" s="261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</row>
    <row r="353" ht="23.25" customHeight="1">
      <c r="A353" s="44"/>
      <c r="B353" s="44"/>
      <c r="C353" s="44"/>
      <c r="D353" s="44"/>
      <c r="E353" s="44"/>
      <c r="F353" s="44"/>
      <c r="G353" s="44"/>
      <c r="H353" s="44"/>
      <c r="I353" s="330"/>
      <c r="J353" s="261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</row>
    <row r="354" ht="23.25" customHeight="1">
      <c r="A354" s="44"/>
      <c r="B354" s="44"/>
      <c r="C354" s="44"/>
      <c r="D354" s="44"/>
      <c r="E354" s="44"/>
      <c r="F354" s="44"/>
      <c r="G354" s="44"/>
      <c r="H354" s="44"/>
      <c r="I354" s="330"/>
      <c r="J354" s="261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</row>
    <row r="355" ht="23.25" customHeight="1">
      <c r="A355" s="44"/>
      <c r="B355" s="44"/>
      <c r="C355" s="44"/>
      <c r="D355" s="44"/>
      <c r="E355" s="44"/>
      <c r="F355" s="44"/>
      <c r="G355" s="44"/>
      <c r="H355" s="44"/>
      <c r="I355" s="330"/>
      <c r="J355" s="261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</row>
    <row r="356" ht="23.25" customHeight="1">
      <c r="A356" s="44"/>
      <c r="B356" s="44"/>
      <c r="C356" s="44"/>
      <c r="D356" s="44"/>
      <c r="E356" s="44"/>
      <c r="F356" s="44"/>
      <c r="G356" s="44"/>
      <c r="H356" s="44"/>
      <c r="I356" s="330"/>
      <c r="J356" s="261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</row>
    <row r="357" ht="23.25" customHeight="1">
      <c r="A357" s="44"/>
      <c r="B357" s="44"/>
      <c r="C357" s="44"/>
      <c r="D357" s="44"/>
      <c r="E357" s="44"/>
      <c r="F357" s="44"/>
      <c r="G357" s="44"/>
      <c r="H357" s="44"/>
      <c r="I357" s="330"/>
      <c r="J357" s="261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</row>
    <row r="358" ht="23.25" customHeight="1">
      <c r="A358" s="44"/>
      <c r="B358" s="44"/>
      <c r="C358" s="44"/>
      <c r="D358" s="44"/>
      <c r="E358" s="44"/>
      <c r="F358" s="44"/>
      <c r="G358" s="44"/>
      <c r="H358" s="44"/>
      <c r="I358" s="330"/>
      <c r="J358" s="261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</row>
    <row r="359" ht="23.25" customHeight="1">
      <c r="A359" s="44"/>
      <c r="B359" s="44"/>
      <c r="C359" s="44"/>
      <c r="D359" s="44"/>
      <c r="E359" s="44"/>
      <c r="F359" s="44"/>
      <c r="G359" s="44"/>
      <c r="H359" s="44"/>
      <c r="I359" s="330"/>
      <c r="J359" s="261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</row>
    <row r="360" ht="23.25" customHeight="1">
      <c r="A360" s="44"/>
      <c r="B360" s="44"/>
      <c r="C360" s="44"/>
      <c r="D360" s="44"/>
      <c r="E360" s="44"/>
      <c r="F360" s="44"/>
      <c r="G360" s="44"/>
      <c r="H360" s="44"/>
      <c r="I360" s="330"/>
      <c r="J360" s="261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</row>
    <row r="361" ht="23.25" customHeight="1">
      <c r="A361" s="44"/>
      <c r="B361" s="44"/>
      <c r="C361" s="44"/>
      <c r="D361" s="44"/>
      <c r="E361" s="44"/>
      <c r="F361" s="44"/>
      <c r="G361" s="44"/>
      <c r="H361" s="44"/>
      <c r="I361" s="330"/>
      <c r="J361" s="261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</row>
    <row r="362" ht="23.25" customHeight="1">
      <c r="A362" s="44"/>
      <c r="B362" s="44"/>
      <c r="C362" s="44"/>
      <c r="D362" s="44"/>
      <c r="E362" s="44"/>
      <c r="F362" s="44"/>
      <c r="G362" s="44"/>
      <c r="H362" s="44"/>
      <c r="I362" s="330"/>
      <c r="J362" s="261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</row>
    <row r="363" ht="23.25" customHeight="1">
      <c r="A363" s="44"/>
      <c r="B363" s="44"/>
      <c r="C363" s="44"/>
      <c r="D363" s="44"/>
      <c r="E363" s="44"/>
      <c r="F363" s="44"/>
      <c r="G363" s="44"/>
      <c r="H363" s="44"/>
      <c r="I363" s="330"/>
      <c r="J363" s="261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</row>
    <row r="364" ht="23.25" customHeight="1">
      <c r="A364" s="44"/>
      <c r="B364" s="44"/>
      <c r="C364" s="44"/>
      <c r="D364" s="44"/>
      <c r="E364" s="44"/>
      <c r="F364" s="44"/>
      <c r="G364" s="44"/>
      <c r="H364" s="44"/>
      <c r="I364" s="330"/>
      <c r="J364" s="261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</row>
    <row r="365" ht="23.25" customHeight="1">
      <c r="A365" s="44"/>
      <c r="B365" s="44"/>
      <c r="C365" s="44"/>
      <c r="D365" s="44"/>
      <c r="E365" s="44"/>
      <c r="F365" s="44"/>
      <c r="G365" s="44"/>
      <c r="H365" s="44"/>
      <c r="I365" s="330"/>
      <c r="J365" s="261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</row>
    <row r="366" ht="23.25" customHeight="1">
      <c r="A366" s="44"/>
      <c r="B366" s="44"/>
      <c r="C366" s="44"/>
      <c r="D366" s="44"/>
      <c r="E366" s="44"/>
      <c r="F366" s="44"/>
      <c r="G366" s="44"/>
      <c r="H366" s="44"/>
      <c r="I366" s="330"/>
      <c r="J366" s="261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</row>
    <row r="367" ht="23.25" customHeight="1">
      <c r="A367" s="44"/>
      <c r="B367" s="44"/>
      <c r="C367" s="44"/>
      <c r="D367" s="44"/>
      <c r="E367" s="44"/>
      <c r="F367" s="44"/>
      <c r="G367" s="44"/>
      <c r="H367" s="44"/>
      <c r="I367" s="330"/>
      <c r="J367" s="261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</row>
    <row r="368" ht="23.25" customHeight="1">
      <c r="A368" s="44"/>
      <c r="B368" s="44"/>
      <c r="C368" s="44"/>
      <c r="D368" s="44"/>
      <c r="E368" s="44"/>
      <c r="F368" s="44"/>
      <c r="G368" s="44"/>
      <c r="H368" s="44"/>
      <c r="I368" s="330"/>
      <c r="J368" s="261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</row>
    <row r="369" ht="23.25" customHeight="1">
      <c r="A369" s="44"/>
      <c r="B369" s="44"/>
      <c r="C369" s="44"/>
      <c r="D369" s="44"/>
      <c r="E369" s="44"/>
      <c r="F369" s="44"/>
      <c r="G369" s="44"/>
      <c r="H369" s="44"/>
      <c r="I369" s="330"/>
      <c r="J369" s="261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</row>
    <row r="370" ht="23.25" customHeight="1">
      <c r="A370" s="44"/>
      <c r="B370" s="44"/>
      <c r="C370" s="44"/>
      <c r="D370" s="44"/>
      <c r="E370" s="44"/>
      <c r="F370" s="44"/>
      <c r="G370" s="44"/>
      <c r="H370" s="44"/>
      <c r="I370" s="330"/>
      <c r="J370" s="261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</row>
    <row r="371" ht="23.25" customHeight="1">
      <c r="A371" s="44"/>
      <c r="B371" s="44"/>
      <c r="C371" s="44"/>
      <c r="D371" s="44"/>
      <c r="E371" s="44"/>
      <c r="F371" s="44"/>
      <c r="G371" s="44"/>
      <c r="H371" s="44"/>
      <c r="I371" s="330"/>
      <c r="J371" s="261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</row>
    <row r="372" ht="23.25" customHeight="1">
      <c r="A372" s="44"/>
      <c r="B372" s="44"/>
      <c r="C372" s="44"/>
      <c r="D372" s="44"/>
      <c r="E372" s="44"/>
      <c r="F372" s="44"/>
      <c r="G372" s="44"/>
      <c r="H372" s="44"/>
      <c r="I372" s="330"/>
      <c r="J372" s="261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</row>
    <row r="373" ht="23.25" customHeight="1">
      <c r="A373" s="44"/>
      <c r="B373" s="44"/>
      <c r="C373" s="44"/>
      <c r="D373" s="44"/>
      <c r="E373" s="44"/>
      <c r="F373" s="44"/>
      <c r="G373" s="44"/>
      <c r="H373" s="44"/>
      <c r="I373" s="330"/>
      <c r="J373" s="261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</row>
    <row r="374" ht="23.25" customHeight="1">
      <c r="A374" s="44"/>
      <c r="B374" s="44"/>
      <c r="C374" s="44"/>
      <c r="D374" s="44"/>
      <c r="E374" s="44"/>
      <c r="F374" s="44"/>
      <c r="G374" s="44"/>
      <c r="H374" s="44"/>
      <c r="I374" s="330"/>
      <c r="J374" s="261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</row>
    <row r="375" ht="23.25" customHeight="1">
      <c r="A375" s="44"/>
      <c r="B375" s="44"/>
      <c r="C375" s="44"/>
      <c r="D375" s="44"/>
      <c r="E375" s="44"/>
      <c r="F375" s="44"/>
      <c r="G375" s="44"/>
      <c r="H375" s="44"/>
      <c r="I375" s="330"/>
      <c r="J375" s="261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</row>
    <row r="376" ht="23.25" customHeight="1">
      <c r="A376" s="44"/>
      <c r="B376" s="44"/>
      <c r="C376" s="44"/>
      <c r="D376" s="44"/>
      <c r="E376" s="44"/>
      <c r="F376" s="44"/>
      <c r="G376" s="44"/>
      <c r="H376" s="44"/>
      <c r="I376" s="330"/>
      <c r="J376" s="261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</row>
    <row r="377" ht="23.25" customHeight="1">
      <c r="A377" s="44"/>
      <c r="B377" s="44"/>
      <c r="C377" s="44"/>
      <c r="D377" s="44"/>
      <c r="E377" s="44"/>
      <c r="F377" s="44"/>
      <c r="G377" s="44"/>
      <c r="H377" s="44"/>
      <c r="I377" s="330"/>
      <c r="J377" s="261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</row>
    <row r="378" ht="23.25" customHeight="1">
      <c r="A378" s="44"/>
      <c r="B378" s="44"/>
      <c r="C378" s="44"/>
      <c r="D378" s="44"/>
      <c r="E378" s="44"/>
      <c r="F378" s="44"/>
      <c r="G378" s="44"/>
      <c r="H378" s="44"/>
      <c r="I378" s="330"/>
      <c r="J378" s="261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</row>
    <row r="379" ht="23.25" customHeight="1">
      <c r="A379" s="44"/>
      <c r="B379" s="44"/>
      <c r="C379" s="44"/>
      <c r="D379" s="44"/>
      <c r="E379" s="44"/>
      <c r="F379" s="44"/>
      <c r="G379" s="44"/>
      <c r="H379" s="44"/>
      <c r="I379" s="330"/>
      <c r="J379" s="261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</row>
    <row r="380" ht="23.25" customHeight="1">
      <c r="A380" s="44"/>
      <c r="B380" s="44"/>
      <c r="C380" s="44"/>
      <c r="D380" s="44"/>
      <c r="E380" s="44"/>
      <c r="F380" s="44"/>
      <c r="G380" s="44"/>
      <c r="H380" s="44"/>
      <c r="I380" s="330"/>
      <c r="J380" s="261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</row>
    <row r="381" ht="23.25" customHeight="1">
      <c r="A381" s="44"/>
      <c r="B381" s="44"/>
      <c r="C381" s="44"/>
      <c r="D381" s="44"/>
      <c r="E381" s="44"/>
      <c r="F381" s="44"/>
      <c r="G381" s="44"/>
      <c r="H381" s="44"/>
      <c r="I381" s="330"/>
      <c r="J381" s="261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</row>
    <row r="382" ht="23.25" customHeight="1">
      <c r="A382" s="44"/>
      <c r="B382" s="44"/>
      <c r="C382" s="44"/>
      <c r="D382" s="44"/>
      <c r="E382" s="44"/>
      <c r="F382" s="44"/>
      <c r="G382" s="44"/>
      <c r="H382" s="44"/>
      <c r="I382" s="330"/>
      <c r="J382" s="261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</row>
    <row r="383" ht="23.25" customHeight="1">
      <c r="A383" s="44"/>
      <c r="B383" s="44"/>
      <c r="C383" s="44"/>
      <c r="D383" s="44"/>
      <c r="E383" s="44"/>
      <c r="F383" s="44"/>
      <c r="G383" s="44"/>
      <c r="H383" s="44"/>
      <c r="I383" s="330"/>
      <c r="J383" s="261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</row>
    <row r="384" ht="23.25" customHeight="1">
      <c r="A384" s="44"/>
      <c r="B384" s="44"/>
      <c r="C384" s="44"/>
      <c r="D384" s="44"/>
      <c r="E384" s="44"/>
      <c r="F384" s="44"/>
      <c r="G384" s="44"/>
      <c r="H384" s="44"/>
      <c r="I384" s="330"/>
      <c r="J384" s="261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</row>
    <row r="385" ht="23.25" customHeight="1">
      <c r="A385" s="44"/>
      <c r="B385" s="44"/>
      <c r="C385" s="44"/>
      <c r="D385" s="44"/>
      <c r="E385" s="44"/>
      <c r="F385" s="44"/>
      <c r="G385" s="44"/>
      <c r="H385" s="44"/>
      <c r="I385" s="330"/>
      <c r="J385" s="261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</row>
    <row r="386" ht="23.25" customHeight="1">
      <c r="A386" s="44"/>
      <c r="B386" s="44"/>
      <c r="C386" s="44"/>
      <c r="D386" s="44"/>
      <c r="E386" s="44"/>
      <c r="F386" s="44"/>
      <c r="G386" s="44"/>
      <c r="H386" s="44"/>
      <c r="I386" s="330"/>
      <c r="J386" s="261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</row>
    <row r="387" ht="23.25" customHeight="1">
      <c r="A387" s="44"/>
      <c r="B387" s="44"/>
      <c r="C387" s="44"/>
      <c r="D387" s="44"/>
      <c r="E387" s="44"/>
      <c r="F387" s="44"/>
      <c r="G387" s="44"/>
      <c r="H387" s="44"/>
      <c r="I387" s="330"/>
      <c r="J387" s="261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</row>
    <row r="388" ht="23.25" customHeight="1">
      <c r="A388" s="44"/>
      <c r="B388" s="44"/>
      <c r="C388" s="44"/>
      <c r="D388" s="44"/>
      <c r="E388" s="44"/>
      <c r="F388" s="44"/>
      <c r="G388" s="44"/>
      <c r="H388" s="44"/>
      <c r="I388" s="330"/>
      <c r="J388" s="261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</row>
    <row r="389" ht="23.25" customHeight="1">
      <c r="A389" s="44"/>
      <c r="B389" s="44"/>
      <c r="C389" s="44"/>
      <c r="D389" s="44"/>
      <c r="E389" s="44"/>
      <c r="F389" s="44"/>
      <c r="G389" s="44"/>
      <c r="H389" s="44"/>
      <c r="I389" s="330"/>
      <c r="J389" s="261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</row>
    <row r="390" ht="23.25" customHeight="1">
      <c r="A390" s="44"/>
      <c r="B390" s="44"/>
      <c r="C390" s="44"/>
      <c r="D390" s="44"/>
      <c r="E390" s="44"/>
      <c r="F390" s="44"/>
      <c r="G390" s="44"/>
      <c r="H390" s="44"/>
      <c r="I390" s="330"/>
      <c r="J390" s="261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</row>
    <row r="391" ht="23.25" customHeight="1">
      <c r="A391" s="44"/>
      <c r="B391" s="44"/>
      <c r="C391" s="44"/>
      <c r="D391" s="44"/>
      <c r="E391" s="44"/>
      <c r="F391" s="44"/>
      <c r="G391" s="44"/>
      <c r="H391" s="44"/>
      <c r="I391" s="330"/>
      <c r="J391" s="261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</row>
    <row r="392" ht="23.25" customHeight="1">
      <c r="A392" s="44"/>
      <c r="B392" s="44"/>
      <c r="C392" s="44"/>
      <c r="D392" s="44"/>
      <c r="E392" s="44"/>
      <c r="F392" s="44"/>
      <c r="G392" s="44"/>
      <c r="H392" s="44"/>
      <c r="I392" s="330"/>
      <c r="J392" s="261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</row>
    <row r="393" ht="23.25" customHeight="1">
      <c r="A393" s="44"/>
      <c r="B393" s="44"/>
      <c r="C393" s="44"/>
      <c r="D393" s="44"/>
      <c r="E393" s="44"/>
      <c r="F393" s="44"/>
      <c r="G393" s="44"/>
      <c r="H393" s="44"/>
      <c r="I393" s="330"/>
      <c r="J393" s="261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</row>
    <row r="394" ht="23.25" customHeight="1">
      <c r="A394" s="44"/>
      <c r="B394" s="44"/>
      <c r="C394" s="44"/>
      <c r="D394" s="44"/>
      <c r="E394" s="44"/>
      <c r="F394" s="44"/>
      <c r="G394" s="44"/>
      <c r="H394" s="44"/>
      <c r="I394" s="330"/>
      <c r="J394" s="261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</row>
    <row r="395" ht="23.25" customHeight="1">
      <c r="A395" s="44"/>
      <c r="B395" s="44"/>
      <c r="C395" s="44"/>
      <c r="D395" s="44"/>
      <c r="E395" s="44"/>
      <c r="F395" s="44"/>
      <c r="G395" s="44"/>
      <c r="H395" s="44"/>
      <c r="I395" s="330"/>
      <c r="J395" s="261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</row>
    <row r="396" ht="23.25" customHeight="1">
      <c r="A396" s="44"/>
      <c r="B396" s="44"/>
      <c r="C396" s="44"/>
      <c r="D396" s="44"/>
      <c r="E396" s="44"/>
      <c r="F396" s="44"/>
      <c r="G396" s="44"/>
      <c r="H396" s="44"/>
      <c r="I396" s="330"/>
      <c r="J396" s="261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</row>
    <row r="397" ht="23.25" customHeight="1">
      <c r="A397" s="44"/>
      <c r="B397" s="44"/>
      <c r="C397" s="44"/>
      <c r="D397" s="44"/>
      <c r="E397" s="44"/>
      <c r="F397" s="44"/>
      <c r="G397" s="44"/>
      <c r="H397" s="44"/>
      <c r="I397" s="330"/>
      <c r="J397" s="261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</row>
    <row r="398" ht="23.25" customHeight="1">
      <c r="A398" s="44"/>
      <c r="B398" s="44"/>
      <c r="C398" s="44"/>
      <c r="D398" s="44"/>
      <c r="E398" s="44"/>
      <c r="F398" s="44"/>
      <c r="G398" s="44"/>
      <c r="H398" s="44"/>
      <c r="I398" s="330"/>
      <c r="J398" s="261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</row>
    <row r="399" ht="23.25" customHeight="1">
      <c r="A399" s="44"/>
      <c r="B399" s="44"/>
      <c r="C399" s="44"/>
      <c r="D399" s="44"/>
      <c r="E399" s="44"/>
      <c r="F399" s="44"/>
      <c r="G399" s="44"/>
      <c r="H399" s="44"/>
      <c r="I399" s="330"/>
      <c r="J399" s="261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</row>
    <row r="400" ht="23.25" customHeight="1">
      <c r="A400" s="44"/>
      <c r="B400" s="44"/>
      <c r="C400" s="44"/>
      <c r="D400" s="44"/>
      <c r="E400" s="44"/>
      <c r="F400" s="44"/>
      <c r="G400" s="44"/>
      <c r="H400" s="44"/>
      <c r="I400" s="330"/>
      <c r="J400" s="261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</row>
    <row r="401" ht="23.25" customHeight="1">
      <c r="A401" s="44"/>
      <c r="B401" s="44"/>
      <c r="C401" s="44"/>
      <c r="D401" s="44"/>
      <c r="E401" s="44"/>
      <c r="F401" s="44"/>
      <c r="G401" s="44"/>
      <c r="H401" s="44"/>
      <c r="I401" s="330"/>
      <c r="J401" s="261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</row>
    <row r="402" ht="23.25" customHeight="1">
      <c r="A402" s="44"/>
      <c r="B402" s="44"/>
      <c r="C402" s="44"/>
      <c r="D402" s="44"/>
      <c r="E402" s="44"/>
      <c r="F402" s="44"/>
      <c r="G402" s="44"/>
      <c r="H402" s="44"/>
      <c r="I402" s="330"/>
      <c r="J402" s="261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</row>
    <row r="403" ht="23.25" customHeight="1">
      <c r="A403" s="44"/>
      <c r="B403" s="44"/>
      <c r="C403" s="44"/>
      <c r="D403" s="44"/>
      <c r="E403" s="44"/>
      <c r="F403" s="44"/>
      <c r="G403" s="44"/>
      <c r="H403" s="44"/>
      <c r="I403" s="330"/>
      <c r="J403" s="261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</row>
    <row r="404" ht="23.25" customHeight="1">
      <c r="A404" s="44"/>
      <c r="B404" s="44"/>
      <c r="C404" s="44"/>
      <c r="D404" s="44"/>
      <c r="E404" s="44"/>
      <c r="F404" s="44"/>
      <c r="G404" s="44"/>
      <c r="H404" s="44"/>
      <c r="I404" s="330"/>
      <c r="J404" s="261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</row>
    <row r="405" ht="23.25" customHeight="1">
      <c r="A405" s="44"/>
      <c r="B405" s="44"/>
      <c r="C405" s="44"/>
      <c r="D405" s="44"/>
      <c r="E405" s="44"/>
      <c r="F405" s="44"/>
      <c r="G405" s="44"/>
      <c r="H405" s="44"/>
      <c r="I405" s="330"/>
      <c r="J405" s="261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</row>
    <row r="406" ht="23.25" customHeight="1">
      <c r="A406" s="44"/>
      <c r="B406" s="44"/>
      <c r="C406" s="44"/>
      <c r="D406" s="44"/>
      <c r="E406" s="44"/>
      <c r="F406" s="44"/>
      <c r="G406" s="44"/>
      <c r="H406" s="44"/>
      <c r="I406" s="330"/>
      <c r="J406" s="261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</row>
    <row r="407" ht="23.25" customHeight="1">
      <c r="A407" s="44"/>
      <c r="B407" s="44"/>
      <c r="C407" s="44"/>
      <c r="D407" s="44"/>
      <c r="E407" s="44"/>
      <c r="F407" s="44"/>
      <c r="G407" s="44"/>
      <c r="H407" s="44"/>
      <c r="I407" s="330"/>
      <c r="J407" s="261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</row>
    <row r="408" ht="23.25" customHeight="1">
      <c r="A408" s="44"/>
      <c r="B408" s="44"/>
      <c r="C408" s="44"/>
      <c r="D408" s="44"/>
      <c r="E408" s="44"/>
      <c r="F408" s="44"/>
      <c r="G408" s="44"/>
      <c r="H408" s="44"/>
      <c r="I408" s="330"/>
      <c r="J408" s="261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</row>
    <row r="409" ht="23.25" customHeight="1">
      <c r="A409" s="44"/>
      <c r="B409" s="44"/>
      <c r="C409" s="44"/>
      <c r="D409" s="44"/>
      <c r="E409" s="44"/>
      <c r="F409" s="44"/>
      <c r="G409" s="44"/>
      <c r="H409" s="44"/>
      <c r="I409" s="330"/>
      <c r="J409" s="261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</row>
    <row r="410" ht="23.25" customHeight="1">
      <c r="A410" s="44"/>
      <c r="B410" s="44"/>
      <c r="C410" s="44"/>
      <c r="D410" s="44"/>
      <c r="E410" s="44"/>
      <c r="F410" s="44"/>
      <c r="G410" s="44"/>
      <c r="H410" s="44"/>
      <c r="I410" s="330"/>
      <c r="J410" s="261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</row>
    <row r="411" ht="23.25" customHeight="1">
      <c r="A411" s="44"/>
      <c r="B411" s="44"/>
      <c r="C411" s="44"/>
      <c r="D411" s="44"/>
      <c r="E411" s="44"/>
      <c r="F411" s="44"/>
      <c r="G411" s="44"/>
      <c r="H411" s="44"/>
      <c r="I411" s="330"/>
      <c r="J411" s="261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</row>
    <row r="412" ht="23.25" customHeight="1">
      <c r="A412" s="44"/>
      <c r="B412" s="44"/>
      <c r="C412" s="44"/>
      <c r="D412" s="44"/>
      <c r="E412" s="44"/>
      <c r="F412" s="44"/>
      <c r="G412" s="44"/>
      <c r="H412" s="44"/>
      <c r="I412" s="330"/>
      <c r="J412" s="261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</row>
    <row r="413" ht="23.25" customHeight="1">
      <c r="A413" s="44"/>
      <c r="B413" s="44"/>
      <c r="C413" s="44"/>
      <c r="D413" s="44"/>
      <c r="E413" s="44"/>
      <c r="F413" s="44"/>
      <c r="G413" s="44"/>
      <c r="H413" s="44"/>
      <c r="I413" s="330"/>
      <c r="J413" s="261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</row>
    <row r="414" ht="23.25" customHeight="1">
      <c r="A414" s="44"/>
      <c r="B414" s="44"/>
      <c r="C414" s="44"/>
      <c r="D414" s="44"/>
      <c r="E414" s="44"/>
      <c r="F414" s="44"/>
      <c r="G414" s="44"/>
      <c r="H414" s="44"/>
      <c r="I414" s="330"/>
      <c r="J414" s="261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</row>
    <row r="415" ht="23.25" customHeight="1">
      <c r="A415" s="44"/>
      <c r="B415" s="44"/>
      <c r="C415" s="44"/>
      <c r="D415" s="44"/>
      <c r="E415" s="44"/>
      <c r="F415" s="44"/>
      <c r="G415" s="44"/>
      <c r="H415" s="44"/>
      <c r="I415" s="330"/>
      <c r="J415" s="261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</row>
    <row r="416" ht="23.25" customHeight="1">
      <c r="A416" s="44"/>
      <c r="B416" s="44"/>
      <c r="C416" s="44"/>
      <c r="D416" s="44"/>
      <c r="E416" s="44"/>
      <c r="F416" s="44"/>
      <c r="G416" s="44"/>
      <c r="H416" s="44"/>
      <c r="I416" s="330"/>
      <c r="J416" s="261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</row>
    <row r="417" ht="23.25" customHeight="1">
      <c r="A417" s="44"/>
      <c r="B417" s="44"/>
      <c r="C417" s="44"/>
      <c r="D417" s="44"/>
      <c r="E417" s="44"/>
      <c r="F417" s="44"/>
      <c r="G417" s="44"/>
      <c r="H417" s="44"/>
      <c r="I417" s="330"/>
      <c r="J417" s="261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</row>
    <row r="418" ht="23.25" customHeight="1">
      <c r="A418" s="44"/>
      <c r="B418" s="44"/>
      <c r="C418" s="44"/>
      <c r="D418" s="44"/>
      <c r="E418" s="44"/>
      <c r="F418" s="44"/>
      <c r="G418" s="44"/>
      <c r="H418" s="44"/>
      <c r="I418" s="330"/>
      <c r="J418" s="261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</row>
    <row r="419" ht="23.25" customHeight="1">
      <c r="A419" s="44"/>
      <c r="B419" s="44"/>
      <c r="C419" s="44"/>
      <c r="D419" s="44"/>
      <c r="E419" s="44"/>
      <c r="F419" s="44"/>
      <c r="G419" s="44"/>
      <c r="H419" s="44"/>
      <c r="I419" s="330"/>
      <c r="J419" s="261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</row>
    <row r="420" ht="23.25" customHeight="1">
      <c r="A420" s="44"/>
      <c r="B420" s="44"/>
      <c r="C420" s="44"/>
      <c r="D420" s="44"/>
      <c r="E420" s="44"/>
      <c r="F420" s="44"/>
      <c r="G420" s="44"/>
      <c r="H420" s="44"/>
      <c r="I420" s="330"/>
      <c r="J420" s="261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</row>
    <row r="421" ht="23.25" customHeight="1">
      <c r="A421" s="44"/>
      <c r="B421" s="44"/>
      <c r="C421" s="44"/>
      <c r="D421" s="44"/>
      <c r="E421" s="44"/>
      <c r="F421" s="44"/>
      <c r="G421" s="44"/>
      <c r="H421" s="44"/>
      <c r="I421" s="330"/>
      <c r="J421" s="261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</row>
    <row r="422" ht="23.25" customHeight="1">
      <c r="A422" s="44"/>
      <c r="B422" s="44"/>
      <c r="C422" s="44"/>
      <c r="D422" s="44"/>
      <c r="E422" s="44"/>
      <c r="F422" s="44"/>
      <c r="G422" s="44"/>
      <c r="H422" s="44"/>
      <c r="I422" s="330"/>
      <c r="J422" s="261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</row>
    <row r="423" ht="23.25" customHeight="1">
      <c r="A423" s="44"/>
      <c r="B423" s="44"/>
      <c r="C423" s="44"/>
      <c r="D423" s="44"/>
      <c r="E423" s="44"/>
      <c r="F423" s="44"/>
      <c r="G423" s="44"/>
      <c r="H423" s="44"/>
      <c r="I423" s="330"/>
      <c r="J423" s="261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</row>
    <row r="424" ht="23.25" customHeight="1">
      <c r="A424" s="44"/>
      <c r="B424" s="44"/>
      <c r="C424" s="44"/>
      <c r="D424" s="44"/>
      <c r="E424" s="44"/>
      <c r="F424" s="44"/>
      <c r="G424" s="44"/>
      <c r="H424" s="44"/>
      <c r="I424" s="330"/>
      <c r="J424" s="261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</row>
    <row r="425" ht="23.25" customHeight="1">
      <c r="A425" s="44"/>
      <c r="B425" s="44"/>
      <c r="C425" s="44"/>
      <c r="D425" s="44"/>
      <c r="E425" s="44"/>
      <c r="F425" s="44"/>
      <c r="G425" s="44"/>
      <c r="H425" s="44"/>
      <c r="I425" s="330"/>
      <c r="J425" s="261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</row>
    <row r="426" ht="23.25" customHeight="1">
      <c r="A426" s="44"/>
      <c r="B426" s="44"/>
      <c r="C426" s="44"/>
      <c r="D426" s="44"/>
      <c r="E426" s="44"/>
      <c r="F426" s="44"/>
      <c r="G426" s="44"/>
      <c r="H426" s="44"/>
      <c r="I426" s="330"/>
      <c r="J426" s="261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</row>
    <row r="427" ht="23.25" customHeight="1">
      <c r="A427" s="44"/>
      <c r="B427" s="44"/>
      <c r="C427" s="44"/>
      <c r="D427" s="44"/>
      <c r="E427" s="44"/>
      <c r="F427" s="44"/>
      <c r="G427" s="44"/>
      <c r="H427" s="44"/>
      <c r="I427" s="330"/>
      <c r="J427" s="261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</row>
    <row r="428" ht="23.25" customHeight="1">
      <c r="A428" s="44"/>
      <c r="B428" s="44"/>
      <c r="C428" s="44"/>
      <c r="D428" s="44"/>
      <c r="E428" s="44"/>
      <c r="F428" s="44"/>
      <c r="G428" s="44"/>
      <c r="H428" s="44"/>
      <c r="I428" s="330"/>
      <c r="J428" s="261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</row>
    <row r="429" ht="23.25" customHeight="1">
      <c r="A429" s="44"/>
      <c r="B429" s="44"/>
      <c r="C429" s="44"/>
      <c r="D429" s="44"/>
      <c r="E429" s="44"/>
      <c r="F429" s="44"/>
      <c r="G429" s="44"/>
      <c r="H429" s="44"/>
      <c r="I429" s="330"/>
      <c r="J429" s="261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</row>
    <row r="430" ht="23.25" customHeight="1">
      <c r="A430" s="44"/>
      <c r="B430" s="44"/>
      <c r="C430" s="44"/>
      <c r="D430" s="44"/>
      <c r="E430" s="44"/>
      <c r="F430" s="44"/>
      <c r="G430" s="44"/>
      <c r="H430" s="44"/>
      <c r="I430" s="330"/>
      <c r="J430" s="261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</row>
    <row r="431" ht="23.25" customHeight="1">
      <c r="A431" s="44"/>
      <c r="B431" s="44"/>
      <c r="C431" s="44"/>
      <c r="D431" s="44"/>
      <c r="E431" s="44"/>
      <c r="F431" s="44"/>
      <c r="G431" s="44"/>
      <c r="H431" s="44"/>
      <c r="I431" s="330"/>
      <c r="J431" s="261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</row>
    <row r="432" ht="23.25" customHeight="1">
      <c r="A432" s="44"/>
      <c r="B432" s="44"/>
      <c r="C432" s="44"/>
      <c r="D432" s="44"/>
      <c r="E432" s="44"/>
      <c r="F432" s="44"/>
      <c r="G432" s="44"/>
      <c r="H432" s="44"/>
      <c r="I432" s="330"/>
      <c r="J432" s="261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</row>
    <row r="433" ht="23.25" customHeight="1">
      <c r="A433" s="44"/>
      <c r="B433" s="44"/>
      <c r="C433" s="44"/>
      <c r="D433" s="44"/>
      <c r="E433" s="44"/>
      <c r="F433" s="44"/>
      <c r="G433" s="44"/>
      <c r="H433" s="44"/>
      <c r="I433" s="330"/>
      <c r="J433" s="261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</row>
    <row r="434" ht="23.25" customHeight="1">
      <c r="A434" s="44"/>
      <c r="B434" s="44"/>
      <c r="C434" s="44"/>
      <c r="D434" s="44"/>
      <c r="E434" s="44"/>
      <c r="F434" s="44"/>
      <c r="G434" s="44"/>
      <c r="H434" s="44"/>
      <c r="I434" s="330"/>
      <c r="J434" s="261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</row>
    <row r="435" ht="23.25" customHeight="1">
      <c r="A435" s="44"/>
      <c r="B435" s="44"/>
      <c r="C435" s="44"/>
      <c r="D435" s="44"/>
      <c r="E435" s="44"/>
      <c r="F435" s="44"/>
      <c r="G435" s="44"/>
      <c r="H435" s="44"/>
      <c r="I435" s="330"/>
      <c r="J435" s="261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</row>
    <row r="436" ht="23.25" customHeight="1">
      <c r="A436" s="44"/>
      <c r="B436" s="44"/>
      <c r="C436" s="44"/>
      <c r="D436" s="44"/>
      <c r="E436" s="44"/>
      <c r="F436" s="44"/>
      <c r="G436" s="44"/>
      <c r="H436" s="44"/>
      <c r="I436" s="330"/>
      <c r="J436" s="261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</row>
    <row r="437" ht="23.25" customHeight="1">
      <c r="A437" s="44"/>
      <c r="B437" s="44"/>
      <c r="C437" s="44"/>
      <c r="D437" s="44"/>
      <c r="E437" s="44"/>
      <c r="F437" s="44"/>
      <c r="G437" s="44"/>
      <c r="H437" s="44"/>
      <c r="I437" s="330"/>
      <c r="J437" s="261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</row>
    <row r="438" ht="23.25" customHeight="1">
      <c r="A438" s="44"/>
      <c r="B438" s="44"/>
      <c r="C438" s="44"/>
      <c r="D438" s="44"/>
      <c r="E438" s="44"/>
      <c r="F438" s="44"/>
      <c r="G438" s="44"/>
      <c r="H438" s="44"/>
      <c r="I438" s="330"/>
      <c r="J438" s="261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</row>
    <row r="439" ht="23.25" customHeight="1">
      <c r="A439" s="44"/>
      <c r="B439" s="44"/>
      <c r="C439" s="44"/>
      <c r="D439" s="44"/>
      <c r="E439" s="44"/>
      <c r="F439" s="44"/>
      <c r="G439" s="44"/>
      <c r="H439" s="44"/>
      <c r="I439" s="330"/>
      <c r="J439" s="261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</row>
    <row r="440" ht="23.25" customHeight="1">
      <c r="A440" s="44"/>
      <c r="B440" s="44"/>
      <c r="C440" s="44"/>
      <c r="D440" s="44"/>
      <c r="E440" s="44"/>
      <c r="F440" s="44"/>
      <c r="G440" s="44"/>
      <c r="H440" s="44"/>
      <c r="I440" s="330"/>
      <c r="J440" s="261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</row>
    <row r="441" ht="23.25" customHeight="1">
      <c r="A441" s="44"/>
      <c r="B441" s="44"/>
      <c r="C441" s="44"/>
      <c r="D441" s="44"/>
      <c r="E441" s="44"/>
      <c r="F441" s="44"/>
      <c r="G441" s="44"/>
      <c r="H441" s="44"/>
      <c r="I441" s="330"/>
      <c r="J441" s="261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</row>
    <row r="442" ht="23.25" customHeight="1">
      <c r="A442" s="44"/>
      <c r="B442" s="44"/>
      <c r="C442" s="44"/>
      <c r="D442" s="44"/>
      <c r="E442" s="44"/>
      <c r="F442" s="44"/>
      <c r="G442" s="44"/>
      <c r="H442" s="44"/>
      <c r="I442" s="330"/>
      <c r="J442" s="261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</row>
    <row r="443" ht="23.25" customHeight="1">
      <c r="A443" s="44"/>
      <c r="B443" s="44"/>
      <c r="C443" s="44"/>
      <c r="D443" s="44"/>
      <c r="E443" s="44"/>
      <c r="F443" s="44"/>
      <c r="G443" s="44"/>
      <c r="H443" s="44"/>
      <c r="I443" s="330"/>
      <c r="J443" s="261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</row>
    <row r="444" ht="23.25" customHeight="1">
      <c r="A444" s="44"/>
      <c r="B444" s="44"/>
      <c r="C444" s="44"/>
      <c r="D444" s="44"/>
      <c r="E444" s="44"/>
      <c r="F444" s="44"/>
      <c r="G444" s="44"/>
      <c r="H444" s="44"/>
      <c r="I444" s="330"/>
      <c r="J444" s="261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</row>
    <row r="445" ht="23.25" customHeight="1">
      <c r="A445" s="44"/>
      <c r="B445" s="44"/>
      <c r="C445" s="44"/>
      <c r="D445" s="44"/>
      <c r="E445" s="44"/>
      <c r="F445" s="44"/>
      <c r="G445" s="44"/>
      <c r="H445" s="44"/>
      <c r="I445" s="330"/>
      <c r="J445" s="261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</row>
    <row r="446" ht="23.25" customHeight="1">
      <c r="A446" s="44"/>
      <c r="B446" s="44"/>
      <c r="C446" s="44"/>
      <c r="D446" s="44"/>
      <c r="E446" s="44"/>
      <c r="F446" s="44"/>
      <c r="G446" s="44"/>
      <c r="H446" s="44"/>
      <c r="I446" s="330"/>
      <c r="J446" s="261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</row>
    <row r="447" ht="23.25" customHeight="1">
      <c r="A447" s="44"/>
      <c r="B447" s="44"/>
      <c r="C447" s="44"/>
      <c r="D447" s="44"/>
      <c r="E447" s="44"/>
      <c r="F447" s="44"/>
      <c r="G447" s="44"/>
      <c r="H447" s="44"/>
      <c r="I447" s="330"/>
      <c r="J447" s="261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</row>
    <row r="448" ht="23.25" customHeight="1">
      <c r="A448" s="44"/>
      <c r="B448" s="44"/>
      <c r="C448" s="44"/>
      <c r="D448" s="44"/>
      <c r="E448" s="44"/>
      <c r="F448" s="44"/>
      <c r="G448" s="44"/>
      <c r="H448" s="44"/>
      <c r="I448" s="330"/>
      <c r="J448" s="261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</row>
    <row r="449" ht="23.25" customHeight="1">
      <c r="A449" s="44"/>
      <c r="B449" s="44"/>
      <c r="C449" s="44"/>
      <c r="D449" s="44"/>
      <c r="E449" s="44"/>
      <c r="F449" s="44"/>
      <c r="G449" s="44"/>
      <c r="H449" s="44"/>
      <c r="I449" s="330"/>
      <c r="J449" s="261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</row>
    <row r="450" ht="23.25" customHeight="1">
      <c r="A450" s="44"/>
      <c r="B450" s="44"/>
      <c r="C450" s="44"/>
      <c r="D450" s="44"/>
      <c r="E450" s="44"/>
      <c r="F450" s="44"/>
      <c r="G450" s="44"/>
      <c r="H450" s="44"/>
      <c r="I450" s="330"/>
      <c r="J450" s="261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</row>
    <row r="451" ht="23.25" customHeight="1">
      <c r="A451" s="44"/>
      <c r="B451" s="44"/>
      <c r="C451" s="44"/>
      <c r="D451" s="44"/>
      <c r="E451" s="44"/>
      <c r="F451" s="44"/>
      <c r="G451" s="44"/>
      <c r="H451" s="44"/>
      <c r="I451" s="330"/>
      <c r="J451" s="261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</row>
    <row r="452" ht="23.25" customHeight="1">
      <c r="A452" s="44"/>
      <c r="B452" s="44"/>
      <c r="C452" s="44"/>
      <c r="D452" s="44"/>
      <c r="E452" s="44"/>
      <c r="F452" s="44"/>
      <c r="G452" s="44"/>
      <c r="H452" s="44"/>
      <c r="I452" s="330"/>
      <c r="J452" s="261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</row>
    <row r="453" ht="23.25" customHeight="1">
      <c r="A453" s="44"/>
      <c r="B453" s="44"/>
      <c r="C453" s="44"/>
      <c r="D453" s="44"/>
      <c r="E453" s="44"/>
      <c r="F453" s="44"/>
      <c r="G453" s="44"/>
      <c r="H453" s="44"/>
      <c r="I453" s="330"/>
      <c r="J453" s="261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</row>
    <row r="454" ht="23.25" customHeight="1">
      <c r="A454" s="44"/>
      <c r="B454" s="44"/>
      <c r="C454" s="44"/>
      <c r="D454" s="44"/>
      <c r="E454" s="44"/>
      <c r="F454" s="44"/>
      <c r="G454" s="44"/>
      <c r="H454" s="44"/>
      <c r="I454" s="330"/>
      <c r="J454" s="261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</row>
    <row r="455" ht="23.25" customHeight="1">
      <c r="A455" s="44"/>
      <c r="B455" s="44"/>
      <c r="C455" s="44"/>
      <c r="D455" s="44"/>
      <c r="E455" s="44"/>
      <c r="F455" s="44"/>
      <c r="G455" s="44"/>
      <c r="H455" s="44"/>
      <c r="I455" s="330"/>
      <c r="J455" s="261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</row>
    <row r="456" ht="23.25" customHeight="1">
      <c r="A456" s="44"/>
      <c r="B456" s="44"/>
      <c r="C456" s="44"/>
      <c r="D456" s="44"/>
      <c r="E456" s="44"/>
      <c r="F456" s="44"/>
      <c r="G456" s="44"/>
      <c r="H456" s="44"/>
      <c r="I456" s="330"/>
      <c r="J456" s="261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</row>
    <row r="457" ht="23.25" customHeight="1">
      <c r="A457" s="44"/>
      <c r="B457" s="44"/>
      <c r="C457" s="44"/>
      <c r="D457" s="44"/>
      <c r="E457" s="44"/>
      <c r="F457" s="44"/>
      <c r="G457" s="44"/>
      <c r="H457" s="44"/>
      <c r="I457" s="330"/>
      <c r="J457" s="261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</row>
    <row r="458" ht="23.25" customHeight="1">
      <c r="A458" s="44"/>
      <c r="B458" s="44"/>
      <c r="C458" s="44"/>
      <c r="D458" s="44"/>
      <c r="E458" s="44"/>
      <c r="F458" s="44"/>
      <c r="G458" s="44"/>
      <c r="H458" s="44"/>
      <c r="I458" s="330"/>
      <c r="J458" s="261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</row>
    <row r="459" ht="23.25" customHeight="1">
      <c r="A459" s="44"/>
      <c r="B459" s="44"/>
      <c r="C459" s="44"/>
      <c r="D459" s="44"/>
      <c r="E459" s="44"/>
      <c r="F459" s="44"/>
      <c r="G459" s="44"/>
      <c r="H459" s="44"/>
      <c r="I459" s="330"/>
      <c r="J459" s="261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</row>
    <row r="460" ht="23.25" customHeight="1">
      <c r="A460" s="44"/>
      <c r="B460" s="44"/>
      <c r="C460" s="44"/>
      <c r="D460" s="44"/>
      <c r="E460" s="44"/>
      <c r="F460" s="44"/>
      <c r="G460" s="44"/>
      <c r="H460" s="44"/>
      <c r="I460" s="330"/>
      <c r="J460" s="261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</row>
    <row r="461" ht="23.25" customHeight="1">
      <c r="A461" s="44"/>
      <c r="B461" s="44"/>
      <c r="C461" s="44"/>
      <c r="D461" s="44"/>
      <c r="E461" s="44"/>
      <c r="F461" s="44"/>
      <c r="G461" s="44"/>
      <c r="H461" s="44"/>
      <c r="I461" s="330"/>
      <c r="J461" s="261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</row>
    <row r="462" ht="23.25" customHeight="1">
      <c r="A462" s="44"/>
      <c r="B462" s="44"/>
      <c r="C462" s="44"/>
      <c r="D462" s="44"/>
      <c r="E462" s="44"/>
      <c r="F462" s="44"/>
      <c r="G462" s="44"/>
      <c r="H462" s="44"/>
      <c r="I462" s="330"/>
      <c r="J462" s="261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</row>
    <row r="463" ht="23.25" customHeight="1">
      <c r="A463" s="44"/>
      <c r="B463" s="44"/>
      <c r="C463" s="44"/>
      <c r="D463" s="44"/>
      <c r="E463" s="44"/>
      <c r="F463" s="44"/>
      <c r="G463" s="44"/>
      <c r="H463" s="44"/>
      <c r="I463" s="330"/>
      <c r="J463" s="261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</row>
    <row r="464" ht="23.25" customHeight="1">
      <c r="A464" s="44"/>
      <c r="B464" s="44"/>
      <c r="C464" s="44"/>
      <c r="D464" s="44"/>
      <c r="E464" s="44"/>
      <c r="F464" s="44"/>
      <c r="G464" s="44"/>
      <c r="H464" s="44"/>
      <c r="I464" s="330"/>
      <c r="J464" s="261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</row>
    <row r="465" ht="23.25" customHeight="1">
      <c r="A465" s="44"/>
      <c r="B465" s="44"/>
      <c r="C465" s="44"/>
      <c r="D465" s="44"/>
      <c r="E465" s="44"/>
      <c r="F465" s="44"/>
      <c r="G465" s="44"/>
      <c r="H465" s="44"/>
      <c r="I465" s="330"/>
      <c r="J465" s="261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</row>
    <row r="466" ht="23.25" customHeight="1">
      <c r="A466" s="44"/>
      <c r="B466" s="44"/>
      <c r="C466" s="44"/>
      <c r="D466" s="44"/>
      <c r="E466" s="44"/>
      <c r="F466" s="44"/>
      <c r="G466" s="44"/>
      <c r="H466" s="44"/>
      <c r="I466" s="330"/>
      <c r="J466" s="261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</row>
    <row r="467" ht="23.25" customHeight="1">
      <c r="A467" s="44"/>
      <c r="B467" s="44"/>
      <c r="C467" s="44"/>
      <c r="D467" s="44"/>
      <c r="E467" s="44"/>
      <c r="F467" s="44"/>
      <c r="G467" s="44"/>
      <c r="H467" s="44"/>
      <c r="I467" s="330"/>
      <c r="J467" s="261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</row>
    <row r="468" ht="23.25" customHeight="1">
      <c r="A468" s="44"/>
      <c r="B468" s="44"/>
      <c r="C468" s="44"/>
      <c r="D468" s="44"/>
      <c r="E468" s="44"/>
      <c r="F468" s="44"/>
      <c r="G468" s="44"/>
      <c r="H468" s="44"/>
      <c r="I468" s="330"/>
      <c r="J468" s="261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</row>
    <row r="469" ht="23.25" customHeight="1">
      <c r="A469" s="44"/>
      <c r="B469" s="44"/>
      <c r="C469" s="44"/>
      <c r="D469" s="44"/>
      <c r="E469" s="44"/>
      <c r="F469" s="44"/>
      <c r="G469" s="44"/>
      <c r="H469" s="44"/>
      <c r="I469" s="330"/>
      <c r="J469" s="261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</row>
    <row r="470" ht="23.25" customHeight="1">
      <c r="A470" s="44"/>
      <c r="B470" s="44"/>
      <c r="C470" s="44"/>
      <c r="D470" s="44"/>
      <c r="E470" s="44"/>
      <c r="F470" s="44"/>
      <c r="G470" s="44"/>
      <c r="H470" s="44"/>
      <c r="I470" s="330"/>
      <c r="J470" s="261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</row>
    <row r="471" ht="23.25" customHeight="1">
      <c r="A471" s="44"/>
      <c r="B471" s="44"/>
      <c r="C471" s="44"/>
      <c r="D471" s="44"/>
      <c r="E471" s="44"/>
      <c r="F471" s="44"/>
      <c r="G471" s="44"/>
      <c r="H471" s="44"/>
      <c r="I471" s="330"/>
      <c r="J471" s="261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</row>
    <row r="472" ht="23.25" customHeight="1">
      <c r="A472" s="44"/>
      <c r="B472" s="44"/>
      <c r="C472" s="44"/>
      <c r="D472" s="44"/>
      <c r="E472" s="44"/>
      <c r="F472" s="44"/>
      <c r="G472" s="44"/>
      <c r="H472" s="44"/>
      <c r="I472" s="330"/>
      <c r="J472" s="261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</row>
    <row r="473" ht="23.25" customHeight="1">
      <c r="A473" s="44"/>
      <c r="B473" s="44"/>
      <c r="C473" s="44"/>
      <c r="D473" s="44"/>
      <c r="E473" s="44"/>
      <c r="F473" s="44"/>
      <c r="G473" s="44"/>
      <c r="H473" s="44"/>
      <c r="I473" s="330"/>
      <c r="J473" s="261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</row>
    <row r="474" ht="23.25" customHeight="1">
      <c r="A474" s="44"/>
      <c r="B474" s="44"/>
      <c r="C474" s="44"/>
      <c r="D474" s="44"/>
      <c r="E474" s="44"/>
      <c r="F474" s="44"/>
      <c r="G474" s="44"/>
      <c r="H474" s="44"/>
      <c r="I474" s="330"/>
      <c r="J474" s="261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</row>
    <row r="475" ht="23.25" customHeight="1">
      <c r="A475" s="44"/>
      <c r="B475" s="44"/>
      <c r="C475" s="44"/>
      <c r="D475" s="44"/>
      <c r="E475" s="44"/>
      <c r="F475" s="44"/>
      <c r="G475" s="44"/>
      <c r="H475" s="44"/>
      <c r="I475" s="330"/>
      <c r="J475" s="261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</row>
    <row r="476" ht="23.25" customHeight="1">
      <c r="A476" s="44"/>
      <c r="B476" s="44"/>
      <c r="C476" s="44"/>
      <c r="D476" s="44"/>
      <c r="E476" s="44"/>
      <c r="F476" s="44"/>
      <c r="G476" s="44"/>
      <c r="H476" s="44"/>
      <c r="I476" s="330"/>
      <c r="J476" s="261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</row>
    <row r="477" ht="23.25" customHeight="1">
      <c r="A477" s="44"/>
      <c r="B477" s="44"/>
      <c r="C477" s="44"/>
      <c r="D477" s="44"/>
      <c r="E477" s="44"/>
      <c r="F477" s="44"/>
      <c r="G477" s="44"/>
      <c r="H477" s="44"/>
      <c r="I477" s="330"/>
      <c r="J477" s="261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</row>
    <row r="478" ht="23.25" customHeight="1">
      <c r="A478" s="44"/>
      <c r="B478" s="44"/>
      <c r="C478" s="44"/>
      <c r="D478" s="44"/>
      <c r="E478" s="44"/>
      <c r="F478" s="44"/>
      <c r="G478" s="44"/>
      <c r="H478" s="44"/>
      <c r="I478" s="330"/>
      <c r="J478" s="261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</row>
    <row r="479" ht="23.25" customHeight="1">
      <c r="A479" s="44"/>
      <c r="B479" s="44"/>
      <c r="C479" s="44"/>
      <c r="D479" s="44"/>
      <c r="E479" s="44"/>
      <c r="F479" s="44"/>
      <c r="G479" s="44"/>
      <c r="H479" s="44"/>
      <c r="I479" s="330"/>
      <c r="J479" s="261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</row>
    <row r="480" ht="23.25" customHeight="1">
      <c r="A480" s="44"/>
      <c r="B480" s="44"/>
      <c r="C480" s="44"/>
      <c r="D480" s="44"/>
      <c r="E480" s="44"/>
      <c r="F480" s="44"/>
      <c r="G480" s="44"/>
      <c r="H480" s="44"/>
      <c r="I480" s="330"/>
      <c r="J480" s="261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</row>
    <row r="481" ht="23.25" customHeight="1">
      <c r="A481" s="44"/>
      <c r="B481" s="44"/>
      <c r="C481" s="44"/>
      <c r="D481" s="44"/>
      <c r="E481" s="44"/>
      <c r="F481" s="44"/>
      <c r="G481" s="44"/>
      <c r="H481" s="44"/>
      <c r="I481" s="330"/>
      <c r="J481" s="261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</row>
    <row r="482" ht="23.25" customHeight="1">
      <c r="A482" s="44"/>
      <c r="B482" s="44"/>
      <c r="C482" s="44"/>
      <c r="D482" s="44"/>
      <c r="E482" s="44"/>
      <c r="F482" s="44"/>
      <c r="G482" s="44"/>
      <c r="H482" s="44"/>
      <c r="I482" s="330"/>
      <c r="J482" s="261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</row>
    <row r="483" ht="23.25" customHeight="1">
      <c r="A483" s="44"/>
      <c r="B483" s="44"/>
      <c r="C483" s="44"/>
      <c r="D483" s="44"/>
      <c r="E483" s="44"/>
      <c r="F483" s="44"/>
      <c r="G483" s="44"/>
      <c r="H483" s="44"/>
      <c r="I483" s="330"/>
      <c r="J483" s="261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</row>
    <row r="484" ht="23.25" customHeight="1">
      <c r="A484" s="44"/>
      <c r="B484" s="44"/>
      <c r="C484" s="44"/>
      <c r="D484" s="44"/>
      <c r="E484" s="44"/>
      <c r="F484" s="44"/>
      <c r="G484" s="44"/>
      <c r="H484" s="44"/>
      <c r="I484" s="330"/>
      <c r="J484" s="261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</row>
    <row r="485" ht="23.25" customHeight="1">
      <c r="A485" s="44"/>
      <c r="B485" s="44"/>
      <c r="C485" s="44"/>
      <c r="D485" s="44"/>
      <c r="E485" s="44"/>
      <c r="F485" s="44"/>
      <c r="G485" s="44"/>
      <c r="H485" s="44"/>
      <c r="I485" s="330"/>
      <c r="J485" s="261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</row>
    <row r="486" ht="23.25" customHeight="1">
      <c r="A486" s="44"/>
      <c r="B486" s="44"/>
      <c r="C486" s="44"/>
      <c r="D486" s="44"/>
      <c r="E486" s="44"/>
      <c r="F486" s="44"/>
      <c r="G486" s="44"/>
      <c r="H486" s="44"/>
      <c r="I486" s="330"/>
      <c r="J486" s="261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</row>
    <row r="487" ht="23.25" customHeight="1">
      <c r="A487" s="44"/>
      <c r="B487" s="44"/>
      <c r="C487" s="44"/>
      <c r="D487" s="44"/>
      <c r="E487" s="44"/>
      <c r="F487" s="44"/>
      <c r="G487" s="44"/>
      <c r="H487" s="44"/>
      <c r="I487" s="330"/>
      <c r="J487" s="261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</row>
    <row r="488" ht="23.25" customHeight="1">
      <c r="A488" s="44"/>
      <c r="B488" s="44"/>
      <c r="C488" s="44"/>
      <c r="D488" s="44"/>
      <c r="E488" s="44"/>
      <c r="F488" s="44"/>
      <c r="G488" s="44"/>
      <c r="H488" s="44"/>
      <c r="I488" s="330"/>
      <c r="J488" s="261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</row>
    <row r="489" ht="23.25" customHeight="1">
      <c r="A489" s="44"/>
      <c r="B489" s="44"/>
      <c r="C489" s="44"/>
      <c r="D489" s="44"/>
      <c r="E489" s="44"/>
      <c r="F489" s="44"/>
      <c r="G489" s="44"/>
      <c r="H489" s="44"/>
      <c r="I489" s="330"/>
      <c r="J489" s="261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</row>
    <row r="490" ht="23.25" customHeight="1">
      <c r="A490" s="44"/>
      <c r="B490" s="44"/>
      <c r="C490" s="44"/>
      <c r="D490" s="44"/>
      <c r="E490" s="44"/>
      <c r="F490" s="44"/>
      <c r="G490" s="44"/>
      <c r="H490" s="44"/>
      <c r="I490" s="330"/>
      <c r="J490" s="261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</row>
    <row r="491" ht="23.25" customHeight="1">
      <c r="A491" s="44"/>
      <c r="B491" s="44"/>
      <c r="C491" s="44"/>
      <c r="D491" s="44"/>
      <c r="E491" s="44"/>
      <c r="F491" s="44"/>
      <c r="G491" s="44"/>
      <c r="H491" s="44"/>
      <c r="I491" s="330"/>
      <c r="J491" s="261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</row>
    <row r="492" ht="23.25" customHeight="1">
      <c r="A492" s="44"/>
      <c r="B492" s="44"/>
      <c r="C492" s="44"/>
      <c r="D492" s="44"/>
      <c r="E492" s="44"/>
      <c r="F492" s="44"/>
      <c r="G492" s="44"/>
      <c r="H492" s="44"/>
      <c r="I492" s="330"/>
      <c r="J492" s="261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</row>
    <row r="493" ht="23.25" customHeight="1">
      <c r="A493" s="44"/>
      <c r="B493" s="44"/>
      <c r="C493" s="44"/>
      <c r="D493" s="44"/>
      <c r="E493" s="44"/>
      <c r="F493" s="44"/>
      <c r="G493" s="44"/>
      <c r="H493" s="44"/>
      <c r="I493" s="330"/>
      <c r="J493" s="261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</row>
    <row r="494" ht="23.25" customHeight="1">
      <c r="A494" s="44"/>
      <c r="B494" s="44"/>
      <c r="C494" s="44"/>
      <c r="D494" s="44"/>
      <c r="E494" s="44"/>
      <c r="F494" s="44"/>
      <c r="G494" s="44"/>
      <c r="H494" s="44"/>
      <c r="I494" s="330"/>
      <c r="J494" s="261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</row>
    <row r="495" ht="23.25" customHeight="1">
      <c r="A495" s="44"/>
      <c r="B495" s="44"/>
      <c r="C495" s="44"/>
      <c r="D495" s="44"/>
      <c r="E495" s="44"/>
      <c r="F495" s="44"/>
      <c r="G495" s="44"/>
      <c r="H495" s="44"/>
      <c r="I495" s="330"/>
      <c r="J495" s="261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</row>
    <row r="496" ht="23.25" customHeight="1">
      <c r="A496" s="44"/>
      <c r="B496" s="44"/>
      <c r="C496" s="44"/>
      <c r="D496" s="44"/>
      <c r="E496" s="44"/>
      <c r="F496" s="44"/>
      <c r="G496" s="44"/>
      <c r="H496" s="44"/>
      <c r="I496" s="330"/>
      <c r="J496" s="261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</row>
    <row r="497" ht="23.25" customHeight="1">
      <c r="A497" s="44"/>
      <c r="B497" s="44"/>
      <c r="C497" s="44"/>
      <c r="D497" s="44"/>
      <c r="E497" s="44"/>
      <c r="F497" s="44"/>
      <c r="G497" s="44"/>
      <c r="H497" s="44"/>
      <c r="I497" s="330"/>
      <c r="J497" s="261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</row>
    <row r="498" ht="23.25" customHeight="1">
      <c r="A498" s="44"/>
      <c r="B498" s="44"/>
      <c r="C498" s="44"/>
      <c r="D498" s="44"/>
      <c r="E498" s="44"/>
      <c r="F498" s="44"/>
      <c r="G498" s="44"/>
      <c r="H498" s="44"/>
      <c r="I498" s="330"/>
      <c r="J498" s="261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</row>
    <row r="499" ht="23.25" customHeight="1">
      <c r="A499" s="44"/>
      <c r="B499" s="44"/>
      <c r="C499" s="44"/>
      <c r="D499" s="44"/>
      <c r="E499" s="44"/>
      <c r="F499" s="44"/>
      <c r="G499" s="44"/>
      <c r="H499" s="44"/>
      <c r="I499" s="330"/>
      <c r="J499" s="261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</row>
    <row r="500" ht="23.25" customHeight="1">
      <c r="A500" s="44"/>
      <c r="B500" s="44"/>
      <c r="C500" s="44"/>
      <c r="D500" s="44"/>
      <c r="E500" s="44"/>
      <c r="F500" s="44"/>
      <c r="G500" s="44"/>
      <c r="H500" s="44"/>
      <c r="I500" s="330"/>
      <c r="J500" s="261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</row>
    <row r="501" ht="23.25" customHeight="1">
      <c r="A501" s="44"/>
      <c r="B501" s="44"/>
      <c r="C501" s="44"/>
      <c r="D501" s="44"/>
      <c r="E501" s="44"/>
      <c r="F501" s="44"/>
      <c r="G501" s="44"/>
      <c r="H501" s="44"/>
      <c r="I501" s="330"/>
      <c r="J501" s="261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</row>
    <row r="502" ht="23.25" customHeight="1">
      <c r="A502" s="44"/>
      <c r="B502" s="44"/>
      <c r="C502" s="44"/>
      <c r="D502" s="44"/>
      <c r="E502" s="44"/>
      <c r="F502" s="44"/>
      <c r="G502" s="44"/>
      <c r="H502" s="44"/>
      <c r="I502" s="330"/>
      <c r="J502" s="261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</row>
    <row r="503" ht="23.25" customHeight="1">
      <c r="A503" s="44"/>
      <c r="B503" s="44"/>
      <c r="C503" s="44"/>
      <c r="D503" s="44"/>
      <c r="E503" s="44"/>
      <c r="F503" s="44"/>
      <c r="G503" s="44"/>
      <c r="H503" s="44"/>
      <c r="I503" s="330"/>
      <c r="J503" s="261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</row>
    <row r="504" ht="23.25" customHeight="1">
      <c r="A504" s="44"/>
      <c r="B504" s="44"/>
      <c r="C504" s="44"/>
      <c r="D504" s="44"/>
      <c r="E504" s="44"/>
      <c r="F504" s="44"/>
      <c r="G504" s="44"/>
      <c r="H504" s="44"/>
      <c r="I504" s="330"/>
      <c r="J504" s="261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</row>
    <row r="505" ht="23.25" customHeight="1">
      <c r="A505" s="44"/>
      <c r="B505" s="44"/>
      <c r="C505" s="44"/>
      <c r="D505" s="44"/>
      <c r="E505" s="44"/>
      <c r="F505" s="44"/>
      <c r="G505" s="44"/>
      <c r="H505" s="44"/>
      <c r="I505" s="330"/>
      <c r="J505" s="261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</row>
    <row r="506" ht="23.25" customHeight="1">
      <c r="A506" s="44"/>
      <c r="B506" s="44"/>
      <c r="C506" s="44"/>
      <c r="D506" s="44"/>
      <c r="E506" s="44"/>
      <c r="F506" s="44"/>
      <c r="G506" s="44"/>
      <c r="H506" s="44"/>
      <c r="I506" s="330"/>
      <c r="J506" s="261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</row>
    <row r="507" ht="23.25" customHeight="1">
      <c r="A507" s="44"/>
      <c r="B507" s="44"/>
      <c r="C507" s="44"/>
      <c r="D507" s="44"/>
      <c r="E507" s="44"/>
      <c r="F507" s="44"/>
      <c r="G507" s="44"/>
      <c r="H507" s="44"/>
      <c r="I507" s="330"/>
      <c r="J507" s="261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</row>
    <row r="508" ht="23.25" customHeight="1">
      <c r="A508" s="44"/>
      <c r="B508" s="44"/>
      <c r="C508" s="44"/>
      <c r="D508" s="44"/>
      <c r="E508" s="44"/>
      <c r="F508" s="44"/>
      <c r="G508" s="44"/>
      <c r="H508" s="44"/>
      <c r="I508" s="330"/>
      <c r="J508" s="261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</row>
    <row r="509" ht="23.25" customHeight="1">
      <c r="A509" s="44"/>
      <c r="B509" s="44"/>
      <c r="C509" s="44"/>
      <c r="D509" s="44"/>
      <c r="E509" s="44"/>
      <c r="F509" s="44"/>
      <c r="G509" s="44"/>
      <c r="H509" s="44"/>
      <c r="I509" s="330"/>
      <c r="J509" s="261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</row>
    <row r="510" ht="23.25" customHeight="1">
      <c r="A510" s="44"/>
      <c r="B510" s="44"/>
      <c r="C510" s="44"/>
      <c r="D510" s="44"/>
      <c r="E510" s="44"/>
      <c r="F510" s="44"/>
      <c r="G510" s="44"/>
      <c r="H510" s="44"/>
      <c r="I510" s="330"/>
      <c r="J510" s="261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</row>
    <row r="511" ht="23.25" customHeight="1">
      <c r="A511" s="44"/>
      <c r="B511" s="44"/>
      <c r="C511" s="44"/>
      <c r="D511" s="44"/>
      <c r="E511" s="44"/>
      <c r="F511" s="44"/>
      <c r="G511" s="44"/>
      <c r="H511" s="44"/>
      <c r="I511" s="330"/>
      <c r="J511" s="261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</row>
    <row r="512" ht="23.25" customHeight="1">
      <c r="A512" s="44"/>
      <c r="B512" s="44"/>
      <c r="C512" s="44"/>
      <c r="D512" s="44"/>
      <c r="E512" s="44"/>
      <c r="F512" s="44"/>
      <c r="G512" s="44"/>
      <c r="H512" s="44"/>
      <c r="I512" s="330"/>
      <c r="J512" s="261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</row>
    <row r="513" ht="23.25" customHeight="1">
      <c r="A513" s="44"/>
      <c r="B513" s="44"/>
      <c r="C513" s="44"/>
      <c r="D513" s="44"/>
      <c r="E513" s="44"/>
      <c r="F513" s="44"/>
      <c r="G513" s="44"/>
      <c r="H513" s="44"/>
      <c r="I513" s="330"/>
      <c r="J513" s="261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</row>
    <row r="514" ht="23.25" customHeight="1">
      <c r="A514" s="44"/>
      <c r="B514" s="44"/>
      <c r="C514" s="44"/>
      <c r="D514" s="44"/>
      <c r="E514" s="44"/>
      <c r="F514" s="44"/>
      <c r="G514" s="44"/>
      <c r="H514" s="44"/>
      <c r="I514" s="330"/>
      <c r="J514" s="261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</row>
    <row r="515" ht="23.25" customHeight="1">
      <c r="A515" s="44"/>
      <c r="B515" s="44"/>
      <c r="C515" s="44"/>
      <c r="D515" s="44"/>
      <c r="E515" s="44"/>
      <c r="F515" s="44"/>
      <c r="G515" s="44"/>
      <c r="H515" s="44"/>
      <c r="I515" s="330"/>
      <c r="J515" s="261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</row>
    <row r="516" ht="23.25" customHeight="1">
      <c r="A516" s="44"/>
      <c r="B516" s="44"/>
      <c r="C516" s="44"/>
      <c r="D516" s="44"/>
      <c r="E516" s="44"/>
      <c r="F516" s="44"/>
      <c r="G516" s="44"/>
      <c r="H516" s="44"/>
      <c r="I516" s="330"/>
      <c r="J516" s="261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</row>
    <row r="517" ht="23.25" customHeight="1">
      <c r="A517" s="44"/>
      <c r="B517" s="44"/>
      <c r="C517" s="44"/>
      <c r="D517" s="44"/>
      <c r="E517" s="44"/>
      <c r="F517" s="44"/>
      <c r="G517" s="44"/>
      <c r="H517" s="44"/>
      <c r="I517" s="330"/>
      <c r="J517" s="261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</row>
    <row r="518" ht="23.25" customHeight="1">
      <c r="A518" s="44"/>
      <c r="B518" s="44"/>
      <c r="C518" s="44"/>
      <c r="D518" s="44"/>
      <c r="E518" s="44"/>
      <c r="F518" s="44"/>
      <c r="G518" s="44"/>
      <c r="H518" s="44"/>
      <c r="I518" s="330"/>
      <c r="J518" s="261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</row>
    <row r="519" ht="23.25" customHeight="1">
      <c r="A519" s="44"/>
      <c r="B519" s="44"/>
      <c r="C519" s="44"/>
      <c r="D519" s="44"/>
      <c r="E519" s="44"/>
      <c r="F519" s="44"/>
      <c r="G519" s="44"/>
      <c r="H519" s="44"/>
      <c r="I519" s="330"/>
      <c r="J519" s="261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</row>
    <row r="520" ht="23.25" customHeight="1">
      <c r="A520" s="44"/>
      <c r="B520" s="44"/>
      <c r="C520" s="44"/>
      <c r="D520" s="44"/>
      <c r="E520" s="44"/>
      <c r="F520" s="44"/>
      <c r="G520" s="44"/>
      <c r="H520" s="44"/>
      <c r="I520" s="330"/>
      <c r="J520" s="261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</row>
    <row r="521" ht="23.25" customHeight="1">
      <c r="A521" s="44"/>
      <c r="B521" s="44"/>
      <c r="C521" s="44"/>
      <c r="D521" s="44"/>
      <c r="E521" s="44"/>
      <c r="F521" s="44"/>
      <c r="G521" s="44"/>
      <c r="H521" s="44"/>
      <c r="I521" s="330"/>
      <c r="J521" s="261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</row>
    <row r="522" ht="23.25" customHeight="1">
      <c r="A522" s="44"/>
      <c r="B522" s="44"/>
      <c r="C522" s="44"/>
      <c r="D522" s="44"/>
      <c r="E522" s="44"/>
      <c r="F522" s="44"/>
      <c r="G522" s="44"/>
      <c r="H522" s="44"/>
      <c r="I522" s="330"/>
      <c r="J522" s="261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</row>
    <row r="523" ht="23.25" customHeight="1">
      <c r="A523" s="44"/>
      <c r="B523" s="44"/>
      <c r="C523" s="44"/>
      <c r="D523" s="44"/>
      <c r="E523" s="44"/>
      <c r="F523" s="44"/>
      <c r="G523" s="44"/>
      <c r="H523" s="44"/>
      <c r="I523" s="330"/>
      <c r="J523" s="261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</row>
    <row r="524" ht="23.25" customHeight="1">
      <c r="A524" s="44"/>
      <c r="B524" s="44"/>
      <c r="C524" s="44"/>
      <c r="D524" s="44"/>
      <c r="E524" s="44"/>
      <c r="F524" s="44"/>
      <c r="G524" s="44"/>
      <c r="H524" s="44"/>
      <c r="I524" s="330"/>
      <c r="J524" s="261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</row>
    <row r="525" ht="23.25" customHeight="1">
      <c r="A525" s="44"/>
      <c r="B525" s="44"/>
      <c r="C525" s="44"/>
      <c r="D525" s="44"/>
      <c r="E525" s="44"/>
      <c r="F525" s="44"/>
      <c r="G525" s="44"/>
      <c r="H525" s="44"/>
      <c r="I525" s="330"/>
      <c r="J525" s="261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</row>
    <row r="526" ht="23.25" customHeight="1">
      <c r="A526" s="44"/>
      <c r="B526" s="44"/>
      <c r="C526" s="44"/>
      <c r="D526" s="44"/>
      <c r="E526" s="44"/>
      <c r="F526" s="44"/>
      <c r="G526" s="44"/>
      <c r="H526" s="44"/>
      <c r="I526" s="330"/>
      <c r="J526" s="261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</row>
    <row r="527" ht="23.25" customHeight="1">
      <c r="A527" s="44"/>
      <c r="B527" s="44"/>
      <c r="C527" s="44"/>
      <c r="D527" s="44"/>
      <c r="E527" s="44"/>
      <c r="F527" s="44"/>
      <c r="G527" s="44"/>
      <c r="H527" s="44"/>
      <c r="I527" s="330"/>
      <c r="J527" s="261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</row>
    <row r="528" ht="23.25" customHeight="1">
      <c r="A528" s="44"/>
      <c r="B528" s="44"/>
      <c r="C528" s="44"/>
      <c r="D528" s="44"/>
      <c r="E528" s="44"/>
      <c r="F528" s="44"/>
      <c r="G528" s="44"/>
      <c r="H528" s="44"/>
      <c r="I528" s="330"/>
      <c r="J528" s="261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</row>
    <row r="529" ht="23.25" customHeight="1">
      <c r="A529" s="44"/>
      <c r="B529" s="44"/>
      <c r="C529" s="44"/>
      <c r="D529" s="44"/>
      <c r="E529" s="44"/>
      <c r="F529" s="44"/>
      <c r="G529" s="44"/>
      <c r="H529" s="44"/>
      <c r="I529" s="330"/>
      <c r="J529" s="261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</row>
    <row r="530" ht="23.25" customHeight="1">
      <c r="A530" s="44"/>
      <c r="B530" s="44"/>
      <c r="C530" s="44"/>
      <c r="D530" s="44"/>
      <c r="E530" s="44"/>
      <c r="F530" s="44"/>
      <c r="G530" s="44"/>
      <c r="H530" s="44"/>
      <c r="I530" s="330"/>
      <c r="J530" s="261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</row>
    <row r="531" ht="23.25" customHeight="1">
      <c r="A531" s="44"/>
      <c r="B531" s="44"/>
      <c r="C531" s="44"/>
      <c r="D531" s="44"/>
      <c r="E531" s="44"/>
      <c r="F531" s="44"/>
      <c r="G531" s="44"/>
      <c r="H531" s="44"/>
      <c r="I531" s="330"/>
      <c r="J531" s="261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</row>
    <row r="532" ht="23.25" customHeight="1">
      <c r="A532" s="44"/>
      <c r="B532" s="44"/>
      <c r="C532" s="44"/>
      <c r="D532" s="44"/>
      <c r="E532" s="44"/>
      <c r="F532" s="44"/>
      <c r="G532" s="44"/>
      <c r="H532" s="44"/>
      <c r="I532" s="330"/>
      <c r="J532" s="261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</row>
    <row r="533" ht="23.25" customHeight="1">
      <c r="A533" s="44"/>
      <c r="B533" s="44"/>
      <c r="C533" s="44"/>
      <c r="D533" s="44"/>
      <c r="E533" s="44"/>
      <c r="F533" s="44"/>
      <c r="G533" s="44"/>
      <c r="H533" s="44"/>
      <c r="I533" s="330"/>
      <c r="J533" s="261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</row>
    <row r="534" ht="23.25" customHeight="1">
      <c r="A534" s="44"/>
      <c r="B534" s="44"/>
      <c r="C534" s="44"/>
      <c r="D534" s="44"/>
      <c r="E534" s="44"/>
      <c r="F534" s="44"/>
      <c r="G534" s="44"/>
      <c r="H534" s="44"/>
      <c r="I534" s="330"/>
      <c r="J534" s="261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</row>
    <row r="535" ht="23.25" customHeight="1">
      <c r="A535" s="44"/>
      <c r="B535" s="44"/>
      <c r="C535" s="44"/>
      <c r="D535" s="44"/>
      <c r="E535" s="44"/>
      <c r="F535" s="44"/>
      <c r="G535" s="44"/>
      <c r="H535" s="44"/>
      <c r="I535" s="330"/>
      <c r="J535" s="261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</row>
    <row r="536" ht="23.25" customHeight="1">
      <c r="A536" s="44"/>
      <c r="B536" s="44"/>
      <c r="C536" s="44"/>
      <c r="D536" s="44"/>
      <c r="E536" s="44"/>
      <c r="F536" s="44"/>
      <c r="G536" s="44"/>
      <c r="H536" s="44"/>
      <c r="I536" s="330"/>
      <c r="J536" s="261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</row>
    <row r="537" ht="23.25" customHeight="1">
      <c r="A537" s="44"/>
      <c r="B537" s="44"/>
      <c r="C537" s="44"/>
      <c r="D537" s="44"/>
      <c r="E537" s="44"/>
      <c r="F537" s="44"/>
      <c r="G537" s="44"/>
      <c r="H537" s="44"/>
      <c r="I537" s="330"/>
      <c r="J537" s="261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</row>
    <row r="538" ht="23.25" customHeight="1">
      <c r="A538" s="44"/>
      <c r="B538" s="44"/>
      <c r="C538" s="44"/>
      <c r="D538" s="44"/>
      <c r="E538" s="44"/>
      <c r="F538" s="44"/>
      <c r="G538" s="44"/>
      <c r="H538" s="44"/>
      <c r="I538" s="330"/>
      <c r="J538" s="261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</row>
    <row r="539" ht="23.25" customHeight="1">
      <c r="A539" s="44"/>
      <c r="B539" s="44"/>
      <c r="C539" s="44"/>
      <c r="D539" s="44"/>
      <c r="E539" s="44"/>
      <c r="F539" s="44"/>
      <c r="G539" s="44"/>
      <c r="H539" s="44"/>
      <c r="I539" s="330"/>
      <c r="J539" s="261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</row>
    <row r="540" ht="23.25" customHeight="1">
      <c r="A540" s="44"/>
      <c r="B540" s="44"/>
      <c r="C540" s="44"/>
      <c r="D540" s="44"/>
      <c r="E540" s="44"/>
      <c r="F540" s="44"/>
      <c r="G540" s="44"/>
      <c r="H540" s="44"/>
      <c r="I540" s="330"/>
      <c r="J540" s="261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</row>
    <row r="541" ht="23.25" customHeight="1">
      <c r="A541" s="44"/>
      <c r="B541" s="44"/>
      <c r="C541" s="44"/>
      <c r="D541" s="44"/>
      <c r="E541" s="44"/>
      <c r="F541" s="44"/>
      <c r="G541" s="44"/>
      <c r="H541" s="44"/>
      <c r="I541" s="330"/>
      <c r="J541" s="261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</row>
    <row r="542" ht="23.25" customHeight="1">
      <c r="A542" s="44"/>
      <c r="B542" s="44"/>
      <c r="C542" s="44"/>
      <c r="D542" s="44"/>
      <c r="E542" s="44"/>
      <c r="F542" s="44"/>
      <c r="G542" s="44"/>
      <c r="H542" s="44"/>
      <c r="I542" s="330"/>
      <c r="J542" s="261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</row>
    <row r="543" ht="23.25" customHeight="1">
      <c r="A543" s="44"/>
      <c r="B543" s="44"/>
      <c r="C543" s="44"/>
      <c r="D543" s="44"/>
      <c r="E543" s="44"/>
      <c r="F543" s="44"/>
      <c r="G543" s="44"/>
      <c r="H543" s="44"/>
      <c r="I543" s="330"/>
      <c r="J543" s="261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</row>
    <row r="544" ht="23.25" customHeight="1">
      <c r="A544" s="44"/>
      <c r="B544" s="44"/>
      <c r="C544" s="44"/>
      <c r="D544" s="44"/>
      <c r="E544" s="44"/>
      <c r="F544" s="44"/>
      <c r="G544" s="44"/>
      <c r="H544" s="44"/>
      <c r="I544" s="330"/>
      <c r="J544" s="261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</row>
    <row r="545" ht="23.25" customHeight="1">
      <c r="A545" s="44"/>
      <c r="B545" s="44"/>
      <c r="C545" s="44"/>
      <c r="D545" s="44"/>
      <c r="E545" s="44"/>
      <c r="F545" s="44"/>
      <c r="G545" s="44"/>
      <c r="H545" s="44"/>
      <c r="I545" s="330"/>
      <c r="J545" s="261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</row>
    <row r="546" ht="23.25" customHeight="1">
      <c r="A546" s="44"/>
      <c r="B546" s="44"/>
      <c r="C546" s="44"/>
      <c r="D546" s="44"/>
      <c r="E546" s="44"/>
      <c r="F546" s="44"/>
      <c r="G546" s="44"/>
      <c r="H546" s="44"/>
      <c r="I546" s="330"/>
      <c r="J546" s="261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</row>
    <row r="547" ht="23.25" customHeight="1">
      <c r="A547" s="44"/>
      <c r="B547" s="44"/>
      <c r="C547" s="44"/>
      <c r="D547" s="44"/>
      <c r="E547" s="44"/>
      <c r="F547" s="44"/>
      <c r="G547" s="44"/>
      <c r="H547" s="44"/>
      <c r="I547" s="330"/>
      <c r="J547" s="261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</row>
    <row r="548" ht="23.25" customHeight="1">
      <c r="A548" s="44"/>
      <c r="B548" s="44"/>
      <c r="C548" s="44"/>
      <c r="D548" s="44"/>
      <c r="E548" s="44"/>
      <c r="F548" s="44"/>
      <c r="G548" s="44"/>
      <c r="H548" s="44"/>
      <c r="I548" s="330"/>
      <c r="J548" s="261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</row>
    <row r="549" ht="23.25" customHeight="1">
      <c r="A549" s="44"/>
      <c r="B549" s="44"/>
      <c r="C549" s="44"/>
      <c r="D549" s="44"/>
      <c r="E549" s="44"/>
      <c r="F549" s="44"/>
      <c r="G549" s="44"/>
      <c r="H549" s="44"/>
      <c r="I549" s="330"/>
      <c r="J549" s="261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</row>
    <row r="550" ht="23.25" customHeight="1">
      <c r="A550" s="44"/>
      <c r="B550" s="44"/>
      <c r="C550" s="44"/>
      <c r="D550" s="44"/>
      <c r="E550" s="44"/>
      <c r="F550" s="44"/>
      <c r="G550" s="44"/>
      <c r="H550" s="44"/>
      <c r="I550" s="330"/>
      <c r="J550" s="261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</row>
    <row r="551" ht="23.25" customHeight="1">
      <c r="A551" s="44"/>
      <c r="B551" s="44"/>
      <c r="C551" s="44"/>
      <c r="D551" s="44"/>
      <c r="E551" s="44"/>
      <c r="F551" s="44"/>
      <c r="G551" s="44"/>
      <c r="H551" s="44"/>
      <c r="I551" s="330"/>
      <c r="J551" s="261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</row>
    <row r="552" ht="23.25" customHeight="1">
      <c r="A552" s="44"/>
      <c r="B552" s="44"/>
      <c r="C552" s="44"/>
      <c r="D552" s="44"/>
      <c r="E552" s="44"/>
      <c r="F552" s="44"/>
      <c r="G552" s="44"/>
      <c r="H552" s="44"/>
      <c r="I552" s="330"/>
      <c r="J552" s="261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</row>
    <row r="553" ht="23.25" customHeight="1">
      <c r="A553" s="44"/>
      <c r="B553" s="44"/>
      <c r="C553" s="44"/>
      <c r="D553" s="44"/>
      <c r="E553" s="44"/>
      <c r="F553" s="44"/>
      <c r="G553" s="44"/>
      <c r="H553" s="44"/>
      <c r="I553" s="330"/>
      <c r="J553" s="261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</row>
    <row r="554" ht="23.25" customHeight="1">
      <c r="A554" s="44"/>
      <c r="B554" s="44"/>
      <c r="C554" s="44"/>
      <c r="D554" s="44"/>
      <c r="E554" s="44"/>
      <c r="F554" s="44"/>
      <c r="G554" s="44"/>
      <c r="H554" s="44"/>
      <c r="I554" s="330"/>
      <c r="J554" s="261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</row>
    <row r="555" ht="23.25" customHeight="1">
      <c r="A555" s="44"/>
      <c r="B555" s="44"/>
      <c r="C555" s="44"/>
      <c r="D555" s="44"/>
      <c r="E555" s="44"/>
      <c r="F555" s="44"/>
      <c r="G555" s="44"/>
      <c r="H555" s="44"/>
      <c r="I555" s="330"/>
      <c r="J555" s="261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</row>
    <row r="556" ht="23.25" customHeight="1">
      <c r="A556" s="44"/>
      <c r="B556" s="44"/>
      <c r="C556" s="44"/>
      <c r="D556" s="44"/>
      <c r="E556" s="44"/>
      <c r="F556" s="44"/>
      <c r="G556" s="44"/>
      <c r="H556" s="44"/>
      <c r="I556" s="330"/>
      <c r="J556" s="261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</row>
    <row r="557" ht="23.25" customHeight="1">
      <c r="A557" s="44"/>
      <c r="B557" s="44"/>
      <c r="C557" s="44"/>
      <c r="D557" s="44"/>
      <c r="E557" s="44"/>
      <c r="F557" s="44"/>
      <c r="G557" s="44"/>
      <c r="H557" s="44"/>
      <c r="I557" s="330"/>
      <c r="J557" s="261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</row>
    <row r="558" ht="23.25" customHeight="1">
      <c r="A558" s="44"/>
      <c r="B558" s="44"/>
      <c r="C558" s="44"/>
      <c r="D558" s="44"/>
      <c r="E558" s="44"/>
      <c r="F558" s="44"/>
      <c r="G558" s="44"/>
      <c r="H558" s="44"/>
      <c r="I558" s="330"/>
      <c r="J558" s="261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</row>
    <row r="559" ht="23.25" customHeight="1">
      <c r="A559" s="44"/>
      <c r="B559" s="44"/>
      <c r="C559" s="44"/>
      <c r="D559" s="44"/>
      <c r="E559" s="44"/>
      <c r="F559" s="44"/>
      <c r="G559" s="44"/>
      <c r="H559" s="44"/>
      <c r="I559" s="330"/>
      <c r="J559" s="261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</row>
    <row r="560" ht="23.25" customHeight="1">
      <c r="A560" s="44"/>
      <c r="B560" s="44"/>
      <c r="C560" s="44"/>
      <c r="D560" s="44"/>
      <c r="E560" s="44"/>
      <c r="F560" s="44"/>
      <c r="G560" s="44"/>
      <c r="H560" s="44"/>
      <c r="I560" s="330"/>
      <c r="J560" s="261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</row>
    <row r="561" ht="23.25" customHeight="1">
      <c r="A561" s="44"/>
      <c r="B561" s="44"/>
      <c r="C561" s="44"/>
      <c r="D561" s="44"/>
      <c r="E561" s="44"/>
      <c r="F561" s="44"/>
      <c r="G561" s="44"/>
      <c r="H561" s="44"/>
      <c r="I561" s="330"/>
      <c r="J561" s="261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</row>
    <row r="562" ht="23.25" customHeight="1">
      <c r="A562" s="44"/>
      <c r="B562" s="44"/>
      <c r="C562" s="44"/>
      <c r="D562" s="44"/>
      <c r="E562" s="44"/>
      <c r="F562" s="44"/>
      <c r="G562" s="44"/>
      <c r="H562" s="44"/>
      <c r="I562" s="330"/>
      <c r="J562" s="261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</row>
    <row r="563" ht="23.25" customHeight="1">
      <c r="A563" s="44"/>
      <c r="B563" s="44"/>
      <c r="C563" s="44"/>
      <c r="D563" s="44"/>
      <c r="E563" s="44"/>
      <c r="F563" s="44"/>
      <c r="G563" s="44"/>
      <c r="H563" s="44"/>
      <c r="I563" s="330"/>
      <c r="J563" s="261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</row>
    <row r="564" ht="23.25" customHeight="1">
      <c r="A564" s="44"/>
      <c r="B564" s="44"/>
      <c r="C564" s="44"/>
      <c r="D564" s="44"/>
      <c r="E564" s="44"/>
      <c r="F564" s="44"/>
      <c r="G564" s="44"/>
      <c r="H564" s="44"/>
      <c r="I564" s="330"/>
      <c r="J564" s="261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</row>
    <row r="565" ht="23.25" customHeight="1">
      <c r="A565" s="44"/>
      <c r="B565" s="44"/>
      <c r="C565" s="44"/>
      <c r="D565" s="44"/>
      <c r="E565" s="44"/>
      <c r="F565" s="44"/>
      <c r="G565" s="44"/>
      <c r="H565" s="44"/>
      <c r="I565" s="330"/>
      <c r="J565" s="261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</row>
    <row r="566" ht="23.25" customHeight="1">
      <c r="A566" s="44"/>
      <c r="B566" s="44"/>
      <c r="C566" s="44"/>
      <c r="D566" s="44"/>
      <c r="E566" s="44"/>
      <c r="F566" s="44"/>
      <c r="G566" s="44"/>
      <c r="H566" s="44"/>
      <c r="I566" s="330"/>
      <c r="J566" s="261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</row>
    <row r="567" ht="23.25" customHeight="1">
      <c r="A567" s="44"/>
      <c r="B567" s="44"/>
      <c r="C567" s="44"/>
      <c r="D567" s="44"/>
      <c r="E567" s="44"/>
      <c r="F567" s="44"/>
      <c r="G567" s="44"/>
      <c r="H567" s="44"/>
      <c r="I567" s="330"/>
      <c r="J567" s="261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</row>
    <row r="568" ht="23.25" customHeight="1">
      <c r="A568" s="44"/>
      <c r="B568" s="44"/>
      <c r="C568" s="44"/>
      <c r="D568" s="44"/>
      <c r="E568" s="44"/>
      <c r="F568" s="44"/>
      <c r="G568" s="44"/>
      <c r="H568" s="44"/>
      <c r="I568" s="330"/>
      <c r="J568" s="261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</row>
    <row r="569" ht="23.25" customHeight="1">
      <c r="A569" s="44"/>
      <c r="B569" s="44"/>
      <c r="C569" s="44"/>
      <c r="D569" s="44"/>
      <c r="E569" s="44"/>
      <c r="F569" s="44"/>
      <c r="G569" s="44"/>
      <c r="H569" s="44"/>
      <c r="I569" s="330"/>
      <c r="J569" s="261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</row>
    <row r="570" ht="23.25" customHeight="1">
      <c r="A570" s="44"/>
      <c r="B570" s="44"/>
      <c r="C570" s="44"/>
      <c r="D570" s="44"/>
      <c r="E570" s="44"/>
      <c r="F570" s="44"/>
      <c r="G570" s="44"/>
      <c r="H570" s="44"/>
      <c r="I570" s="330"/>
      <c r="J570" s="261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</row>
    <row r="571" ht="23.25" customHeight="1">
      <c r="A571" s="44"/>
      <c r="B571" s="44"/>
      <c r="C571" s="44"/>
      <c r="D571" s="44"/>
      <c r="E571" s="44"/>
      <c r="F571" s="44"/>
      <c r="G571" s="44"/>
      <c r="H571" s="44"/>
      <c r="I571" s="330"/>
      <c r="J571" s="261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</row>
    <row r="572" ht="23.25" customHeight="1">
      <c r="A572" s="44"/>
      <c r="B572" s="44"/>
      <c r="C572" s="44"/>
      <c r="D572" s="44"/>
      <c r="E572" s="44"/>
      <c r="F572" s="44"/>
      <c r="G572" s="44"/>
      <c r="H572" s="44"/>
      <c r="I572" s="330"/>
      <c r="J572" s="261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</row>
    <row r="573" ht="23.25" customHeight="1">
      <c r="A573" s="44"/>
      <c r="B573" s="44"/>
      <c r="C573" s="44"/>
      <c r="D573" s="44"/>
      <c r="E573" s="44"/>
      <c r="F573" s="44"/>
      <c r="G573" s="44"/>
      <c r="H573" s="44"/>
      <c r="I573" s="330"/>
      <c r="J573" s="261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</row>
    <row r="574" ht="23.25" customHeight="1">
      <c r="A574" s="44"/>
      <c r="B574" s="44"/>
      <c r="C574" s="44"/>
      <c r="D574" s="44"/>
      <c r="E574" s="44"/>
      <c r="F574" s="44"/>
      <c r="G574" s="44"/>
      <c r="H574" s="44"/>
      <c r="I574" s="330"/>
      <c r="J574" s="261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</row>
    <row r="575" ht="23.25" customHeight="1">
      <c r="A575" s="44"/>
      <c r="B575" s="44"/>
      <c r="C575" s="44"/>
      <c r="D575" s="44"/>
      <c r="E575" s="44"/>
      <c r="F575" s="44"/>
      <c r="G575" s="44"/>
      <c r="H575" s="44"/>
      <c r="I575" s="330"/>
      <c r="J575" s="261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</row>
    <row r="576" ht="23.25" customHeight="1">
      <c r="A576" s="44"/>
      <c r="B576" s="44"/>
      <c r="C576" s="44"/>
      <c r="D576" s="44"/>
      <c r="E576" s="44"/>
      <c r="F576" s="44"/>
      <c r="G576" s="44"/>
      <c r="H576" s="44"/>
      <c r="I576" s="330"/>
      <c r="J576" s="261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</row>
    <row r="577" ht="23.25" customHeight="1">
      <c r="A577" s="44"/>
      <c r="B577" s="44"/>
      <c r="C577" s="44"/>
      <c r="D577" s="44"/>
      <c r="E577" s="44"/>
      <c r="F577" s="44"/>
      <c r="G577" s="44"/>
      <c r="H577" s="44"/>
      <c r="I577" s="330"/>
      <c r="J577" s="261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</row>
    <row r="578" ht="23.25" customHeight="1">
      <c r="A578" s="44"/>
      <c r="B578" s="44"/>
      <c r="C578" s="44"/>
      <c r="D578" s="44"/>
      <c r="E578" s="44"/>
      <c r="F578" s="44"/>
      <c r="G578" s="44"/>
      <c r="H578" s="44"/>
      <c r="I578" s="330"/>
      <c r="J578" s="261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</row>
    <row r="579" ht="23.25" customHeight="1">
      <c r="A579" s="44"/>
      <c r="B579" s="44"/>
      <c r="C579" s="44"/>
      <c r="D579" s="44"/>
      <c r="E579" s="44"/>
      <c r="F579" s="44"/>
      <c r="G579" s="44"/>
      <c r="H579" s="44"/>
      <c r="I579" s="330"/>
      <c r="J579" s="261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</row>
    <row r="580" ht="23.25" customHeight="1">
      <c r="A580" s="44"/>
      <c r="B580" s="44"/>
      <c r="C580" s="44"/>
      <c r="D580" s="44"/>
      <c r="E580" s="44"/>
      <c r="F580" s="44"/>
      <c r="G580" s="44"/>
      <c r="H580" s="44"/>
      <c r="I580" s="330"/>
      <c r="J580" s="261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</row>
    <row r="581" ht="23.25" customHeight="1">
      <c r="A581" s="44"/>
      <c r="B581" s="44"/>
      <c r="C581" s="44"/>
      <c r="D581" s="44"/>
      <c r="E581" s="44"/>
      <c r="F581" s="44"/>
      <c r="G581" s="44"/>
      <c r="H581" s="44"/>
      <c r="I581" s="330"/>
      <c r="J581" s="261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</row>
    <row r="582" ht="23.25" customHeight="1">
      <c r="A582" s="44"/>
      <c r="B582" s="44"/>
      <c r="C582" s="44"/>
      <c r="D582" s="44"/>
      <c r="E582" s="44"/>
      <c r="F582" s="44"/>
      <c r="G582" s="44"/>
      <c r="H582" s="44"/>
      <c r="I582" s="330"/>
      <c r="J582" s="261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</row>
    <row r="583" ht="23.25" customHeight="1">
      <c r="A583" s="44"/>
      <c r="B583" s="44"/>
      <c r="C583" s="44"/>
      <c r="D583" s="44"/>
      <c r="E583" s="44"/>
      <c r="F583" s="44"/>
      <c r="G583" s="44"/>
      <c r="H583" s="44"/>
      <c r="I583" s="330"/>
      <c r="J583" s="261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</row>
    <row r="584" ht="23.25" customHeight="1">
      <c r="A584" s="44"/>
      <c r="B584" s="44"/>
      <c r="C584" s="44"/>
      <c r="D584" s="44"/>
      <c r="E584" s="44"/>
      <c r="F584" s="44"/>
      <c r="G584" s="44"/>
      <c r="H584" s="44"/>
      <c r="I584" s="330"/>
      <c r="J584" s="261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</row>
    <row r="585" ht="23.25" customHeight="1">
      <c r="A585" s="44"/>
      <c r="B585" s="44"/>
      <c r="C585" s="44"/>
      <c r="D585" s="44"/>
      <c r="E585" s="44"/>
      <c r="F585" s="44"/>
      <c r="G585" s="44"/>
      <c r="H585" s="44"/>
      <c r="I585" s="330"/>
      <c r="J585" s="261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</row>
    <row r="586" ht="23.25" customHeight="1">
      <c r="A586" s="44"/>
      <c r="B586" s="44"/>
      <c r="C586" s="44"/>
      <c r="D586" s="44"/>
      <c r="E586" s="44"/>
      <c r="F586" s="44"/>
      <c r="G586" s="44"/>
      <c r="H586" s="44"/>
      <c r="I586" s="330"/>
      <c r="J586" s="261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</row>
    <row r="587" ht="23.25" customHeight="1">
      <c r="A587" s="44"/>
      <c r="B587" s="44"/>
      <c r="C587" s="44"/>
      <c r="D587" s="44"/>
      <c r="E587" s="44"/>
      <c r="F587" s="44"/>
      <c r="G587" s="44"/>
      <c r="H587" s="44"/>
      <c r="I587" s="330"/>
      <c r="J587" s="261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</row>
    <row r="588" ht="23.25" customHeight="1">
      <c r="A588" s="44"/>
      <c r="B588" s="44"/>
      <c r="C588" s="44"/>
      <c r="D588" s="44"/>
      <c r="E588" s="44"/>
      <c r="F588" s="44"/>
      <c r="G588" s="44"/>
      <c r="H588" s="44"/>
      <c r="I588" s="330"/>
      <c r="J588" s="261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</row>
    <row r="589" ht="23.25" customHeight="1">
      <c r="A589" s="44"/>
      <c r="B589" s="44"/>
      <c r="C589" s="44"/>
      <c r="D589" s="44"/>
      <c r="E589" s="44"/>
      <c r="F589" s="44"/>
      <c r="G589" s="44"/>
      <c r="H589" s="44"/>
      <c r="I589" s="330"/>
      <c r="J589" s="261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</row>
    <row r="590" ht="23.25" customHeight="1">
      <c r="A590" s="44"/>
      <c r="B590" s="44"/>
      <c r="C590" s="44"/>
      <c r="D590" s="44"/>
      <c r="E590" s="44"/>
      <c r="F590" s="44"/>
      <c r="G590" s="44"/>
      <c r="H590" s="44"/>
      <c r="I590" s="330"/>
      <c r="J590" s="261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</row>
    <row r="591" ht="23.25" customHeight="1">
      <c r="A591" s="44"/>
      <c r="B591" s="44"/>
      <c r="C591" s="44"/>
      <c r="D591" s="44"/>
      <c r="E591" s="44"/>
      <c r="F591" s="44"/>
      <c r="G591" s="44"/>
      <c r="H591" s="44"/>
      <c r="I591" s="330"/>
      <c r="J591" s="261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</row>
    <row r="592" ht="23.25" customHeight="1">
      <c r="A592" s="44"/>
      <c r="B592" s="44"/>
      <c r="C592" s="44"/>
      <c r="D592" s="44"/>
      <c r="E592" s="44"/>
      <c r="F592" s="44"/>
      <c r="G592" s="44"/>
      <c r="H592" s="44"/>
      <c r="I592" s="330"/>
      <c r="J592" s="261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</row>
    <row r="593" ht="23.25" customHeight="1">
      <c r="A593" s="44"/>
      <c r="B593" s="44"/>
      <c r="C593" s="44"/>
      <c r="D593" s="44"/>
      <c r="E593" s="44"/>
      <c r="F593" s="44"/>
      <c r="G593" s="44"/>
      <c r="H593" s="44"/>
      <c r="I593" s="330"/>
      <c r="J593" s="261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</row>
    <row r="594" ht="23.25" customHeight="1">
      <c r="A594" s="44"/>
      <c r="B594" s="44"/>
      <c r="C594" s="44"/>
      <c r="D594" s="44"/>
      <c r="E594" s="44"/>
      <c r="F594" s="44"/>
      <c r="G594" s="44"/>
      <c r="H594" s="44"/>
      <c r="I594" s="330"/>
      <c r="J594" s="261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</row>
    <row r="595" ht="23.25" customHeight="1">
      <c r="A595" s="44"/>
      <c r="B595" s="44"/>
      <c r="C595" s="44"/>
      <c r="D595" s="44"/>
      <c r="E595" s="44"/>
      <c r="F595" s="44"/>
      <c r="G595" s="44"/>
      <c r="H595" s="44"/>
      <c r="I595" s="330"/>
      <c r="J595" s="261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</row>
    <row r="596" ht="23.25" customHeight="1">
      <c r="A596" s="44"/>
      <c r="B596" s="44"/>
      <c r="C596" s="44"/>
      <c r="D596" s="44"/>
      <c r="E596" s="44"/>
      <c r="F596" s="44"/>
      <c r="G596" s="44"/>
      <c r="H596" s="44"/>
      <c r="I596" s="330"/>
      <c r="J596" s="261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</row>
    <row r="597" ht="23.25" customHeight="1">
      <c r="A597" s="44"/>
      <c r="B597" s="44"/>
      <c r="C597" s="44"/>
      <c r="D597" s="44"/>
      <c r="E597" s="44"/>
      <c r="F597" s="44"/>
      <c r="G597" s="44"/>
      <c r="H597" s="44"/>
      <c r="I597" s="330"/>
      <c r="J597" s="261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</row>
    <row r="598" ht="23.25" customHeight="1">
      <c r="A598" s="44"/>
      <c r="B598" s="44"/>
      <c r="C598" s="44"/>
      <c r="D598" s="44"/>
      <c r="E598" s="44"/>
      <c r="F598" s="44"/>
      <c r="G598" s="44"/>
      <c r="H598" s="44"/>
      <c r="I598" s="330"/>
      <c r="J598" s="261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</row>
    <row r="599" ht="23.25" customHeight="1">
      <c r="A599" s="44"/>
      <c r="B599" s="44"/>
      <c r="C599" s="44"/>
      <c r="D599" s="44"/>
      <c r="E599" s="44"/>
      <c r="F599" s="44"/>
      <c r="G599" s="44"/>
      <c r="H599" s="44"/>
      <c r="I599" s="330"/>
      <c r="J599" s="261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</row>
    <row r="600" ht="23.25" customHeight="1">
      <c r="A600" s="44"/>
      <c r="B600" s="44"/>
      <c r="C600" s="44"/>
      <c r="D600" s="44"/>
      <c r="E600" s="44"/>
      <c r="F600" s="44"/>
      <c r="G600" s="44"/>
      <c r="H600" s="44"/>
      <c r="I600" s="330"/>
      <c r="J600" s="261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</row>
    <row r="601" ht="23.25" customHeight="1">
      <c r="A601" s="44"/>
      <c r="B601" s="44"/>
      <c r="C601" s="44"/>
      <c r="D601" s="44"/>
      <c r="E601" s="44"/>
      <c r="F601" s="44"/>
      <c r="G601" s="44"/>
      <c r="H601" s="44"/>
      <c r="I601" s="330"/>
      <c r="J601" s="261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</row>
    <row r="602" ht="23.25" customHeight="1">
      <c r="A602" s="44"/>
      <c r="B602" s="44"/>
      <c r="C602" s="44"/>
      <c r="D602" s="44"/>
      <c r="E602" s="44"/>
      <c r="F602" s="44"/>
      <c r="G602" s="44"/>
      <c r="H602" s="44"/>
      <c r="I602" s="330"/>
      <c r="J602" s="261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</row>
    <row r="603" ht="23.25" customHeight="1">
      <c r="A603" s="44"/>
      <c r="B603" s="44"/>
      <c r="C603" s="44"/>
      <c r="D603" s="44"/>
      <c r="E603" s="44"/>
      <c r="F603" s="44"/>
      <c r="G603" s="44"/>
      <c r="H603" s="44"/>
      <c r="I603" s="330"/>
      <c r="J603" s="261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</row>
    <row r="604" ht="23.25" customHeight="1">
      <c r="A604" s="44"/>
      <c r="B604" s="44"/>
      <c r="C604" s="44"/>
      <c r="D604" s="44"/>
      <c r="E604" s="44"/>
      <c r="F604" s="44"/>
      <c r="G604" s="44"/>
      <c r="H604" s="44"/>
      <c r="I604" s="330"/>
      <c r="J604" s="261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</row>
    <row r="605" ht="23.25" customHeight="1">
      <c r="A605" s="44"/>
      <c r="B605" s="44"/>
      <c r="C605" s="44"/>
      <c r="D605" s="44"/>
      <c r="E605" s="44"/>
      <c r="F605" s="44"/>
      <c r="G605" s="44"/>
      <c r="H605" s="44"/>
      <c r="I605" s="330"/>
      <c r="J605" s="261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</row>
    <row r="606" ht="23.25" customHeight="1">
      <c r="A606" s="44"/>
      <c r="B606" s="44"/>
      <c r="C606" s="44"/>
      <c r="D606" s="44"/>
      <c r="E606" s="44"/>
      <c r="F606" s="44"/>
      <c r="G606" s="44"/>
      <c r="H606" s="44"/>
      <c r="I606" s="330"/>
      <c r="J606" s="261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</row>
    <row r="607" ht="23.25" customHeight="1">
      <c r="A607" s="44"/>
      <c r="B607" s="44"/>
      <c r="C607" s="44"/>
      <c r="D607" s="44"/>
      <c r="E607" s="44"/>
      <c r="F607" s="44"/>
      <c r="G607" s="44"/>
      <c r="H607" s="44"/>
      <c r="I607" s="330"/>
      <c r="J607" s="261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</row>
    <row r="608" ht="23.25" customHeight="1">
      <c r="A608" s="44"/>
      <c r="B608" s="44"/>
      <c r="C608" s="44"/>
      <c r="D608" s="44"/>
      <c r="E608" s="44"/>
      <c r="F608" s="44"/>
      <c r="G608" s="44"/>
      <c r="H608" s="44"/>
      <c r="I608" s="330"/>
      <c r="J608" s="261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</row>
    <row r="609" ht="23.25" customHeight="1">
      <c r="A609" s="44"/>
      <c r="B609" s="44"/>
      <c r="C609" s="44"/>
      <c r="D609" s="44"/>
      <c r="E609" s="44"/>
      <c r="F609" s="44"/>
      <c r="G609" s="44"/>
      <c r="H609" s="44"/>
      <c r="I609" s="330"/>
      <c r="J609" s="261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</row>
    <row r="610" ht="23.25" customHeight="1">
      <c r="A610" s="44"/>
      <c r="B610" s="44"/>
      <c r="C610" s="44"/>
      <c r="D610" s="44"/>
      <c r="E610" s="44"/>
      <c r="F610" s="44"/>
      <c r="G610" s="44"/>
      <c r="H610" s="44"/>
      <c r="I610" s="330"/>
      <c r="J610" s="261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</row>
    <row r="611" ht="23.25" customHeight="1">
      <c r="A611" s="44"/>
      <c r="B611" s="44"/>
      <c r="C611" s="44"/>
      <c r="D611" s="44"/>
      <c r="E611" s="44"/>
      <c r="F611" s="44"/>
      <c r="G611" s="44"/>
      <c r="H611" s="44"/>
      <c r="I611" s="330"/>
      <c r="J611" s="261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</row>
    <row r="612" ht="23.25" customHeight="1">
      <c r="A612" s="44"/>
      <c r="B612" s="44"/>
      <c r="C612" s="44"/>
      <c r="D612" s="44"/>
      <c r="E612" s="44"/>
      <c r="F612" s="44"/>
      <c r="G612" s="44"/>
      <c r="H612" s="44"/>
      <c r="I612" s="330"/>
      <c r="J612" s="261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</row>
    <row r="613" ht="23.25" customHeight="1">
      <c r="A613" s="44"/>
      <c r="B613" s="44"/>
      <c r="C613" s="44"/>
      <c r="D613" s="44"/>
      <c r="E613" s="44"/>
      <c r="F613" s="44"/>
      <c r="G613" s="44"/>
      <c r="H613" s="44"/>
      <c r="I613" s="330"/>
      <c r="J613" s="261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</row>
    <row r="614" ht="23.25" customHeight="1">
      <c r="A614" s="44"/>
      <c r="B614" s="44"/>
      <c r="C614" s="44"/>
      <c r="D614" s="44"/>
      <c r="E614" s="44"/>
      <c r="F614" s="44"/>
      <c r="G614" s="44"/>
      <c r="H614" s="44"/>
      <c r="I614" s="330"/>
      <c r="J614" s="261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</row>
    <row r="615" ht="23.25" customHeight="1">
      <c r="A615" s="44"/>
      <c r="B615" s="44"/>
      <c r="C615" s="44"/>
      <c r="D615" s="44"/>
      <c r="E615" s="44"/>
      <c r="F615" s="44"/>
      <c r="G615" s="44"/>
      <c r="H615" s="44"/>
      <c r="I615" s="330"/>
      <c r="J615" s="261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</row>
    <row r="616" ht="23.25" customHeight="1">
      <c r="A616" s="44"/>
      <c r="B616" s="44"/>
      <c r="C616" s="44"/>
      <c r="D616" s="44"/>
      <c r="E616" s="44"/>
      <c r="F616" s="44"/>
      <c r="G616" s="44"/>
      <c r="H616" s="44"/>
      <c r="I616" s="330"/>
      <c r="J616" s="261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</row>
    <row r="617" ht="23.25" customHeight="1">
      <c r="A617" s="44"/>
      <c r="B617" s="44"/>
      <c r="C617" s="44"/>
      <c r="D617" s="44"/>
      <c r="E617" s="44"/>
      <c r="F617" s="44"/>
      <c r="G617" s="44"/>
      <c r="H617" s="44"/>
      <c r="I617" s="330"/>
      <c r="J617" s="261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</row>
    <row r="618" ht="23.25" customHeight="1">
      <c r="A618" s="44"/>
      <c r="B618" s="44"/>
      <c r="C618" s="44"/>
      <c r="D618" s="44"/>
      <c r="E618" s="44"/>
      <c r="F618" s="44"/>
      <c r="G618" s="44"/>
      <c r="H618" s="44"/>
      <c r="I618" s="330"/>
      <c r="J618" s="261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</row>
    <row r="619" ht="23.25" customHeight="1">
      <c r="A619" s="44"/>
      <c r="B619" s="44"/>
      <c r="C619" s="44"/>
      <c r="D619" s="44"/>
      <c r="E619" s="44"/>
      <c r="F619" s="44"/>
      <c r="G619" s="44"/>
      <c r="H619" s="44"/>
      <c r="I619" s="330"/>
      <c r="J619" s="261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</row>
    <row r="620" ht="23.25" customHeight="1">
      <c r="A620" s="44"/>
      <c r="B620" s="44"/>
      <c r="C620" s="44"/>
      <c r="D620" s="44"/>
      <c r="E620" s="44"/>
      <c r="F620" s="44"/>
      <c r="G620" s="44"/>
      <c r="H620" s="44"/>
      <c r="I620" s="330"/>
      <c r="J620" s="261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</row>
    <row r="621" ht="23.25" customHeight="1">
      <c r="A621" s="44"/>
      <c r="B621" s="44"/>
      <c r="C621" s="44"/>
      <c r="D621" s="44"/>
      <c r="E621" s="44"/>
      <c r="F621" s="44"/>
      <c r="G621" s="44"/>
      <c r="H621" s="44"/>
      <c r="I621" s="330"/>
      <c r="J621" s="261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</row>
    <row r="622" ht="23.25" customHeight="1">
      <c r="A622" s="44"/>
      <c r="B622" s="44"/>
      <c r="C622" s="44"/>
      <c r="D622" s="44"/>
      <c r="E622" s="44"/>
      <c r="F622" s="44"/>
      <c r="G622" s="44"/>
      <c r="H622" s="44"/>
      <c r="I622" s="330"/>
      <c r="J622" s="261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</row>
    <row r="623" ht="23.25" customHeight="1">
      <c r="A623" s="44"/>
      <c r="B623" s="44"/>
      <c r="C623" s="44"/>
      <c r="D623" s="44"/>
      <c r="E623" s="44"/>
      <c r="F623" s="44"/>
      <c r="G623" s="44"/>
      <c r="H623" s="44"/>
      <c r="I623" s="330"/>
      <c r="J623" s="261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</row>
    <row r="624" ht="23.25" customHeight="1">
      <c r="A624" s="44"/>
      <c r="B624" s="44"/>
      <c r="C624" s="44"/>
      <c r="D624" s="44"/>
      <c r="E624" s="44"/>
      <c r="F624" s="44"/>
      <c r="G624" s="44"/>
      <c r="H624" s="44"/>
      <c r="I624" s="330"/>
      <c r="J624" s="261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</row>
    <row r="625" ht="23.25" customHeight="1">
      <c r="A625" s="44"/>
      <c r="B625" s="44"/>
      <c r="C625" s="44"/>
      <c r="D625" s="44"/>
      <c r="E625" s="44"/>
      <c r="F625" s="44"/>
      <c r="G625" s="44"/>
      <c r="H625" s="44"/>
      <c r="I625" s="330"/>
      <c r="J625" s="261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</row>
    <row r="626" ht="23.25" customHeight="1">
      <c r="A626" s="44"/>
      <c r="B626" s="44"/>
      <c r="C626" s="44"/>
      <c r="D626" s="44"/>
      <c r="E626" s="44"/>
      <c r="F626" s="44"/>
      <c r="G626" s="44"/>
      <c r="H626" s="44"/>
      <c r="I626" s="330"/>
      <c r="J626" s="261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</row>
    <row r="627" ht="23.25" customHeight="1">
      <c r="A627" s="44"/>
      <c r="B627" s="44"/>
      <c r="C627" s="44"/>
      <c r="D627" s="44"/>
      <c r="E627" s="44"/>
      <c r="F627" s="44"/>
      <c r="G627" s="44"/>
      <c r="H627" s="44"/>
      <c r="I627" s="330"/>
      <c r="J627" s="261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</row>
    <row r="628" ht="23.25" customHeight="1">
      <c r="A628" s="44"/>
      <c r="B628" s="44"/>
      <c r="C628" s="44"/>
      <c r="D628" s="44"/>
      <c r="E628" s="44"/>
      <c r="F628" s="44"/>
      <c r="G628" s="44"/>
      <c r="H628" s="44"/>
      <c r="I628" s="330"/>
      <c r="J628" s="261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</row>
    <row r="629" ht="23.25" customHeight="1">
      <c r="A629" s="44"/>
      <c r="B629" s="44"/>
      <c r="C629" s="44"/>
      <c r="D629" s="44"/>
      <c r="E629" s="44"/>
      <c r="F629" s="44"/>
      <c r="G629" s="44"/>
      <c r="H629" s="44"/>
      <c r="I629" s="330"/>
      <c r="J629" s="261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</row>
    <row r="630" ht="23.25" customHeight="1">
      <c r="A630" s="44"/>
      <c r="B630" s="44"/>
      <c r="C630" s="44"/>
      <c r="D630" s="44"/>
      <c r="E630" s="44"/>
      <c r="F630" s="44"/>
      <c r="G630" s="44"/>
      <c r="H630" s="44"/>
      <c r="I630" s="330"/>
      <c r="J630" s="261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</row>
    <row r="631" ht="23.25" customHeight="1">
      <c r="A631" s="44"/>
      <c r="B631" s="44"/>
      <c r="C631" s="44"/>
      <c r="D631" s="44"/>
      <c r="E631" s="44"/>
      <c r="F631" s="44"/>
      <c r="G631" s="44"/>
      <c r="H631" s="44"/>
      <c r="I631" s="330"/>
      <c r="J631" s="261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</row>
    <row r="632" ht="23.25" customHeight="1">
      <c r="A632" s="44"/>
      <c r="B632" s="44"/>
      <c r="C632" s="44"/>
      <c r="D632" s="44"/>
      <c r="E632" s="44"/>
      <c r="F632" s="44"/>
      <c r="G632" s="44"/>
      <c r="H632" s="44"/>
      <c r="I632" s="330"/>
      <c r="J632" s="261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</row>
    <row r="633" ht="23.25" customHeight="1">
      <c r="A633" s="44"/>
      <c r="B633" s="44"/>
      <c r="C633" s="44"/>
      <c r="D633" s="44"/>
      <c r="E633" s="44"/>
      <c r="F633" s="44"/>
      <c r="G633" s="44"/>
      <c r="H633" s="44"/>
      <c r="I633" s="330"/>
      <c r="J633" s="261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</row>
    <row r="634" ht="23.25" customHeight="1">
      <c r="A634" s="44"/>
      <c r="B634" s="44"/>
      <c r="C634" s="44"/>
      <c r="D634" s="44"/>
      <c r="E634" s="44"/>
      <c r="F634" s="44"/>
      <c r="G634" s="44"/>
      <c r="H634" s="44"/>
      <c r="I634" s="330"/>
      <c r="J634" s="261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</row>
    <row r="635" ht="23.25" customHeight="1">
      <c r="A635" s="44"/>
      <c r="B635" s="44"/>
      <c r="C635" s="44"/>
      <c r="D635" s="44"/>
      <c r="E635" s="44"/>
      <c r="F635" s="44"/>
      <c r="G635" s="44"/>
      <c r="H635" s="44"/>
      <c r="I635" s="330"/>
      <c r="J635" s="261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</row>
    <row r="636" ht="23.25" customHeight="1">
      <c r="A636" s="44"/>
      <c r="B636" s="44"/>
      <c r="C636" s="44"/>
      <c r="D636" s="44"/>
      <c r="E636" s="44"/>
      <c r="F636" s="44"/>
      <c r="G636" s="44"/>
      <c r="H636" s="44"/>
      <c r="I636" s="330"/>
      <c r="J636" s="261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</row>
    <row r="637" ht="23.25" customHeight="1">
      <c r="A637" s="44"/>
      <c r="B637" s="44"/>
      <c r="C637" s="44"/>
      <c r="D637" s="44"/>
      <c r="E637" s="44"/>
      <c r="F637" s="44"/>
      <c r="G637" s="44"/>
      <c r="H637" s="44"/>
      <c r="I637" s="330"/>
      <c r="J637" s="261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</row>
    <row r="638" ht="23.25" customHeight="1">
      <c r="A638" s="44"/>
      <c r="B638" s="44"/>
      <c r="C638" s="44"/>
      <c r="D638" s="44"/>
      <c r="E638" s="44"/>
      <c r="F638" s="44"/>
      <c r="G638" s="44"/>
      <c r="H638" s="44"/>
      <c r="I638" s="330"/>
      <c r="J638" s="261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</row>
    <row r="639" ht="23.25" customHeight="1">
      <c r="A639" s="44"/>
      <c r="B639" s="44"/>
      <c r="C639" s="44"/>
      <c r="D639" s="44"/>
      <c r="E639" s="44"/>
      <c r="F639" s="44"/>
      <c r="G639" s="44"/>
      <c r="H639" s="44"/>
      <c r="I639" s="330"/>
      <c r="J639" s="261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</row>
    <row r="640" ht="23.25" customHeight="1">
      <c r="A640" s="44"/>
      <c r="B640" s="44"/>
      <c r="C640" s="44"/>
      <c r="D640" s="44"/>
      <c r="E640" s="44"/>
      <c r="F640" s="44"/>
      <c r="G640" s="44"/>
      <c r="H640" s="44"/>
      <c r="I640" s="330"/>
      <c r="J640" s="261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</row>
    <row r="641" ht="23.25" customHeight="1">
      <c r="A641" s="44"/>
      <c r="B641" s="44"/>
      <c r="C641" s="44"/>
      <c r="D641" s="44"/>
      <c r="E641" s="44"/>
      <c r="F641" s="44"/>
      <c r="G641" s="44"/>
      <c r="H641" s="44"/>
      <c r="I641" s="330"/>
      <c r="J641" s="261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</row>
    <row r="642" ht="23.25" customHeight="1">
      <c r="A642" s="44"/>
      <c r="B642" s="44"/>
      <c r="C642" s="44"/>
      <c r="D642" s="44"/>
      <c r="E642" s="44"/>
      <c r="F642" s="44"/>
      <c r="G642" s="44"/>
      <c r="H642" s="44"/>
      <c r="I642" s="330"/>
      <c r="J642" s="261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</row>
    <row r="643" ht="23.25" customHeight="1">
      <c r="A643" s="44"/>
      <c r="B643" s="44"/>
      <c r="C643" s="44"/>
      <c r="D643" s="44"/>
      <c r="E643" s="44"/>
      <c r="F643" s="44"/>
      <c r="G643" s="44"/>
      <c r="H643" s="44"/>
      <c r="I643" s="330"/>
      <c r="J643" s="261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</row>
    <row r="644" ht="23.25" customHeight="1">
      <c r="A644" s="44"/>
      <c r="B644" s="44"/>
      <c r="C644" s="44"/>
      <c r="D644" s="44"/>
      <c r="E644" s="44"/>
      <c r="F644" s="44"/>
      <c r="G644" s="44"/>
      <c r="H644" s="44"/>
      <c r="I644" s="330"/>
      <c r="J644" s="261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</row>
    <row r="645" ht="23.25" customHeight="1">
      <c r="A645" s="44"/>
      <c r="B645" s="44"/>
      <c r="C645" s="44"/>
      <c r="D645" s="44"/>
      <c r="E645" s="44"/>
      <c r="F645" s="44"/>
      <c r="G645" s="44"/>
      <c r="H645" s="44"/>
      <c r="I645" s="330"/>
      <c r="J645" s="261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</row>
    <row r="646" ht="23.25" customHeight="1">
      <c r="A646" s="44"/>
      <c r="B646" s="44"/>
      <c r="C646" s="44"/>
      <c r="D646" s="44"/>
      <c r="E646" s="44"/>
      <c r="F646" s="44"/>
      <c r="G646" s="44"/>
      <c r="H646" s="44"/>
      <c r="I646" s="330"/>
      <c r="J646" s="261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</row>
    <row r="647" ht="23.25" customHeight="1">
      <c r="A647" s="44"/>
      <c r="B647" s="44"/>
      <c r="C647" s="44"/>
      <c r="D647" s="44"/>
      <c r="E647" s="44"/>
      <c r="F647" s="44"/>
      <c r="G647" s="44"/>
      <c r="H647" s="44"/>
      <c r="I647" s="330"/>
      <c r="J647" s="261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</row>
    <row r="648" ht="23.25" customHeight="1">
      <c r="A648" s="44"/>
      <c r="B648" s="44"/>
      <c r="C648" s="44"/>
      <c r="D648" s="44"/>
      <c r="E648" s="44"/>
      <c r="F648" s="44"/>
      <c r="G648" s="44"/>
      <c r="H648" s="44"/>
      <c r="I648" s="330"/>
      <c r="J648" s="261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</row>
    <row r="649" ht="23.25" customHeight="1">
      <c r="A649" s="44"/>
      <c r="B649" s="44"/>
      <c r="C649" s="44"/>
      <c r="D649" s="44"/>
      <c r="E649" s="44"/>
      <c r="F649" s="44"/>
      <c r="G649" s="44"/>
      <c r="H649" s="44"/>
      <c r="I649" s="330"/>
      <c r="J649" s="261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</row>
    <row r="650" ht="23.25" customHeight="1">
      <c r="A650" s="44"/>
      <c r="B650" s="44"/>
      <c r="C650" s="44"/>
      <c r="D650" s="44"/>
      <c r="E650" s="44"/>
      <c r="F650" s="44"/>
      <c r="G650" s="44"/>
      <c r="H650" s="44"/>
      <c r="I650" s="330"/>
      <c r="J650" s="261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</row>
    <row r="651" ht="23.25" customHeight="1">
      <c r="A651" s="44"/>
      <c r="B651" s="44"/>
      <c r="C651" s="44"/>
      <c r="D651" s="44"/>
      <c r="E651" s="44"/>
      <c r="F651" s="44"/>
      <c r="G651" s="44"/>
      <c r="H651" s="44"/>
      <c r="I651" s="330"/>
      <c r="J651" s="261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</row>
    <row r="652" ht="23.25" customHeight="1">
      <c r="A652" s="44"/>
      <c r="B652" s="44"/>
      <c r="C652" s="44"/>
      <c r="D652" s="44"/>
      <c r="E652" s="44"/>
      <c r="F652" s="44"/>
      <c r="G652" s="44"/>
      <c r="H652" s="44"/>
      <c r="I652" s="330"/>
      <c r="J652" s="261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</row>
    <row r="653" ht="23.25" customHeight="1">
      <c r="A653" s="44"/>
      <c r="B653" s="44"/>
      <c r="C653" s="44"/>
      <c r="D653" s="44"/>
      <c r="E653" s="44"/>
      <c r="F653" s="44"/>
      <c r="G653" s="44"/>
      <c r="H653" s="44"/>
      <c r="I653" s="330"/>
      <c r="J653" s="261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</row>
    <row r="654" ht="23.25" customHeight="1">
      <c r="A654" s="44"/>
      <c r="B654" s="44"/>
      <c r="C654" s="44"/>
      <c r="D654" s="44"/>
      <c r="E654" s="44"/>
      <c r="F654" s="44"/>
      <c r="G654" s="44"/>
      <c r="H654" s="44"/>
      <c r="I654" s="330"/>
      <c r="J654" s="261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</row>
    <row r="655" ht="23.25" customHeight="1">
      <c r="A655" s="44"/>
      <c r="B655" s="44"/>
      <c r="C655" s="44"/>
      <c r="D655" s="44"/>
      <c r="E655" s="44"/>
      <c r="F655" s="44"/>
      <c r="G655" s="44"/>
      <c r="H655" s="44"/>
      <c r="I655" s="330"/>
      <c r="J655" s="261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</row>
    <row r="656" ht="23.25" customHeight="1">
      <c r="A656" s="44"/>
      <c r="B656" s="44"/>
      <c r="C656" s="44"/>
      <c r="D656" s="44"/>
      <c r="E656" s="44"/>
      <c r="F656" s="44"/>
      <c r="G656" s="44"/>
      <c r="H656" s="44"/>
      <c r="I656" s="330"/>
      <c r="J656" s="261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</row>
    <row r="657" ht="23.25" customHeight="1">
      <c r="A657" s="44"/>
      <c r="B657" s="44"/>
      <c r="C657" s="44"/>
      <c r="D657" s="44"/>
      <c r="E657" s="44"/>
      <c r="F657" s="44"/>
      <c r="G657" s="44"/>
      <c r="H657" s="44"/>
      <c r="I657" s="330"/>
      <c r="J657" s="261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</row>
    <row r="658" ht="23.25" customHeight="1">
      <c r="A658" s="44"/>
      <c r="B658" s="44"/>
      <c r="C658" s="44"/>
      <c r="D658" s="44"/>
      <c r="E658" s="44"/>
      <c r="F658" s="44"/>
      <c r="G658" s="44"/>
      <c r="H658" s="44"/>
      <c r="I658" s="330"/>
      <c r="J658" s="261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</row>
    <row r="659" ht="23.25" customHeight="1">
      <c r="A659" s="44"/>
      <c r="B659" s="44"/>
      <c r="C659" s="44"/>
      <c r="D659" s="44"/>
      <c r="E659" s="44"/>
      <c r="F659" s="44"/>
      <c r="G659" s="44"/>
      <c r="H659" s="44"/>
      <c r="I659" s="330"/>
      <c r="J659" s="261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</row>
    <row r="660" ht="23.25" customHeight="1">
      <c r="A660" s="44"/>
      <c r="B660" s="44"/>
      <c r="C660" s="44"/>
      <c r="D660" s="44"/>
      <c r="E660" s="44"/>
      <c r="F660" s="44"/>
      <c r="G660" s="44"/>
      <c r="H660" s="44"/>
      <c r="I660" s="330"/>
      <c r="J660" s="261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</row>
    <row r="661" ht="23.25" customHeight="1">
      <c r="A661" s="44"/>
      <c r="B661" s="44"/>
      <c r="C661" s="44"/>
      <c r="D661" s="44"/>
      <c r="E661" s="44"/>
      <c r="F661" s="44"/>
      <c r="G661" s="44"/>
      <c r="H661" s="44"/>
      <c r="I661" s="330"/>
      <c r="J661" s="261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</row>
    <row r="662" ht="23.25" customHeight="1">
      <c r="A662" s="44"/>
      <c r="B662" s="44"/>
      <c r="C662" s="44"/>
      <c r="D662" s="44"/>
      <c r="E662" s="44"/>
      <c r="F662" s="44"/>
      <c r="G662" s="44"/>
      <c r="H662" s="44"/>
      <c r="I662" s="330"/>
      <c r="J662" s="261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</row>
    <row r="663" ht="23.25" customHeight="1">
      <c r="A663" s="44"/>
      <c r="B663" s="44"/>
      <c r="C663" s="44"/>
      <c r="D663" s="44"/>
      <c r="E663" s="44"/>
      <c r="F663" s="44"/>
      <c r="G663" s="44"/>
      <c r="H663" s="44"/>
      <c r="I663" s="330"/>
      <c r="J663" s="261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</row>
    <row r="664" ht="23.25" customHeight="1">
      <c r="A664" s="44"/>
      <c r="B664" s="44"/>
      <c r="C664" s="44"/>
      <c r="D664" s="44"/>
      <c r="E664" s="44"/>
      <c r="F664" s="44"/>
      <c r="G664" s="44"/>
      <c r="H664" s="44"/>
      <c r="I664" s="330"/>
      <c r="J664" s="261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</row>
    <row r="665" ht="23.25" customHeight="1">
      <c r="A665" s="44"/>
      <c r="B665" s="44"/>
      <c r="C665" s="44"/>
      <c r="D665" s="44"/>
      <c r="E665" s="44"/>
      <c r="F665" s="44"/>
      <c r="G665" s="44"/>
      <c r="H665" s="44"/>
      <c r="I665" s="330"/>
      <c r="J665" s="261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</row>
    <row r="666" ht="23.25" customHeight="1">
      <c r="A666" s="44"/>
      <c r="B666" s="44"/>
      <c r="C666" s="44"/>
      <c r="D666" s="44"/>
      <c r="E666" s="44"/>
      <c r="F666" s="44"/>
      <c r="G666" s="44"/>
      <c r="H666" s="44"/>
      <c r="I666" s="330"/>
      <c r="J666" s="261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</row>
    <row r="667" ht="23.25" customHeight="1">
      <c r="A667" s="44"/>
      <c r="B667" s="44"/>
      <c r="C667" s="44"/>
      <c r="D667" s="44"/>
      <c r="E667" s="44"/>
      <c r="F667" s="44"/>
      <c r="G667" s="44"/>
      <c r="H667" s="44"/>
      <c r="I667" s="330"/>
      <c r="J667" s="261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</row>
    <row r="668" ht="23.25" customHeight="1">
      <c r="A668" s="44"/>
      <c r="B668" s="44"/>
      <c r="C668" s="44"/>
      <c r="D668" s="44"/>
      <c r="E668" s="44"/>
      <c r="F668" s="44"/>
      <c r="G668" s="44"/>
      <c r="H668" s="44"/>
      <c r="I668" s="330"/>
      <c r="J668" s="261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</row>
    <row r="669" ht="23.25" customHeight="1">
      <c r="A669" s="44"/>
      <c r="B669" s="44"/>
      <c r="C669" s="44"/>
      <c r="D669" s="44"/>
      <c r="E669" s="44"/>
      <c r="F669" s="44"/>
      <c r="G669" s="44"/>
      <c r="H669" s="44"/>
      <c r="I669" s="330"/>
      <c r="J669" s="261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</row>
    <row r="670" ht="23.25" customHeight="1">
      <c r="A670" s="44"/>
      <c r="B670" s="44"/>
      <c r="C670" s="44"/>
      <c r="D670" s="44"/>
      <c r="E670" s="44"/>
      <c r="F670" s="44"/>
      <c r="G670" s="44"/>
      <c r="H670" s="44"/>
      <c r="I670" s="330"/>
      <c r="J670" s="261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</row>
    <row r="671" ht="23.25" customHeight="1">
      <c r="A671" s="44"/>
      <c r="B671" s="44"/>
      <c r="C671" s="44"/>
      <c r="D671" s="44"/>
      <c r="E671" s="44"/>
      <c r="F671" s="44"/>
      <c r="G671" s="44"/>
      <c r="H671" s="44"/>
      <c r="I671" s="330"/>
      <c r="J671" s="261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</row>
    <row r="672" ht="23.25" customHeight="1">
      <c r="A672" s="44"/>
      <c r="B672" s="44"/>
      <c r="C672" s="44"/>
      <c r="D672" s="44"/>
      <c r="E672" s="44"/>
      <c r="F672" s="44"/>
      <c r="G672" s="44"/>
      <c r="H672" s="44"/>
      <c r="I672" s="330"/>
      <c r="J672" s="261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</row>
    <row r="673" ht="23.25" customHeight="1">
      <c r="A673" s="44"/>
      <c r="B673" s="44"/>
      <c r="C673" s="44"/>
      <c r="D673" s="44"/>
      <c r="E673" s="44"/>
      <c r="F673" s="44"/>
      <c r="G673" s="44"/>
      <c r="H673" s="44"/>
      <c r="I673" s="330"/>
      <c r="J673" s="261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</row>
    <row r="674" ht="23.25" customHeight="1">
      <c r="A674" s="44"/>
      <c r="B674" s="44"/>
      <c r="C674" s="44"/>
      <c r="D674" s="44"/>
      <c r="E674" s="44"/>
      <c r="F674" s="44"/>
      <c r="G674" s="44"/>
      <c r="H674" s="44"/>
      <c r="I674" s="330"/>
      <c r="J674" s="261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</row>
    <row r="675" ht="23.25" customHeight="1">
      <c r="A675" s="44"/>
      <c r="B675" s="44"/>
      <c r="C675" s="44"/>
      <c r="D675" s="44"/>
      <c r="E675" s="44"/>
      <c r="F675" s="44"/>
      <c r="G675" s="44"/>
      <c r="H675" s="44"/>
      <c r="I675" s="330"/>
      <c r="J675" s="261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</row>
    <row r="676" ht="23.25" customHeight="1">
      <c r="A676" s="44"/>
      <c r="B676" s="44"/>
      <c r="C676" s="44"/>
      <c r="D676" s="44"/>
      <c r="E676" s="44"/>
      <c r="F676" s="44"/>
      <c r="G676" s="44"/>
      <c r="H676" s="44"/>
      <c r="I676" s="330"/>
      <c r="J676" s="261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</row>
    <row r="677" ht="23.25" customHeight="1">
      <c r="A677" s="44"/>
      <c r="B677" s="44"/>
      <c r="C677" s="44"/>
      <c r="D677" s="44"/>
      <c r="E677" s="44"/>
      <c r="F677" s="44"/>
      <c r="G677" s="44"/>
      <c r="H677" s="44"/>
      <c r="I677" s="330"/>
      <c r="J677" s="261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</row>
    <row r="678" ht="23.25" customHeight="1">
      <c r="A678" s="44"/>
      <c r="B678" s="44"/>
      <c r="C678" s="44"/>
      <c r="D678" s="44"/>
      <c r="E678" s="44"/>
      <c r="F678" s="44"/>
      <c r="G678" s="44"/>
      <c r="H678" s="44"/>
      <c r="I678" s="330"/>
      <c r="J678" s="261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</row>
    <row r="679" ht="23.25" customHeight="1">
      <c r="A679" s="44"/>
      <c r="B679" s="44"/>
      <c r="C679" s="44"/>
      <c r="D679" s="44"/>
      <c r="E679" s="44"/>
      <c r="F679" s="44"/>
      <c r="G679" s="44"/>
      <c r="H679" s="44"/>
      <c r="I679" s="330"/>
      <c r="J679" s="261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</row>
    <row r="680" ht="23.25" customHeight="1">
      <c r="A680" s="44"/>
      <c r="B680" s="44"/>
      <c r="C680" s="44"/>
      <c r="D680" s="44"/>
      <c r="E680" s="44"/>
      <c r="F680" s="44"/>
      <c r="G680" s="44"/>
      <c r="H680" s="44"/>
      <c r="I680" s="330"/>
      <c r="J680" s="261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</row>
    <row r="681" ht="23.25" customHeight="1">
      <c r="A681" s="44"/>
      <c r="B681" s="44"/>
      <c r="C681" s="44"/>
      <c r="D681" s="44"/>
      <c r="E681" s="44"/>
      <c r="F681" s="44"/>
      <c r="G681" s="44"/>
      <c r="H681" s="44"/>
      <c r="I681" s="330"/>
      <c r="J681" s="261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</row>
    <row r="682" ht="23.25" customHeight="1">
      <c r="A682" s="44"/>
      <c r="B682" s="44"/>
      <c r="C682" s="44"/>
      <c r="D682" s="44"/>
      <c r="E682" s="44"/>
      <c r="F682" s="44"/>
      <c r="G682" s="44"/>
      <c r="H682" s="44"/>
      <c r="I682" s="330"/>
      <c r="J682" s="261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</row>
    <row r="683" ht="23.25" customHeight="1">
      <c r="A683" s="44"/>
      <c r="B683" s="44"/>
      <c r="C683" s="44"/>
      <c r="D683" s="44"/>
      <c r="E683" s="44"/>
      <c r="F683" s="44"/>
      <c r="G683" s="44"/>
      <c r="H683" s="44"/>
      <c r="I683" s="330"/>
      <c r="J683" s="261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</row>
    <row r="684" ht="23.25" customHeight="1">
      <c r="A684" s="44"/>
      <c r="B684" s="44"/>
      <c r="C684" s="44"/>
      <c r="D684" s="44"/>
      <c r="E684" s="44"/>
      <c r="F684" s="44"/>
      <c r="G684" s="44"/>
      <c r="H684" s="44"/>
      <c r="I684" s="330"/>
      <c r="J684" s="261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</row>
    <row r="685" ht="23.25" customHeight="1">
      <c r="A685" s="44"/>
      <c r="B685" s="44"/>
      <c r="C685" s="44"/>
      <c r="D685" s="44"/>
      <c r="E685" s="44"/>
      <c r="F685" s="44"/>
      <c r="G685" s="44"/>
      <c r="H685" s="44"/>
      <c r="I685" s="330"/>
      <c r="J685" s="261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</row>
    <row r="686" ht="23.25" customHeight="1">
      <c r="A686" s="44"/>
      <c r="B686" s="44"/>
      <c r="C686" s="44"/>
      <c r="D686" s="44"/>
      <c r="E686" s="44"/>
      <c r="F686" s="44"/>
      <c r="G686" s="44"/>
      <c r="H686" s="44"/>
      <c r="I686" s="330"/>
      <c r="J686" s="261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</row>
    <row r="687" ht="23.25" customHeight="1">
      <c r="A687" s="44"/>
      <c r="B687" s="44"/>
      <c r="C687" s="44"/>
      <c r="D687" s="44"/>
      <c r="E687" s="44"/>
      <c r="F687" s="44"/>
      <c r="G687" s="44"/>
      <c r="H687" s="44"/>
      <c r="I687" s="330"/>
      <c r="J687" s="261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</row>
    <row r="688" ht="23.25" customHeight="1">
      <c r="A688" s="44"/>
      <c r="B688" s="44"/>
      <c r="C688" s="44"/>
      <c r="D688" s="44"/>
      <c r="E688" s="44"/>
      <c r="F688" s="44"/>
      <c r="G688" s="44"/>
      <c r="H688" s="44"/>
      <c r="I688" s="330"/>
      <c r="J688" s="261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</row>
    <row r="689" ht="23.25" customHeight="1">
      <c r="A689" s="44"/>
      <c r="B689" s="44"/>
      <c r="C689" s="44"/>
      <c r="D689" s="44"/>
      <c r="E689" s="44"/>
      <c r="F689" s="44"/>
      <c r="G689" s="44"/>
      <c r="H689" s="44"/>
      <c r="I689" s="330"/>
      <c r="J689" s="261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</row>
    <row r="690" ht="23.25" customHeight="1">
      <c r="A690" s="44"/>
      <c r="B690" s="44"/>
      <c r="C690" s="44"/>
      <c r="D690" s="44"/>
      <c r="E690" s="44"/>
      <c r="F690" s="44"/>
      <c r="G690" s="44"/>
      <c r="H690" s="44"/>
      <c r="I690" s="330"/>
      <c r="J690" s="261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</row>
    <row r="691" ht="23.25" customHeight="1">
      <c r="A691" s="44"/>
      <c r="B691" s="44"/>
      <c r="C691" s="44"/>
      <c r="D691" s="44"/>
      <c r="E691" s="44"/>
      <c r="F691" s="44"/>
      <c r="G691" s="44"/>
      <c r="H691" s="44"/>
      <c r="I691" s="330"/>
      <c r="J691" s="261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</row>
    <row r="692" ht="23.25" customHeight="1">
      <c r="A692" s="44"/>
      <c r="B692" s="44"/>
      <c r="C692" s="44"/>
      <c r="D692" s="44"/>
      <c r="E692" s="44"/>
      <c r="F692" s="44"/>
      <c r="G692" s="44"/>
      <c r="H692" s="44"/>
      <c r="I692" s="330"/>
      <c r="J692" s="261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</row>
    <row r="693" ht="23.25" customHeight="1">
      <c r="A693" s="44"/>
      <c r="B693" s="44"/>
      <c r="C693" s="44"/>
      <c r="D693" s="44"/>
      <c r="E693" s="44"/>
      <c r="F693" s="44"/>
      <c r="G693" s="44"/>
      <c r="H693" s="44"/>
      <c r="I693" s="330"/>
      <c r="J693" s="261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</row>
    <row r="694" ht="23.25" customHeight="1">
      <c r="A694" s="44"/>
      <c r="B694" s="44"/>
      <c r="C694" s="44"/>
      <c r="D694" s="44"/>
      <c r="E694" s="44"/>
      <c r="F694" s="44"/>
      <c r="G694" s="44"/>
      <c r="H694" s="44"/>
      <c r="I694" s="330"/>
      <c r="J694" s="261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</row>
    <row r="695" ht="23.25" customHeight="1">
      <c r="A695" s="44"/>
      <c r="B695" s="44"/>
      <c r="C695" s="44"/>
      <c r="D695" s="44"/>
      <c r="E695" s="44"/>
      <c r="F695" s="44"/>
      <c r="G695" s="44"/>
      <c r="H695" s="44"/>
      <c r="I695" s="330"/>
      <c r="J695" s="261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</row>
    <row r="696" ht="23.25" customHeight="1">
      <c r="A696" s="44"/>
      <c r="B696" s="44"/>
      <c r="C696" s="44"/>
      <c r="D696" s="44"/>
      <c r="E696" s="44"/>
      <c r="F696" s="44"/>
      <c r="G696" s="44"/>
      <c r="H696" s="44"/>
      <c r="I696" s="330"/>
      <c r="J696" s="261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</row>
    <row r="697" ht="23.25" customHeight="1">
      <c r="A697" s="44"/>
      <c r="B697" s="44"/>
      <c r="C697" s="44"/>
      <c r="D697" s="44"/>
      <c r="E697" s="44"/>
      <c r="F697" s="44"/>
      <c r="G697" s="44"/>
      <c r="H697" s="44"/>
      <c r="I697" s="330"/>
      <c r="J697" s="261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</row>
    <row r="698" ht="23.25" customHeight="1">
      <c r="A698" s="44"/>
      <c r="B698" s="44"/>
      <c r="C698" s="44"/>
      <c r="D698" s="44"/>
      <c r="E698" s="44"/>
      <c r="F698" s="44"/>
      <c r="G698" s="44"/>
      <c r="H698" s="44"/>
      <c r="I698" s="330"/>
      <c r="J698" s="261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</row>
    <row r="699" ht="23.25" customHeight="1">
      <c r="A699" s="44"/>
      <c r="B699" s="44"/>
      <c r="C699" s="44"/>
      <c r="D699" s="44"/>
      <c r="E699" s="44"/>
      <c r="F699" s="44"/>
      <c r="G699" s="44"/>
      <c r="H699" s="44"/>
      <c r="I699" s="330"/>
      <c r="J699" s="261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</row>
    <row r="700" ht="23.25" customHeight="1">
      <c r="A700" s="44"/>
      <c r="B700" s="44"/>
      <c r="C700" s="44"/>
      <c r="D700" s="44"/>
      <c r="E700" s="44"/>
      <c r="F700" s="44"/>
      <c r="G700" s="44"/>
      <c r="H700" s="44"/>
      <c r="I700" s="330"/>
      <c r="J700" s="261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</row>
    <row r="701" ht="23.25" customHeight="1">
      <c r="A701" s="44"/>
      <c r="B701" s="44"/>
      <c r="C701" s="44"/>
      <c r="D701" s="44"/>
      <c r="E701" s="44"/>
      <c r="F701" s="44"/>
      <c r="G701" s="44"/>
      <c r="H701" s="44"/>
      <c r="I701" s="330"/>
      <c r="J701" s="261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</row>
    <row r="702" ht="23.25" customHeight="1">
      <c r="A702" s="44"/>
      <c r="B702" s="44"/>
      <c r="C702" s="44"/>
      <c r="D702" s="44"/>
      <c r="E702" s="44"/>
      <c r="F702" s="44"/>
      <c r="G702" s="44"/>
      <c r="H702" s="44"/>
      <c r="I702" s="330"/>
      <c r="J702" s="261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</row>
    <row r="703" ht="23.25" customHeight="1">
      <c r="A703" s="44"/>
      <c r="B703" s="44"/>
      <c r="C703" s="44"/>
      <c r="D703" s="44"/>
      <c r="E703" s="44"/>
      <c r="F703" s="44"/>
      <c r="G703" s="44"/>
      <c r="H703" s="44"/>
      <c r="I703" s="330"/>
      <c r="J703" s="261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</row>
    <row r="704" ht="23.25" customHeight="1">
      <c r="A704" s="44"/>
      <c r="B704" s="44"/>
      <c r="C704" s="44"/>
      <c r="D704" s="44"/>
      <c r="E704" s="44"/>
      <c r="F704" s="44"/>
      <c r="G704" s="44"/>
      <c r="H704" s="44"/>
      <c r="I704" s="330"/>
      <c r="J704" s="261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</row>
    <row r="705" ht="23.25" customHeight="1">
      <c r="A705" s="44"/>
      <c r="B705" s="44"/>
      <c r="C705" s="44"/>
      <c r="D705" s="44"/>
      <c r="E705" s="44"/>
      <c r="F705" s="44"/>
      <c r="G705" s="44"/>
      <c r="H705" s="44"/>
      <c r="I705" s="330"/>
      <c r="J705" s="261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</row>
    <row r="706" ht="23.25" customHeight="1">
      <c r="A706" s="44"/>
      <c r="B706" s="44"/>
      <c r="C706" s="44"/>
      <c r="D706" s="44"/>
      <c r="E706" s="44"/>
      <c r="F706" s="44"/>
      <c r="G706" s="44"/>
      <c r="H706" s="44"/>
      <c r="I706" s="330"/>
      <c r="J706" s="261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</row>
    <row r="707" ht="23.25" customHeight="1">
      <c r="A707" s="44"/>
      <c r="B707" s="44"/>
      <c r="C707" s="44"/>
      <c r="D707" s="44"/>
      <c r="E707" s="44"/>
      <c r="F707" s="44"/>
      <c r="G707" s="44"/>
      <c r="H707" s="44"/>
      <c r="I707" s="330"/>
      <c r="J707" s="261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</row>
    <row r="708" ht="23.25" customHeight="1">
      <c r="A708" s="44"/>
      <c r="B708" s="44"/>
      <c r="C708" s="44"/>
      <c r="D708" s="44"/>
      <c r="E708" s="44"/>
      <c r="F708" s="44"/>
      <c r="G708" s="44"/>
      <c r="H708" s="44"/>
      <c r="I708" s="330"/>
      <c r="J708" s="261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</row>
    <row r="709" ht="23.25" customHeight="1">
      <c r="A709" s="44"/>
      <c r="B709" s="44"/>
      <c r="C709" s="44"/>
      <c r="D709" s="44"/>
      <c r="E709" s="44"/>
      <c r="F709" s="44"/>
      <c r="G709" s="44"/>
      <c r="H709" s="44"/>
      <c r="I709" s="330"/>
      <c r="J709" s="261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</row>
    <row r="710" ht="23.25" customHeight="1">
      <c r="A710" s="44"/>
      <c r="B710" s="44"/>
      <c r="C710" s="44"/>
      <c r="D710" s="44"/>
      <c r="E710" s="44"/>
      <c r="F710" s="44"/>
      <c r="G710" s="44"/>
      <c r="H710" s="44"/>
      <c r="I710" s="330"/>
      <c r="J710" s="261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</row>
    <row r="711" ht="23.25" customHeight="1">
      <c r="A711" s="44"/>
      <c r="B711" s="44"/>
      <c r="C711" s="44"/>
      <c r="D711" s="44"/>
      <c r="E711" s="44"/>
      <c r="F711" s="44"/>
      <c r="G711" s="44"/>
      <c r="H711" s="44"/>
      <c r="I711" s="330"/>
      <c r="J711" s="261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</row>
    <row r="712" ht="23.25" customHeight="1">
      <c r="A712" s="44"/>
      <c r="B712" s="44"/>
      <c r="C712" s="44"/>
      <c r="D712" s="44"/>
      <c r="E712" s="44"/>
      <c r="F712" s="44"/>
      <c r="G712" s="44"/>
      <c r="H712" s="44"/>
      <c r="I712" s="330"/>
      <c r="J712" s="261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</row>
    <row r="713" ht="23.25" customHeight="1">
      <c r="A713" s="44"/>
      <c r="B713" s="44"/>
      <c r="C713" s="44"/>
      <c r="D713" s="44"/>
      <c r="E713" s="44"/>
      <c r="F713" s="44"/>
      <c r="G713" s="44"/>
      <c r="H713" s="44"/>
      <c r="I713" s="330"/>
      <c r="J713" s="261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</row>
    <row r="714" ht="23.25" customHeight="1">
      <c r="A714" s="44"/>
      <c r="B714" s="44"/>
      <c r="C714" s="44"/>
      <c r="D714" s="44"/>
      <c r="E714" s="44"/>
      <c r="F714" s="44"/>
      <c r="G714" s="44"/>
      <c r="H714" s="44"/>
      <c r="I714" s="330"/>
      <c r="J714" s="261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</row>
    <row r="715" ht="23.25" customHeight="1">
      <c r="A715" s="44"/>
      <c r="B715" s="44"/>
      <c r="C715" s="44"/>
      <c r="D715" s="44"/>
      <c r="E715" s="44"/>
      <c r="F715" s="44"/>
      <c r="G715" s="44"/>
      <c r="H715" s="44"/>
      <c r="I715" s="330"/>
      <c r="J715" s="261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</row>
    <row r="716" ht="23.25" customHeight="1">
      <c r="A716" s="44"/>
      <c r="B716" s="44"/>
      <c r="C716" s="44"/>
      <c r="D716" s="44"/>
      <c r="E716" s="44"/>
      <c r="F716" s="44"/>
      <c r="G716" s="44"/>
      <c r="H716" s="44"/>
      <c r="I716" s="330"/>
      <c r="J716" s="261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</row>
    <row r="717" ht="23.25" customHeight="1">
      <c r="A717" s="44"/>
      <c r="B717" s="44"/>
      <c r="C717" s="44"/>
      <c r="D717" s="44"/>
      <c r="E717" s="44"/>
      <c r="F717" s="44"/>
      <c r="G717" s="44"/>
      <c r="H717" s="44"/>
      <c r="I717" s="330"/>
      <c r="J717" s="261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</row>
    <row r="718" ht="23.25" customHeight="1">
      <c r="A718" s="44"/>
      <c r="B718" s="44"/>
      <c r="C718" s="44"/>
      <c r="D718" s="44"/>
      <c r="E718" s="44"/>
      <c r="F718" s="44"/>
      <c r="G718" s="44"/>
      <c r="H718" s="44"/>
      <c r="I718" s="330"/>
      <c r="J718" s="261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</row>
    <row r="719" ht="23.25" customHeight="1">
      <c r="A719" s="44"/>
      <c r="B719" s="44"/>
      <c r="C719" s="44"/>
      <c r="D719" s="44"/>
      <c r="E719" s="44"/>
      <c r="F719" s="44"/>
      <c r="G719" s="44"/>
      <c r="H719" s="44"/>
      <c r="I719" s="330"/>
      <c r="J719" s="261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</row>
    <row r="720" ht="23.25" customHeight="1">
      <c r="A720" s="44"/>
      <c r="B720" s="44"/>
      <c r="C720" s="44"/>
      <c r="D720" s="44"/>
      <c r="E720" s="44"/>
      <c r="F720" s="44"/>
      <c r="G720" s="44"/>
      <c r="H720" s="44"/>
      <c r="I720" s="330"/>
      <c r="J720" s="261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</row>
    <row r="721" ht="23.25" customHeight="1">
      <c r="A721" s="44"/>
      <c r="B721" s="44"/>
      <c r="C721" s="44"/>
      <c r="D721" s="44"/>
      <c r="E721" s="44"/>
      <c r="F721" s="44"/>
      <c r="G721" s="44"/>
      <c r="H721" s="44"/>
      <c r="I721" s="330"/>
      <c r="J721" s="261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</row>
    <row r="722" ht="23.25" customHeight="1">
      <c r="A722" s="44"/>
      <c r="B722" s="44"/>
      <c r="C722" s="44"/>
      <c r="D722" s="44"/>
      <c r="E722" s="44"/>
      <c r="F722" s="44"/>
      <c r="G722" s="44"/>
      <c r="H722" s="44"/>
      <c r="I722" s="330"/>
      <c r="J722" s="261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</row>
    <row r="723" ht="23.25" customHeight="1">
      <c r="A723" s="44"/>
      <c r="B723" s="44"/>
      <c r="C723" s="44"/>
      <c r="D723" s="44"/>
      <c r="E723" s="44"/>
      <c r="F723" s="44"/>
      <c r="G723" s="44"/>
      <c r="H723" s="44"/>
      <c r="I723" s="330"/>
      <c r="J723" s="261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</row>
    <row r="724" ht="23.25" customHeight="1">
      <c r="A724" s="44"/>
      <c r="B724" s="44"/>
      <c r="C724" s="44"/>
      <c r="D724" s="44"/>
      <c r="E724" s="44"/>
      <c r="F724" s="44"/>
      <c r="G724" s="44"/>
      <c r="H724" s="44"/>
      <c r="I724" s="330"/>
      <c r="J724" s="261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</row>
    <row r="725" ht="23.25" customHeight="1">
      <c r="A725" s="44"/>
      <c r="B725" s="44"/>
      <c r="C725" s="44"/>
      <c r="D725" s="44"/>
      <c r="E725" s="44"/>
      <c r="F725" s="44"/>
      <c r="G725" s="44"/>
      <c r="H725" s="44"/>
      <c r="I725" s="330"/>
      <c r="J725" s="261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</row>
    <row r="726" ht="23.25" customHeight="1">
      <c r="A726" s="44"/>
      <c r="B726" s="44"/>
      <c r="C726" s="44"/>
      <c r="D726" s="44"/>
      <c r="E726" s="44"/>
      <c r="F726" s="44"/>
      <c r="G726" s="44"/>
      <c r="H726" s="44"/>
      <c r="I726" s="330"/>
      <c r="J726" s="261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</row>
    <row r="727" ht="23.25" customHeight="1">
      <c r="A727" s="44"/>
      <c r="B727" s="44"/>
      <c r="C727" s="44"/>
      <c r="D727" s="44"/>
      <c r="E727" s="44"/>
      <c r="F727" s="44"/>
      <c r="G727" s="44"/>
      <c r="H727" s="44"/>
      <c r="I727" s="330"/>
      <c r="J727" s="261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</row>
    <row r="728" ht="23.25" customHeight="1">
      <c r="A728" s="44"/>
      <c r="B728" s="44"/>
      <c r="C728" s="44"/>
      <c r="D728" s="44"/>
      <c r="E728" s="44"/>
      <c r="F728" s="44"/>
      <c r="G728" s="44"/>
      <c r="H728" s="44"/>
      <c r="I728" s="330"/>
      <c r="J728" s="261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</row>
    <row r="729" ht="23.25" customHeight="1">
      <c r="A729" s="44"/>
      <c r="B729" s="44"/>
      <c r="C729" s="44"/>
      <c r="D729" s="44"/>
      <c r="E729" s="44"/>
      <c r="F729" s="44"/>
      <c r="G729" s="44"/>
      <c r="H729" s="44"/>
      <c r="I729" s="330"/>
      <c r="J729" s="261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</row>
    <row r="730" ht="23.25" customHeight="1">
      <c r="A730" s="44"/>
      <c r="B730" s="44"/>
      <c r="C730" s="44"/>
      <c r="D730" s="44"/>
      <c r="E730" s="44"/>
      <c r="F730" s="44"/>
      <c r="G730" s="44"/>
      <c r="H730" s="44"/>
      <c r="I730" s="330"/>
      <c r="J730" s="261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</row>
    <row r="731" ht="23.25" customHeight="1">
      <c r="A731" s="44"/>
      <c r="B731" s="44"/>
      <c r="C731" s="44"/>
      <c r="D731" s="44"/>
      <c r="E731" s="44"/>
      <c r="F731" s="44"/>
      <c r="G731" s="44"/>
      <c r="H731" s="44"/>
      <c r="I731" s="330"/>
      <c r="J731" s="261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</row>
    <row r="732" ht="23.25" customHeight="1">
      <c r="A732" s="44"/>
      <c r="B732" s="44"/>
      <c r="C732" s="44"/>
      <c r="D732" s="44"/>
      <c r="E732" s="44"/>
      <c r="F732" s="44"/>
      <c r="G732" s="44"/>
      <c r="H732" s="44"/>
      <c r="I732" s="330"/>
      <c r="J732" s="261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</row>
    <row r="733" ht="23.25" customHeight="1">
      <c r="A733" s="44"/>
      <c r="B733" s="44"/>
      <c r="C733" s="44"/>
      <c r="D733" s="44"/>
      <c r="E733" s="44"/>
      <c r="F733" s="44"/>
      <c r="G733" s="44"/>
      <c r="H733" s="44"/>
      <c r="I733" s="330"/>
      <c r="J733" s="261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</row>
    <row r="734" ht="23.25" customHeight="1">
      <c r="A734" s="44"/>
      <c r="B734" s="44"/>
      <c r="C734" s="44"/>
      <c r="D734" s="44"/>
      <c r="E734" s="44"/>
      <c r="F734" s="44"/>
      <c r="G734" s="44"/>
      <c r="H734" s="44"/>
      <c r="I734" s="330"/>
      <c r="J734" s="261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</row>
    <row r="735" ht="23.25" customHeight="1">
      <c r="A735" s="44"/>
      <c r="B735" s="44"/>
      <c r="C735" s="44"/>
      <c r="D735" s="44"/>
      <c r="E735" s="44"/>
      <c r="F735" s="44"/>
      <c r="G735" s="44"/>
      <c r="H735" s="44"/>
      <c r="I735" s="330"/>
      <c r="J735" s="261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</row>
    <row r="736" ht="23.25" customHeight="1">
      <c r="A736" s="44"/>
      <c r="B736" s="44"/>
      <c r="C736" s="44"/>
      <c r="D736" s="44"/>
      <c r="E736" s="44"/>
      <c r="F736" s="44"/>
      <c r="G736" s="44"/>
      <c r="H736" s="44"/>
      <c r="I736" s="330"/>
      <c r="J736" s="261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</row>
    <row r="737" ht="23.25" customHeight="1">
      <c r="A737" s="44"/>
      <c r="B737" s="44"/>
      <c r="C737" s="44"/>
      <c r="D737" s="44"/>
      <c r="E737" s="44"/>
      <c r="F737" s="44"/>
      <c r="G737" s="44"/>
      <c r="H737" s="44"/>
      <c r="I737" s="330"/>
      <c r="J737" s="261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</row>
    <row r="738" ht="23.25" customHeight="1">
      <c r="A738" s="44"/>
      <c r="B738" s="44"/>
      <c r="C738" s="44"/>
      <c r="D738" s="44"/>
      <c r="E738" s="44"/>
      <c r="F738" s="44"/>
      <c r="G738" s="44"/>
      <c r="H738" s="44"/>
      <c r="I738" s="330"/>
      <c r="J738" s="261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</row>
    <row r="739" ht="23.25" customHeight="1">
      <c r="A739" s="44"/>
      <c r="B739" s="44"/>
      <c r="C739" s="44"/>
      <c r="D739" s="44"/>
      <c r="E739" s="44"/>
      <c r="F739" s="44"/>
      <c r="G739" s="44"/>
      <c r="H739" s="44"/>
      <c r="I739" s="330"/>
      <c r="J739" s="261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</row>
    <row r="740" ht="23.25" customHeight="1">
      <c r="A740" s="44"/>
      <c r="B740" s="44"/>
      <c r="C740" s="44"/>
      <c r="D740" s="44"/>
      <c r="E740" s="44"/>
      <c r="F740" s="44"/>
      <c r="G740" s="44"/>
      <c r="H740" s="44"/>
      <c r="I740" s="330"/>
      <c r="J740" s="261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</row>
    <row r="741" ht="23.25" customHeight="1">
      <c r="A741" s="44"/>
      <c r="B741" s="44"/>
      <c r="C741" s="44"/>
      <c r="D741" s="44"/>
      <c r="E741" s="44"/>
      <c r="F741" s="44"/>
      <c r="G741" s="44"/>
      <c r="H741" s="44"/>
      <c r="I741" s="330"/>
      <c r="J741" s="261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</row>
    <row r="742" ht="23.25" customHeight="1">
      <c r="A742" s="44"/>
      <c r="B742" s="44"/>
      <c r="C742" s="44"/>
      <c r="D742" s="44"/>
      <c r="E742" s="44"/>
      <c r="F742" s="44"/>
      <c r="G742" s="44"/>
      <c r="H742" s="44"/>
      <c r="I742" s="330"/>
      <c r="J742" s="261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</row>
    <row r="743" ht="23.25" customHeight="1">
      <c r="A743" s="44"/>
      <c r="B743" s="44"/>
      <c r="C743" s="44"/>
      <c r="D743" s="44"/>
      <c r="E743" s="44"/>
      <c r="F743" s="44"/>
      <c r="G743" s="44"/>
      <c r="H743" s="44"/>
      <c r="I743" s="330"/>
      <c r="J743" s="261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</row>
    <row r="744" ht="23.25" customHeight="1">
      <c r="A744" s="44"/>
      <c r="B744" s="44"/>
      <c r="C744" s="44"/>
      <c r="D744" s="44"/>
      <c r="E744" s="44"/>
      <c r="F744" s="44"/>
      <c r="G744" s="44"/>
      <c r="H744" s="44"/>
      <c r="I744" s="330"/>
      <c r="J744" s="261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</row>
    <row r="745" ht="23.25" customHeight="1">
      <c r="A745" s="44"/>
      <c r="B745" s="44"/>
      <c r="C745" s="44"/>
      <c r="D745" s="44"/>
      <c r="E745" s="44"/>
      <c r="F745" s="44"/>
      <c r="G745" s="44"/>
      <c r="H745" s="44"/>
      <c r="I745" s="330"/>
      <c r="J745" s="261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</row>
    <row r="746" ht="23.25" customHeight="1">
      <c r="A746" s="44"/>
      <c r="B746" s="44"/>
      <c r="C746" s="44"/>
      <c r="D746" s="44"/>
      <c r="E746" s="44"/>
      <c r="F746" s="44"/>
      <c r="G746" s="44"/>
      <c r="H746" s="44"/>
      <c r="I746" s="330"/>
      <c r="J746" s="261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</row>
    <row r="747" ht="23.25" customHeight="1">
      <c r="A747" s="44"/>
      <c r="B747" s="44"/>
      <c r="C747" s="44"/>
      <c r="D747" s="44"/>
      <c r="E747" s="44"/>
      <c r="F747" s="44"/>
      <c r="G747" s="44"/>
      <c r="H747" s="44"/>
      <c r="I747" s="330"/>
      <c r="J747" s="261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</row>
    <row r="748" ht="23.25" customHeight="1">
      <c r="A748" s="44"/>
      <c r="B748" s="44"/>
      <c r="C748" s="44"/>
      <c r="D748" s="44"/>
      <c r="E748" s="44"/>
      <c r="F748" s="44"/>
      <c r="G748" s="44"/>
      <c r="H748" s="44"/>
      <c r="I748" s="330"/>
      <c r="J748" s="261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</row>
    <row r="749" ht="23.25" customHeight="1">
      <c r="A749" s="44"/>
      <c r="B749" s="44"/>
      <c r="C749" s="44"/>
      <c r="D749" s="44"/>
      <c r="E749" s="44"/>
      <c r="F749" s="44"/>
      <c r="G749" s="44"/>
      <c r="H749" s="44"/>
      <c r="I749" s="330"/>
      <c r="J749" s="261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</row>
    <row r="750" ht="23.25" customHeight="1">
      <c r="A750" s="44"/>
      <c r="B750" s="44"/>
      <c r="C750" s="44"/>
      <c r="D750" s="44"/>
      <c r="E750" s="44"/>
      <c r="F750" s="44"/>
      <c r="G750" s="44"/>
      <c r="H750" s="44"/>
      <c r="I750" s="330"/>
      <c r="J750" s="261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</row>
    <row r="751" ht="23.25" customHeight="1">
      <c r="A751" s="44"/>
      <c r="B751" s="44"/>
      <c r="C751" s="44"/>
      <c r="D751" s="44"/>
      <c r="E751" s="44"/>
      <c r="F751" s="44"/>
      <c r="G751" s="44"/>
      <c r="H751" s="44"/>
      <c r="I751" s="330"/>
      <c r="J751" s="261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</row>
    <row r="752" ht="23.25" customHeight="1">
      <c r="A752" s="44"/>
      <c r="B752" s="44"/>
      <c r="C752" s="44"/>
      <c r="D752" s="44"/>
      <c r="E752" s="44"/>
      <c r="F752" s="44"/>
      <c r="G752" s="44"/>
      <c r="H752" s="44"/>
      <c r="I752" s="330"/>
      <c r="J752" s="261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</row>
    <row r="753" ht="23.25" customHeight="1">
      <c r="A753" s="44"/>
      <c r="B753" s="44"/>
      <c r="C753" s="44"/>
      <c r="D753" s="44"/>
      <c r="E753" s="44"/>
      <c r="F753" s="44"/>
      <c r="G753" s="44"/>
      <c r="H753" s="44"/>
      <c r="I753" s="330"/>
      <c r="J753" s="261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</row>
    <row r="754" ht="23.25" customHeight="1">
      <c r="A754" s="44"/>
      <c r="B754" s="44"/>
      <c r="C754" s="44"/>
      <c r="D754" s="44"/>
      <c r="E754" s="44"/>
      <c r="F754" s="44"/>
      <c r="G754" s="44"/>
      <c r="H754" s="44"/>
      <c r="I754" s="330"/>
      <c r="J754" s="261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</row>
    <row r="755" ht="23.25" customHeight="1">
      <c r="A755" s="44"/>
      <c r="B755" s="44"/>
      <c r="C755" s="44"/>
      <c r="D755" s="44"/>
      <c r="E755" s="44"/>
      <c r="F755" s="44"/>
      <c r="G755" s="44"/>
      <c r="H755" s="44"/>
      <c r="I755" s="330"/>
      <c r="J755" s="261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</row>
    <row r="756" ht="23.25" customHeight="1">
      <c r="A756" s="44"/>
      <c r="B756" s="44"/>
      <c r="C756" s="44"/>
      <c r="D756" s="44"/>
      <c r="E756" s="44"/>
      <c r="F756" s="44"/>
      <c r="G756" s="44"/>
      <c r="H756" s="44"/>
      <c r="I756" s="330"/>
      <c r="J756" s="261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</row>
    <row r="757" ht="23.25" customHeight="1">
      <c r="A757" s="44"/>
      <c r="B757" s="44"/>
      <c r="C757" s="44"/>
      <c r="D757" s="44"/>
      <c r="E757" s="44"/>
      <c r="F757" s="44"/>
      <c r="G757" s="44"/>
      <c r="H757" s="44"/>
      <c r="I757" s="330"/>
      <c r="J757" s="261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</row>
    <row r="758" ht="23.25" customHeight="1">
      <c r="A758" s="44"/>
      <c r="B758" s="44"/>
      <c r="C758" s="44"/>
      <c r="D758" s="44"/>
      <c r="E758" s="44"/>
      <c r="F758" s="44"/>
      <c r="G758" s="44"/>
      <c r="H758" s="44"/>
      <c r="I758" s="330"/>
      <c r="J758" s="261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</row>
    <row r="759" ht="23.25" customHeight="1">
      <c r="A759" s="44"/>
      <c r="B759" s="44"/>
      <c r="C759" s="44"/>
      <c r="D759" s="44"/>
      <c r="E759" s="44"/>
      <c r="F759" s="44"/>
      <c r="G759" s="44"/>
      <c r="H759" s="44"/>
      <c r="I759" s="330"/>
      <c r="J759" s="261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</row>
    <row r="760" ht="23.25" customHeight="1">
      <c r="A760" s="44"/>
      <c r="B760" s="44"/>
      <c r="C760" s="44"/>
      <c r="D760" s="44"/>
      <c r="E760" s="44"/>
      <c r="F760" s="44"/>
      <c r="G760" s="44"/>
      <c r="H760" s="44"/>
      <c r="I760" s="330"/>
      <c r="J760" s="261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</row>
    <row r="761" ht="23.25" customHeight="1">
      <c r="A761" s="44"/>
      <c r="B761" s="44"/>
      <c r="C761" s="44"/>
      <c r="D761" s="44"/>
      <c r="E761" s="44"/>
      <c r="F761" s="44"/>
      <c r="G761" s="44"/>
      <c r="H761" s="44"/>
      <c r="I761" s="330"/>
      <c r="J761" s="261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</row>
    <row r="762" ht="23.25" customHeight="1">
      <c r="A762" s="44"/>
      <c r="B762" s="44"/>
      <c r="C762" s="44"/>
      <c r="D762" s="44"/>
      <c r="E762" s="44"/>
      <c r="F762" s="44"/>
      <c r="G762" s="44"/>
      <c r="H762" s="44"/>
      <c r="I762" s="330"/>
      <c r="J762" s="261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</row>
    <row r="763" ht="23.25" customHeight="1">
      <c r="A763" s="44"/>
      <c r="B763" s="44"/>
      <c r="C763" s="44"/>
      <c r="D763" s="44"/>
      <c r="E763" s="44"/>
      <c r="F763" s="44"/>
      <c r="G763" s="44"/>
      <c r="H763" s="44"/>
      <c r="I763" s="330"/>
      <c r="J763" s="261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</row>
    <row r="764" ht="23.25" customHeight="1">
      <c r="A764" s="44"/>
      <c r="B764" s="44"/>
      <c r="C764" s="44"/>
      <c r="D764" s="44"/>
      <c r="E764" s="44"/>
      <c r="F764" s="44"/>
      <c r="G764" s="44"/>
      <c r="H764" s="44"/>
      <c r="I764" s="330"/>
      <c r="J764" s="261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</row>
    <row r="765" ht="23.25" customHeight="1">
      <c r="A765" s="44"/>
      <c r="B765" s="44"/>
      <c r="C765" s="44"/>
      <c r="D765" s="44"/>
      <c r="E765" s="44"/>
      <c r="F765" s="44"/>
      <c r="G765" s="44"/>
      <c r="H765" s="44"/>
      <c r="I765" s="330"/>
      <c r="J765" s="261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</row>
    <row r="766" ht="23.25" customHeight="1">
      <c r="A766" s="44"/>
      <c r="B766" s="44"/>
      <c r="C766" s="44"/>
      <c r="D766" s="44"/>
      <c r="E766" s="44"/>
      <c r="F766" s="44"/>
      <c r="G766" s="44"/>
      <c r="H766" s="44"/>
      <c r="I766" s="330"/>
      <c r="J766" s="261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</row>
    <row r="767" ht="23.25" customHeight="1">
      <c r="A767" s="44"/>
      <c r="B767" s="44"/>
      <c r="C767" s="44"/>
      <c r="D767" s="44"/>
      <c r="E767" s="44"/>
      <c r="F767" s="44"/>
      <c r="G767" s="44"/>
      <c r="H767" s="44"/>
      <c r="I767" s="330"/>
      <c r="J767" s="261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</row>
    <row r="768" ht="23.25" customHeight="1">
      <c r="A768" s="44"/>
      <c r="B768" s="44"/>
      <c r="C768" s="44"/>
      <c r="D768" s="44"/>
      <c r="E768" s="44"/>
      <c r="F768" s="44"/>
      <c r="G768" s="44"/>
      <c r="H768" s="44"/>
      <c r="I768" s="330"/>
      <c r="J768" s="261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</row>
    <row r="769" ht="23.25" customHeight="1">
      <c r="A769" s="44"/>
      <c r="B769" s="44"/>
      <c r="C769" s="44"/>
      <c r="D769" s="44"/>
      <c r="E769" s="44"/>
      <c r="F769" s="44"/>
      <c r="G769" s="44"/>
      <c r="H769" s="44"/>
      <c r="I769" s="330"/>
      <c r="J769" s="261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</row>
    <row r="770" ht="23.25" customHeight="1">
      <c r="A770" s="44"/>
      <c r="B770" s="44"/>
      <c r="C770" s="44"/>
      <c r="D770" s="44"/>
      <c r="E770" s="44"/>
      <c r="F770" s="44"/>
      <c r="G770" s="44"/>
      <c r="H770" s="44"/>
      <c r="I770" s="330"/>
      <c r="J770" s="261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</row>
    <row r="771" ht="23.25" customHeight="1">
      <c r="A771" s="44"/>
      <c r="B771" s="44"/>
      <c r="C771" s="44"/>
      <c r="D771" s="44"/>
      <c r="E771" s="44"/>
      <c r="F771" s="44"/>
      <c r="G771" s="44"/>
      <c r="H771" s="44"/>
      <c r="I771" s="330"/>
      <c r="J771" s="261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</row>
    <row r="772" ht="23.25" customHeight="1">
      <c r="A772" s="44"/>
      <c r="B772" s="44"/>
      <c r="C772" s="44"/>
      <c r="D772" s="44"/>
      <c r="E772" s="44"/>
      <c r="F772" s="44"/>
      <c r="G772" s="44"/>
      <c r="H772" s="44"/>
      <c r="I772" s="330"/>
      <c r="J772" s="261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</row>
    <row r="773" ht="23.25" customHeight="1">
      <c r="A773" s="44"/>
      <c r="B773" s="44"/>
      <c r="C773" s="44"/>
      <c r="D773" s="44"/>
      <c r="E773" s="44"/>
      <c r="F773" s="44"/>
      <c r="G773" s="44"/>
      <c r="H773" s="44"/>
      <c r="I773" s="330"/>
      <c r="J773" s="261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</row>
    <row r="774" ht="23.25" customHeight="1">
      <c r="A774" s="44"/>
      <c r="B774" s="44"/>
      <c r="C774" s="44"/>
      <c r="D774" s="44"/>
      <c r="E774" s="44"/>
      <c r="F774" s="44"/>
      <c r="G774" s="44"/>
      <c r="H774" s="44"/>
      <c r="I774" s="330"/>
      <c r="J774" s="261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</row>
    <row r="775" ht="23.25" customHeight="1">
      <c r="A775" s="44"/>
      <c r="B775" s="44"/>
      <c r="C775" s="44"/>
      <c r="D775" s="44"/>
      <c r="E775" s="44"/>
      <c r="F775" s="44"/>
      <c r="G775" s="44"/>
      <c r="H775" s="44"/>
      <c r="I775" s="330"/>
      <c r="J775" s="261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</row>
    <row r="776" ht="23.25" customHeight="1">
      <c r="A776" s="44"/>
      <c r="B776" s="44"/>
      <c r="C776" s="44"/>
      <c r="D776" s="44"/>
      <c r="E776" s="44"/>
      <c r="F776" s="44"/>
      <c r="G776" s="44"/>
      <c r="H776" s="44"/>
      <c r="I776" s="330"/>
      <c r="J776" s="261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</row>
    <row r="777" ht="23.25" customHeight="1">
      <c r="A777" s="44"/>
      <c r="B777" s="44"/>
      <c r="C777" s="44"/>
      <c r="D777" s="44"/>
      <c r="E777" s="44"/>
      <c r="F777" s="44"/>
      <c r="G777" s="44"/>
      <c r="H777" s="44"/>
      <c r="I777" s="330"/>
      <c r="J777" s="261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</row>
    <row r="778" ht="23.25" customHeight="1">
      <c r="A778" s="44"/>
      <c r="B778" s="44"/>
      <c r="C778" s="44"/>
      <c r="D778" s="44"/>
      <c r="E778" s="44"/>
      <c r="F778" s="44"/>
      <c r="G778" s="44"/>
      <c r="H778" s="44"/>
      <c r="I778" s="330"/>
      <c r="J778" s="261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</row>
    <row r="779" ht="23.25" customHeight="1">
      <c r="A779" s="44"/>
      <c r="B779" s="44"/>
      <c r="C779" s="44"/>
      <c r="D779" s="44"/>
      <c r="E779" s="44"/>
      <c r="F779" s="44"/>
      <c r="G779" s="44"/>
      <c r="H779" s="44"/>
      <c r="I779" s="330"/>
      <c r="J779" s="261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</row>
    <row r="780" ht="23.25" customHeight="1">
      <c r="A780" s="44"/>
      <c r="B780" s="44"/>
      <c r="C780" s="44"/>
      <c r="D780" s="44"/>
      <c r="E780" s="44"/>
      <c r="F780" s="44"/>
      <c r="G780" s="44"/>
      <c r="H780" s="44"/>
      <c r="I780" s="330"/>
      <c r="J780" s="261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</row>
    <row r="781" ht="23.25" customHeight="1">
      <c r="A781" s="44"/>
      <c r="B781" s="44"/>
      <c r="C781" s="44"/>
      <c r="D781" s="44"/>
      <c r="E781" s="44"/>
      <c r="F781" s="44"/>
      <c r="G781" s="44"/>
      <c r="H781" s="44"/>
      <c r="I781" s="330"/>
      <c r="J781" s="261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</row>
    <row r="782" ht="23.25" customHeight="1">
      <c r="A782" s="44"/>
      <c r="B782" s="44"/>
      <c r="C782" s="44"/>
      <c r="D782" s="44"/>
      <c r="E782" s="44"/>
      <c r="F782" s="44"/>
      <c r="G782" s="44"/>
      <c r="H782" s="44"/>
      <c r="I782" s="330"/>
      <c r="J782" s="261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</row>
    <row r="783" ht="23.25" customHeight="1">
      <c r="A783" s="44"/>
      <c r="B783" s="44"/>
      <c r="C783" s="44"/>
      <c r="D783" s="44"/>
      <c r="E783" s="44"/>
      <c r="F783" s="44"/>
      <c r="G783" s="44"/>
      <c r="H783" s="44"/>
      <c r="I783" s="330"/>
      <c r="J783" s="261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</row>
    <row r="784" ht="23.25" customHeight="1">
      <c r="A784" s="44"/>
      <c r="B784" s="44"/>
      <c r="C784" s="44"/>
      <c r="D784" s="44"/>
      <c r="E784" s="44"/>
      <c r="F784" s="44"/>
      <c r="G784" s="44"/>
      <c r="H784" s="44"/>
      <c r="I784" s="330"/>
      <c r="J784" s="261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</row>
    <row r="785" ht="23.25" customHeight="1">
      <c r="A785" s="44"/>
      <c r="B785" s="44"/>
      <c r="C785" s="44"/>
      <c r="D785" s="44"/>
      <c r="E785" s="44"/>
      <c r="F785" s="44"/>
      <c r="G785" s="44"/>
      <c r="H785" s="44"/>
      <c r="I785" s="330"/>
      <c r="J785" s="261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</row>
    <row r="786" ht="23.25" customHeight="1">
      <c r="A786" s="44"/>
      <c r="B786" s="44"/>
      <c r="C786" s="44"/>
      <c r="D786" s="44"/>
      <c r="E786" s="44"/>
      <c r="F786" s="44"/>
      <c r="G786" s="44"/>
      <c r="H786" s="44"/>
      <c r="I786" s="330"/>
      <c r="J786" s="261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</row>
    <row r="787" ht="23.25" customHeight="1">
      <c r="A787" s="44"/>
      <c r="B787" s="44"/>
      <c r="C787" s="44"/>
      <c r="D787" s="44"/>
      <c r="E787" s="44"/>
      <c r="F787" s="44"/>
      <c r="G787" s="44"/>
      <c r="H787" s="44"/>
      <c r="I787" s="330"/>
      <c r="J787" s="261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</row>
    <row r="788" ht="23.25" customHeight="1">
      <c r="A788" s="44"/>
      <c r="B788" s="44"/>
      <c r="C788" s="44"/>
      <c r="D788" s="44"/>
      <c r="E788" s="44"/>
      <c r="F788" s="44"/>
      <c r="G788" s="44"/>
      <c r="H788" s="44"/>
      <c r="I788" s="330"/>
      <c r="J788" s="261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</row>
    <row r="789" ht="23.25" customHeight="1">
      <c r="A789" s="44"/>
      <c r="B789" s="44"/>
      <c r="C789" s="44"/>
      <c r="D789" s="44"/>
      <c r="E789" s="44"/>
      <c r="F789" s="44"/>
      <c r="G789" s="44"/>
      <c r="H789" s="44"/>
      <c r="I789" s="330"/>
      <c r="J789" s="261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</row>
    <row r="790" ht="23.25" customHeight="1">
      <c r="A790" s="44"/>
      <c r="B790" s="44"/>
      <c r="C790" s="44"/>
      <c r="D790" s="44"/>
      <c r="E790" s="44"/>
      <c r="F790" s="44"/>
      <c r="G790" s="44"/>
      <c r="H790" s="44"/>
      <c r="I790" s="330"/>
      <c r="J790" s="261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</row>
    <row r="791" ht="23.25" customHeight="1">
      <c r="A791" s="44"/>
      <c r="B791" s="44"/>
      <c r="C791" s="44"/>
      <c r="D791" s="44"/>
      <c r="E791" s="44"/>
      <c r="F791" s="44"/>
      <c r="G791" s="44"/>
      <c r="H791" s="44"/>
      <c r="I791" s="330"/>
      <c r="J791" s="261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</row>
    <row r="792" ht="23.25" customHeight="1">
      <c r="A792" s="44"/>
      <c r="B792" s="44"/>
      <c r="C792" s="44"/>
      <c r="D792" s="44"/>
      <c r="E792" s="44"/>
      <c r="F792" s="44"/>
      <c r="G792" s="44"/>
      <c r="H792" s="44"/>
      <c r="I792" s="330"/>
      <c r="J792" s="261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</row>
    <row r="793" ht="23.25" customHeight="1">
      <c r="A793" s="44"/>
      <c r="B793" s="44"/>
      <c r="C793" s="44"/>
      <c r="D793" s="44"/>
      <c r="E793" s="44"/>
      <c r="F793" s="44"/>
      <c r="G793" s="44"/>
      <c r="H793" s="44"/>
      <c r="I793" s="330"/>
      <c r="J793" s="261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</row>
    <row r="794" ht="23.25" customHeight="1">
      <c r="A794" s="44"/>
      <c r="B794" s="44"/>
      <c r="C794" s="44"/>
      <c r="D794" s="44"/>
      <c r="E794" s="44"/>
      <c r="F794" s="44"/>
      <c r="G794" s="44"/>
      <c r="H794" s="44"/>
      <c r="I794" s="330"/>
      <c r="J794" s="261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</row>
    <row r="795" ht="23.25" customHeight="1">
      <c r="A795" s="44"/>
      <c r="B795" s="44"/>
      <c r="C795" s="44"/>
      <c r="D795" s="44"/>
      <c r="E795" s="44"/>
      <c r="F795" s="44"/>
      <c r="G795" s="44"/>
      <c r="H795" s="44"/>
      <c r="I795" s="330"/>
      <c r="J795" s="261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</row>
    <row r="796" ht="23.25" customHeight="1">
      <c r="A796" s="44"/>
      <c r="B796" s="44"/>
      <c r="C796" s="44"/>
      <c r="D796" s="44"/>
      <c r="E796" s="44"/>
      <c r="F796" s="44"/>
      <c r="G796" s="44"/>
      <c r="H796" s="44"/>
      <c r="I796" s="330"/>
      <c r="J796" s="261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</row>
    <row r="797" ht="23.25" customHeight="1">
      <c r="A797" s="44"/>
      <c r="B797" s="44"/>
      <c r="C797" s="44"/>
      <c r="D797" s="44"/>
      <c r="E797" s="44"/>
      <c r="F797" s="44"/>
      <c r="G797" s="44"/>
      <c r="H797" s="44"/>
      <c r="I797" s="330"/>
      <c r="J797" s="261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</row>
    <row r="798" ht="23.25" customHeight="1">
      <c r="A798" s="44"/>
      <c r="B798" s="44"/>
      <c r="C798" s="44"/>
      <c r="D798" s="44"/>
      <c r="E798" s="44"/>
      <c r="F798" s="44"/>
      <c r="G798" s="44"/>
      <c r="H798" s="44"/>
      <c r="I798" s="330"/>
      <c r="J798" s="261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</row>
    <row r="799" ht="23.25" customHeight="1">
      <c r="A799" s="44"/>
      <c r="B799" s="44"/>
      <c r="C799" s="44"/>
      <c r="D799" s="44"/>
      <c r="E799" s="44"/>
      <c r="F799" s="44"/>
      <c r="G799" s="44"/>
      <c r="H799" s="44"/>
      <c r="I799" s="330"/>
      <c r="J799" s="261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</row>
    <row r="800" ht="23.25" customHeight="1">
      <c r="A800" s="44"/>
      <c r="B800" s="44"/>
      <c r="C800" s="44"/>
      <c r="D800" s="44"/>
      <c r="E800" s="44"/>
      <c r="F800" s="44"/>
      <c r="G800" s="44"/>
      <c r="H800" s="44"/>
      <c r="I800" s="330"/>
      <c r="J800" s="261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</row>
    <row r="801" ht="23.25" customHeight="1">
      <c r="A801" s="44"/>
      <c r="B801" s="44"/>
      <c r="C801" s="44"/>
      <c r="D801" s="44"/>
      <c r="E801" s="44"/>
      <c r="F801" s="44"/>
      <c r="G801" s="44"/>
      <c r="H801" s="44"/>
      <c r="I801" s="330"/>
      <c r="J801" s="261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</row>
    <row r="802" ht="23.25" customHeight="1">
      <c r="A802" s="44"/>
      <c r="B802" s="44"/>
      <c r="C802" s="44"/>
      <c r="D802" s="44"/>
      <c r="E802" s="44"/>
      <c r="F802" s="44"/>
      <c r="G802" s="44"/>
      <c r="H802" s="44"/>
      <c r="I802" s="330"/>
      <c r="J802" s="261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</row>
    <row r="803" ht="23.25" customHeight="1">
      <c r="A803" s="44"/>
      <c r="B803" s="44"/>
      <c r="C803" s="44"/>
      <c r="D803" s="44"/>
      <c r="E803" s="44"/>
      <c r="F803" s="44"/>
      <c r="G803" s="44"/>
      <c r="H803" s="44"/>
      <c r="I803" s="330"/>
      <c r="J803" s="261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</row>
    <row r="804" ht="23.25" customHeight="1">
      <c r="A804" s="44"/>
      <c r="B804" s="44"/>
      <c r="C804" s="44"/>
      <c r="D804" s="44"/>
      <c r="E804" s="44"/>
      <c r="F804" s="44"/>
      <c r="G804" s="44"/>
      <c r="H804" s="44"/>
      <c r="I804" s="330"/>
      <c r="J804" s="261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</row>
    <row r="805" ht="23.25" customHeight="1">
      <c r="A805" s="44"/>
      <c r="B805" s="44"/>
      <c r="C805" s="44"/>
      <c r="D805" s="44"/>
      <c r="E805" s="44"/>
      <c r="F805" s="44"/>
      <c r="G805" s="44"/>
      <c r="H805" s="44"/>
      <c r="I805" s="330"/>
      <c r="J805" s="261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</row>
    <row r="806" ht="23.25" customHeight="1">
      <c r="A806" s="44"/>
      <c r="B806" s="44"/>
      <c r="C806" s="44"/>
      <c r="D806" s="44"/>
      <c r="E806" s="44"/>
      <c r="F806" s="44"/>
      <c r="G806" s="44"/>
      <c r="H806" s="44"/>
      <c r="I806" s="330"/>
      <c r="J806" s="261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</row>
    <row r="807" ht="23.25" customHeight="1">
      <c r="A807" s="44"/>
      <c r="B807" s="44"/>
      <c r="C807" s="44"/>
      <c r="D807" s="44"/>
      <c r="E807" s="44"/>
      <c r="F807" s="44"/>
      <c r="G807" s="44"/>
      <c r="H807" s="44"/>
      <c r="I807" s="330"/>
      <c r="J807" s="261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</row>
    <row r="808" ht="23.25" customHeight="1">
      <c r="A808" s="44"/>
      <c r="B808" s="44"/>
      <c r="C808" s="44"/>
      <c r="D808" s="44"/>
      <c r="E808" s="44"/>
      <c r="F808" s="44"/>
      <c r="G808" s="44"/>
      <c r="H808" s="44"/>
      <c r="I808" s="330"/>
      <c r="J808" s="261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</row>
    <row r="809" ht="23.25" customHeight="1">
      <c r="A809" s="44"/>
      <c r="B809" s="44"/>
      <c r="C809" s="44"/>
      <c r="D809" s="44"/>
      <c r="E809" s="44"/>
      <c r="F809" s="44"/>
      <c r="G809" s="44"/>
      <c r="H809" s="44"/>
      <c r="I809" s="330"/>
      <c r="J809" s="261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</row>
    <row r="810" ht="23.25" customHeight="1">
      <c r="A810" s="44"/>
      <c r="B810" s="44"/>
      <c r="C810" s="44"/>
      <c r="D810" s="44"/>
      <c r="E810" s="44"/>
      <c r="F810" s="44"/>
      <c r="G810" s="44"/>
      <c r="H810" s="44"/>
      <c r="I810" s="330"/>
      <c r="J810" s="261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</row>
    <row r="811" ht="23.25" customHeight="1">
      <c r="A811" s="44"/>
      <c r="B811" s="44"/>
      <c r="C811" s="44"/>
      <c r="D811" s="44"/>
      <c r="E811" s="44"/>
      <c r="F811" s="44"/>
      <c r="G811" s="44"/>
      <c r="H811" s="44"/>
      <c r="I811" s="330"/>
      <c r="J811" s="261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</row>
    <row r="812" ht="23.25" customHeight="1">
      <c r="A812" s="44"/>
      <c r="B812" s="44"/>
      <c r="C812" s="44"/>
      <c r="D812" s="44"/>
      <c r="E812" s="44"/>
      <c r="F812" s="44"/>
      <c r="G812" s="44"/>
      <c r="H812" s="44"/>
      <c r="I812" s="330"/>
      <c r="J812" s="261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</row>
    <row r="813" ht="23.25" customHeight="1">
      <c r="A813" s="44"/>
      <c r="B813" s="44"/>
      <c r="C813" s="44"/>
      <c r="D813" s="44"/>
      <c r="E813" s="44"/>
      <c r="F813" s="44"/>
      <c r="G813" s="44"/>
      <c r="H813" s="44"/>
      <c r="I813" s="330"/>
      <c r="J813" s="261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</row>
    <row r="814" ht="23.25" customHeight="1">
      <c r="A814" s="44"/>
      <c r="B814" s="44"/>
      <c r="C814" s="44"/>
      <c r="D814" s="44"/>
      <c r="E814" s="44"/>
      <c r="F814" s="44"/>
      <c r="G814" s="44"/>
      <c r="H814" s="44"/>
      <c r="I814" s="330"/>
      <c r="J814" s="261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</row>
    <row r="815" ht="23.25" customHeight="1">
      <c r="A815" s="44"/>
      <c r="B815" s="44"/>
      <c r="C815" s="44"/>
      <c r="D815" s="44"/>
      <c r="E815" s="44"/>
      <c r="F815" s="44"/>
      <c r="G815" s="44"/>
      <c r="H815" s="44"/>
      <c r="I815" s="330"/>
      <c r="J815" s="261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</row>
    <row r="816" ht="23.25" customHeight="1">
      <c r="A816" s="44"/>
      <c r="B816" s="44"/>
      <c r="C816" s="44"/>
      <c r="D816" s="44"/>
      <c r="E816" s="44"/>
      <c r="F816" s="44"/>
      <c r="G816" s="44"/>
      <c r="H816" s="44"/>
      <c r="I816" s="330"/>
      <c r="J816" s="261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</row>
    <row r="817" ht="23.25" customHeight="1">
      <c r="A817" s="44"/>
      <c r="B817" s="44"/>
      <c r="C817" s="44"/>
      <c r="D817" s="44"/>
      <c r="E817" s="44"/>
      <c r="F817" s="44"/>
      <c r="G817" s="44"/>
      <c r="H817" s="44"/>
      <c r="I817" s="330"/>
      <c r="J817" s="261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</row>
    <row r="818" ht="23.25" customHeight="1">
      <c r="A818" s="44"/>
      <c r="B818" s="44"/>
      <c r="C818" s="44"/>
      <c r="D818" s="44"/>
      <c r="E818" s="44"/>
      <c r="F818" s="44"/>
      <c r="G818" s="44"/>
      <c r="H818" s="44"/>
      <c r="I818" s="330"/>
      <c r="J818" s="261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</row>
    <row r="819" ht="23.25" customHeight="1">
      <c r="A819" s="44"/>
      <c r="B819" s="44"/>
      <c r="C819" s="44"/>
      <c r="D819" s="44"/>
      <c r="E819" s="44"/>
      <c r="F819" s="44"/>
      <c r="G819" s="44"/>
      <c r="H819" s="44"/>
      <c r="I819" s="330"/>
      <c r="J819" s="261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</row>
    <row r="820" ht="23.25" customHeight="1">
      <c r="A820" s="44"/>
      <c r="B820" s="44"/>
      <c r="C820" s="44"/>
      <c r="D820" s="44"/>
      <c r="E820" s="44"/>
      <c r="F820" s="44"/>
      <c r="G820" s="44"/>
      <c r="H820" s="44"/>
      <c r="I820" s="330"/>
      <c r="J820" s="261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</row>
    <row r="821" ht="23.25" customHeight="1">
      <c r="A821" s="44"/>
      <c r="B821" s="44"/>
      <c r="C821" s="44"/>
      <c r="D821" s="44"/>
      <c r="E821" s="44"/>
      <c r="F821" s="44"/>
      <c r="G821" s="44"/>
      <c r="H821" s="44"/>
      <c r="I821" s="330"/>
      <c r="J821" s="261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</row>
    <row r="822" ht="23.25" customHeight="1">
      <c r="A822" s="44"/>
      <c r="B822" s="44"/>
      <c r="C822" s="44"/>
      <c r="D822" s="44"/>
      <c r="E822" s="44"/>
      <c r="F822" s="44"/>
      <c r="G822" s="44"/>
      <c r="H822" s="44"/>
      <c r="I822" s="330"/>
      <c r="J822" s="261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</row>
    <row r="823" ht="23.25" customHeight="1">
      <c r="A823" s="44"/>
      <c r="B823" s="44"/>
      <c r="C823" s="44"/>
      <c r="D823" s="44"/>
      <c r="E823" s="44"/>
      <c r="F823" s="44"/>
      <c r="G823" s="44"/>
      <c r="H823" s="44"/>
      <c r="I823" s="330"/>
      <c r="J823" s="261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</row>
    <row r="824" ht="23.25" customHeight="1">
      <c r="A824" s="44"/>
      <c r="B824" s="44"/>
      <c r="C824" s="44"/>
      <c r="D824" s="44"/>
      <c r="E824" s="44"/>
      <c r="F824" s="44"/>
      <c r="G824" s="44"/>
      <c r="H824" s="44"/>
      <c r="I824" s="330"/>
      <c r="J824" s="261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</row>
    <row r="825" ht="23.25" customHeight="1">
      <c r="A825" s="44"/>
      <c r="B825" s="44"/>
      <c r="C825" s="44"/>
      <c r="D825" s="44"/>
      <c r="E825" s="44"/>
      <c r="F825" s="44"/>
      <c r="G825" s="44"/>
      <c r="H825" s="44"/>
      <c r="I825" s="330"/>
      <c r="J825" s="261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</row>
    <row r="826" ht="23.25" customHeight="1">
      <c r="A826" s="44"/>
      <c r="B826" s="44"/>
      <c r="C826" s="44"/>
      <c r="D826" s="44"/>
      <c r="E826" s="44"/>
      <c r="F826" s="44"/>
      <c r="G826" s="44"/>
      <c r="H826" s="44"/>
      <c r="I826" s="330"/>
      <c r="J826" s="261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</row>
    <row r="827" ht="23.25" customHeight="1">
      <c r="A827" s="44"/>
      <c r="B827" s="44"/>
      <c r="C827" s="44"/>
      <c r="D827" s="44"/>
      <c r="E827" s="44"/>
      <c r="F827" s="44"/>
      <c r="G827" s="44"/>
      <c r="H827" s="44"/>
      <c r="I827" s="330"/>
      <c r="J827" s="261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</row>
    <row r="828" ht="23.25" customHeight="1">
      <c r="A828" s="44"/>
      <c r="B828" s="44"/>
      <c r="C828" s="44"/>
      <c r="D828" s="44"/>
      <c r="E828" s="44"/>
      <c r="F828" s="44"/>
      <c r="G828" s="44"/>
      <c r="H828" s="44"/>
      <c r="I828" s="330"/>
      <c r="J828" s="261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</row>
    <row r="829" ht="23.25" customHeight="1">
      <c r="A829" s="44"/>
      <c r="B829" s="44"/>
      <c r="C829" s="44"/>
      <c r="D829" s="44"/>
      <c r="E829" s="44"/>
      <c r="F829" s="44"/>
      <c r="G829" s="44"/>
      <c r="H829" s="44"/>
      <c r="I829" s="330"/>
      <c r="J829" s="261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</row>
    <row r="830" ht="23.25" customHeight="1">
      <c r="A830" s="44"/>
      <c r="B830" s="44"/>
      <c r="C830" s="44"/>
      <c r="D830" s="44"/>
      <c r="E830" s="44"/>
      <c r="F830" s="44"/>
      <c r="G830" s="44"/>
      <c r="H830" s="44"/>
      <c r="I830" s="330"/>
      <c r="J830" s="261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</row>
    <row r="831" ht="23.25" customHeight="1">
      <c r="A831" s="44"/>
      <c r="B831" s="44"/>
      <c r="C831" s="44"/>
      <c r="D831" s="44"/>
      <c r="E831" s="44"/>
      <c r="F831" s="44"/>
      <c r="G831" s="44"/>
      <c r="H831" s="44"/>
      <c r="I831" s="330"/>
      <c r="J831" s="261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</row>
    <row r="832" ht="23.25" customHeight="1">
      <c r="A832" s="44"/>
      <c r="B832" s="44"/>
      <c r="C832" s="44"/>
      <c r="D832" s="44"/>
      <c r="E832" s="44"/>
      <c r="F832" s="44"/>
      <c r="G832" s="44"/>
      <c r="H832" s="44"/>
      <c r="I832" s="330"/>
      <c r="J832" s="261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</row>
    <row r="833" ht="23.25" customHeight="1">
      <c r="A833" s="44"/>
      <c r="B833" s="44"/>
      <c r="C833" s="44"/>
      <c r="D833" s="44"/>
      <c r="E833" s="44"/>
      <c r="F833" s="44"/>
      <c r="G833" s="44"/>
      <c r="H833" s="44"/>
      <c r="I833" s="330"/>
      <c r="J833" s="261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</row>
    <row r="834" ht="23.25" customHeight="1">
      <c r="A834" s="44"/>
      <c r="B834" s="44"/>
      <c r="C834" s="44"/>
      <c r="D834" s="44"/>
      <c r="E834" s="44"/>
      <c r="F834" s="44"/>
      <c r="G834" s="44"/>
      <c r="H834" s="44"/>
      <c r="I834" s="330"/>
      <c r="J834" s="261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</row>
    <row r="835" ht="23.25" customHeight="1">
      <c r="A835" s="44"/>
      <c r="B835" s="44"/>
      <c r="C835" s="44"/>
      <c r="D835" s="44"/>
      <c r="E835" s="44"/>
      <c r="F835" s="44"/>
      <c r="G835" s="44"/>
      <c r="H835" s="44"/>
      <c r="I835" s="330"/>
      <c r="J835" s="261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</row>
    <row r="836" ht="23.25" customHeight="1">
      <c r="A836" s="44"/>
      <c r="B836" s="44"/>
      <c r="C836" s="44"/>
      <c r="D836" s="44"/>
      <c r="E836" s="44"/>
      <c r="F836" s="44"/>
      <c r="G836" s="44"/>
      <c r="H836" s="44"/>
      <c r="I836" s="330"/>
      <c r="J836" s="261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</row>
    <row r="837" ht="23.25" customHeight="1">
      <c r="A837" s="44"/>
      <c r="B837" s="44"/>
      <c r="C837" s="44"/>
      <c r="D837" s="44"/>
      <c r="E837" s="44"/>
      <c r="F837" s="44"/>
      <c r="G837" s="44"/>
      <c r="H837" s="44"/>
      <c r="I837" s="330"/>
      <c r="J837" s="261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</row>
    <row r="838" ht="23.25" customHeight="1">
      <c r="A838" s="44"/>
      <c r="B838" s="44"/>
      <c r="C838" s="44"/>
      <c r="D838" s="44"/>
      <c r="E838" s="44"/>
      <c r="F838" s="44"/>
      <c r="G838" s="44"/>
      <c r="H838" s="44"/>
      <c r="I838" s="330"/>
      <c r="J838" s="261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</row>
    <row r="839" ht="23.25" customHeight="1">
      <c r="A839" s="44"/>
      <c r="B839" s="44"/>
      <c r="C839" s="44"/>
      <c r="D839" s="44"/>
      <c r="E839" s="44"/>
      <c r="F839" s="44"/>
      <c r="G839" s="44"/>
      <c r="H839" s="44"/>
      <c r="I839" s="330"/>
      <c r="J839" s="261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</row>
    <row r="840" ht="23.25" customHeight="1">
      <c r="A840" s="44"/>
      <c r="B840" s="44"/>
      <c r="C840" s="44"/>
      <c r="D840" s="44"/>
      <c r="E840" s="44"/>
      <c r="F840" s="44"/>
      <c r="G840" s="44"/>
      <c r="H840" s="44"/>
      <c r="I840" s="330"/>
      <c r="J840" s="261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</row>
    <row r="841" ht="23.25" customHeight="1">
      <c r="A841" s="44"/>
      <c r="B841" s="44"/>
      <c r="C841" s="44"/>
      <c r="D841" s="44"/>
      <c r="E841" s="44"/>
      <c r="F841" s="44"/>
      <c r="G841" s="44"/>
      <c r="H841" s="44"/>
      <c r="I841" s="330"/>
      <c r="J841" s="261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</row>
    <row r="842" ht="23.25" customHeight="1">
      <c r="A842" s="44"/>
      <c r="B842" s="44"/>
      <c r="C842" s="44"/>
      <c r="D842" s="44"/>
      <c r="E842" s="44"/>
      <c r="F842" s="44"/>
      <c r="G842" s="44"/>
      <c r="H842" s="44"/>
      <c r="I842" s="330"/>
      <c r="J842" s="261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</row>
    <row r="843" ht="23.25" customHeight="1">
      <c r="A843" s="44"/>
      <c r="B843" s="44"/>
      <c r="C843" s="44"/>
      <c r="D843" s="44"/>
      <c r="E843" s="44"/>
      <c r="F843" s="44"/>
      <c r="G843" s="44"/>
      <c r="H843" s="44"/>
      <c r="I843" s="330"/>
      <c r="J843" s="261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</row>
    <row r="844" ht="23.25" customHeight="1">
      <c r="A844" s="44"/>
      <c r="B844" s="44"/>
      <c r="C844" s="44"/>
      <c r="D844" s="44"/>
      <c r="E844" s="44"/>
      <c r="F844" s="44"/>
      <c r="G844" s="44"/>
      <c r="H844" s="44"/>
      <c r="I844" s="330"/>
      <c r="J844" s="261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</row>
    <row r="845" ht="23.25" customHeight="1">
      <c r="A845" s="44"/>
      <c r="B845" s="44"/>
      <c r="C845" s="44"/>
      <c r="D845" s="44"/>
      <c r="E845" s="44"/>
      <c r="F845" s="44"/>
      <c r="G845" s="44"/>
      <c r="H845" s="44"/>
      <c r="I845" s="330"/>
      <c r="J845" s="261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</row>
    <row r="846" ht="23.25" customHeight="1">
      <c r="A846" s="44"/>
      <c r="B846" s="44"/>
      <c r="C846" s="44"/>
      <c r="D846" s="44"/>
      <c r="E846" s="44"/>
      <c r="F846" s="44"/>
      <c r="G846" s="44"/>
      <c r="H846" s="44"/>
      <c r="I846" s="330"/>
      <c r="J846" s="261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</row>
    <row r="847" ht="23.25" customHeight="1">
      <c r="A847" s="44"/>
      <c r="B847" s="44"/>
      <c r="C847" s="44"/>
      <c r="D847" s="44"/>
      <c r="E847" s="44"/>
      <c r="F847" s="44"/>
      <c r="G847" s="44"/>
      <c r="H847" s="44"/>
      <c r="I847" s="330"/>
      <c r="J847" s="261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</row>
    <row r="848" ht="23.25" customHeight="1">
      <c r="A848" s="44"/>
      <c r="B848" s="44"/>
      <c r="C848" s="44"/>
      <c r="D848" s="44"/>
      <c r="E848" s="44"/>
      <c r="F848" s="44"/>
      <c r="G848" s="44"/>
      <c r="H848" s="44"/>
      <c r="I848" s="330"/>
      <c r="J848" s="261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</row>
    <row r="849" ht="23.25" customHeight="1">
      <c r="A849" s="44"/>
      <c r="B849" s="44"/>
      <c r="C849" s="44"/>
      <c r="D849" s="44"/>
      <c r="E849" s="44"/>
      <c r="F849" s="44"/>
      <c r="G849" s="44"/>
      <c r="H849" s="44"/>
      <c r="I849" s="330"/>
      <c r="J849" s="261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</row>
    <row r="850" ht="23.25" customHeight="1">
      <c r="A850" s="44"/>
      <c r="B850" s="44"/>
      <c r="C850" s="44"/>
      <c r="D850" s="44"/>
      <c r="E850" s="44"/>
      <c r="F850" s="44"/>
      <c r="G850" s="44"/>
      <c r="H850" s="44"/>
      <c r="I850" s="330"/>
      <c r="J850" s="261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</row>
    <row r="851" ht="23.25" customHeight="1">
      <c r="A851" s="44"/>
      <c r="B851" s="44"/>
      <c r="C851" s="44"/>
      <c r="D851" s="44"/>
      <c r="E851" s="44"/>
      <c r="F851" s="44"/>
      <c r="G851" s="44"/>
      <c r="H851" s="44"/>
      <c r="I851" s="330"/>
      <c r="J851" s="261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</row>
    <row r="852" ht="23.25" customHeight="1">
      <c r="A852" s="44"/>
      <c r="B852" s="44"/>
      <c r="C852" s="44"/>
      <c r="D852" s="44"/>
      <c r="E852" s="44"/>
      <c r="F852" s="44"/>
      <c r="G852" s="44"/>
      <c r="H852" s="44"/>
      <c r="I852" s="330"/>
      <c r="J852" s="261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</row>
    <row r="853" ht="23.25" customHeight="1">
      <c r="A853" s="44"/>
      <c r="B853" s="44"/>
      <c r="C853" s="44"/>
      <c r="D853" s="44"/>
      <c r="E853" s="44"/>
      <c r="F853" s="44"/>
      <c r="G853" s="44"/>
      <c r="H853" s="44"/>
      <c r="I853" s="330"/>
      <c r="J853" s="261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</row>
    <row r="854" ht="23.25" customHeight="1">
      <c r="A854" s="44"/>
      <c r="B854" s="44"/>
      <c r="C854" s="44"/>
      <c r="D854" s="44"/>
      <c r="E854" s="44"/>
      <c r="F854" s="44"/>
      <c r="G854" s="44"/>
      <c r="H854" s="44"/>
      <c r="I854" s="330"/>
      <c r="J854" s="261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</row>
    <row r="855" ht="23.25" customHeight="1">
      <c r="A855" s="44"/>
      <c r="B855" s="44"/>
      <c r="C855" s="44"/>
      <c r="D855" s="44"/>
      <c r="E855" s="44"/>
      <c r="F855" s="44"/>
      <c r="G855" s="44"/>
      <c r="H855" s="44"/>
      <c r="I855" s="330"/>
      <c r="J855" s="261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</row>
    <row r="856" ht="23.25" customHeight="1">
      <c r="A856" s="44"/>
      <c r="B856" s="44"/>
      <c r="C856" s="44"/>
      <c r="D856" s="44"/>
      <c r="E856" s="44"/>
      <c r="F856" s="44"/>
      <c r="G856" s="44"/>
      <c r="H856" s="44"/>
      <c r="I856" s="330"/>
      <c r="J856" s="261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</row>
    <row r="857" ht="23.25" customHeight="1">
      <c r="A857" s="44"/>
      <c r="B857" s="44"/>
      <c r="C857" s="44"/>
      <c r="D857" s="44"/>
      <c r="E857" s="44"/>
      <c r="F857" s="44"/>
      <c r="G857" s="44"/>
      <c r="H857" s="44"/>
      <c r="I857" s="330"/>
      <c r="J857" s="261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</row>
    <row r="858" ht="23.25" customHeight="1">
      <c r="A858" s="44"/>
      <c r="B858" s="44"/>
      <c r="C858" s="44"/>
      <c r="D858" s="44"/>
      <c r="E858" s="44"/>
      <c r="F858" s="44"/>
      <c r="G858" s="44"/>
      <c r="H858" s="44"/>
      <c r="I858" s="330"/>
      <c r="J858" s="261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</row>
    <row r="859" ht="23.25" customHeight="1">
      <c r="A859" s="44"/>
      <c r="B859" s="44"/>
      <c r="C859" s="44"/>
      <c r="D859" s="44"/>
      <c r="E859" s="44"/>
      <c r="F859" s="44"/>
      <c r="G859" s="44"/>
      <c r="H859" s="44"/>
      <c r="I859" s="330"/>
      <c r="J859" s="261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</row>
    <row r="860" ht="23.25" customHeight="1">
      <c r="A860" s="44"/>
      <c r="B860" s="44"/>
      <c r="C860" s="44"/>
      <c r="D860" s="44"/>
      <c r="E860" s="44"/>
      <c r="F860" s="44"/>
      <c r="G860" s="44"/>
      <c r="H860" s="44"/>
      <c r="I860" s="330"/>
      <c r="J860" s="261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</row>
    <row r="861" ht="23.25" customHeight="1">
      <c r="A861" s="44"/>
      <c r="B861" s="44"/>
      <c r="C861" s="44"/>
      <c r="D861" s="44"/>
      <c r="E861" s="44"/>
      <c r="F861" s="44"/>
      <c r="G861" s="44"/>
      <c r="H861" s="44"/>
      <c r="I861" s="330"/>
      <c r="J861" s="261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</row>
    <row r="862" ht="23.25" customHeight="1">
      <c r="A862" s="44"/>
      <c r="B862" s="44"/>
      <c r="C862" s="44"/>
      <c r="D862" s="44"/>
      <c r="E862" s="44"/>
      <c r="F862" s="44"/>
      <c r="G862" s="44"/>
      <c r="H862" s="44"/>
      <c r="I862" s="330"/>
      <c r="J862" s="261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</row>
    <row r="863" ht="23.25" customHeight="1">
      <c r="A863" s="44"/>
      <c r="B863" s="44"/>
      <c r="C863" s="44"/>
      <c r="D863" s="44"/>
      <c r="E863" s="44"/>
      <c r="F863" s="44"/>
      <c r="G863" s="44"/>
      <c r="H863" s="44"/>
      <c r="I863" s="330"/>
      <c r="J863" s="261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</row>
    <row r="864" ht="23.25" customHeight="1">
      <c r="A864" s="44"/>
      <c r="B864" s="44"/>
      <c r="C864" s="44"/>
      <c r="D864" s="44"/>
      <c r="E864" s="44"/>
      <c r="F864" s="44"/>
      <c r="G864" s="44"/>
      <c r="H864" s="44"/>
      <c r="I864" s="330"/>
      <c r="J864" s="261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</row>
    <row r="865" ht="23.25" customHeight="1">
      <c r="A865" s="44"/>
      <c r="B865" s="44"/>
      <c r="C865" s="44"/>
      <c r="D865" s="44"/>
      <c r="E865" s="44"/>
      <c r="F865" s="44"/>
      <c r="G865" s="44"/>
      <c r="H865" s="44"/>
      <c r="I865" s="330"/>
      <c r="J865" s="261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</row>
    <row r="866" ht="23.25" customHeight="1">
      <c r="A866" s="44"/>
      <c r="B866" s="44"/>
      <c r="C866" s="44"/>
      <c r="D866" s="44"/>
      <c r="E866" s="44"/>
      <c r="F866" s="44"/>
      <c r="G866" s="44"/>
      <c r="H866" s="44"/>
      <c r="I866" s="330"/>
      <c r="J866" s="261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</row>
    <row r="867" ht="23.25" customHeight="1">
      <c r="A867" s="44"/>
      <c r="B867" s="44"/>
      <c r="C867" s="44"/>
      <c r="D867" s="44"/>
      <c r="E867" s="44"/>
      <c r="F867" s="44"/>
      <c r="G867" s="44"/>
      <c r="H867" s="44"/>
      <c r="I867" s="330"/>
      <c r="J867" s="261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</row>
    <row r="868" ht="23.25" customHeight="1">
      <c r="A868" s="44"/>
      <c r="B868" s="44"/>
      <c r="C868" s="44"/>
      <c r="D868" s="44"/>
      <c r="E868" s="44"/>
      <c r="F868" s="44"/>
      <c r="G868" s="44"/>
      <c r="H868" s="44"/>
      <c r="I868" s="330"/>
      <c r="J868" s="261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</row>
    <row r="869" ht="23.25" customHeight="1">
      <c r="A869" s="44"/>
      <c r="B869" s="44"/>
      <c r="C869" s="44"/>
      <c r="D869" s="44"/>
      <c r="E869" s="44"/>
      <c r="F869" s="44"/>
      <c r="G869" s="44"/>
      <c r="H869" s="44"/>
      <c r="I869" s="330"/>
      <c r="J869" s="261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</row>
    <row r="870" ht="23.25" customHeight="1">
      <c r="A870" s="44"/>
      <c r="B870" s="44"/>
      <c r="C870" s="44"/>
      <c r="D870" s="44"/>
      <c r="E870" s="44"/>
      <c r="F870" s="44"/>
      <c r="G870" s="44"/>
      <c r="H870" s="44"/>
      <c r="I870" s="330"/>
      <c r="J870" s="261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</row>
    <row r="871" ht="23.25" customHeight="1">
      <c r="A871" s="44"/>
      <c r="B871" s="44"/>
      <c r="C871" s="44"/>
      <c r="D871" s="44"/>
      <c r="E871" s="44"/>
      <c r="F871" s="44"/>
      <c r="G871" s="44"/>
      <c r="H871" s="44"/>
      <c r="I871" s="330"/>
      <c r="J871" s="261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</row>
    <row r="872" ht="23.25" customHeight="1">
      <c r="A872" s="44"/>
      <c r="B872" s="44"/>
      <c r="C872" s="44"/>
      <c r="D872" s="44"/>
      <c r="E872" s="44"/>
      <c r="F872" s="44"/>
      <c r="G872" s="44"/>
      <c r="H872" s="44"/>
      <c r="I872" s="330"/>
      <c r="J872" s="261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</row>
    <row r="873" ht="23.25" customHeight="1">
      <c r="A873" s="44"/>
      <c r="B873" s="44"/>
      <c r="C873" s="44"/>
      <c r="D873" s="44"/>
      <c r="E873" s="44"/>
      <c r="F873" s="44"/>
      <c r="G873" s="44"/>
      <c r="H873" s="44"/>
      <c r="I873" s="330"/>
      <c r="J873" s="261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</row>
    <row r="874" ht="23.25" customHeight="1">
      <c r="A874" s="44"/>
      <c r="B874" s="44"/>
      <c r="C874" s="44"/>
      <c r="D874" s="44"/>
      <c r="E874" s="44"/>
      <c r="F874" s="44"/>
      <c r="G874" s="44"/>
      <c r="H874" s="44"/>
      <c r="I874" s="330"/>
      <c r="J874" s="261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</row>
    <row r="875" ht="23.25" customHeight="1">
      <c r="A875" s="44"/>
      <c r="B875" s="44"/>
      <c r="C875" s="44"/>
      <c r="D875" s="44"/>
      <c r="E875" s="44"/>
      <c r="F875" s="44"/>
      <c r="G875" s="44"/>
      <c r="H875" s="44"/>
      <c r="I875" s="330"/>
      <c r="J875" s="261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</row>
    <row r="876" ht="23.25" customHeight="1">
      <c r="A876" s="44"/>
      <c r="B876" s="44"/>
      <c r="C876" s="44"/>
      <c r="D876" s="44"/>
      <c r="E876" s="44"/>
      <c r="F876" s="44"/>
      <c r="G876" s="44"/>
      <c r="H876" s="44"/>
      <c r="I876" s="330"/>
      <c r="J876" s="261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</row>
    <row r="877" ht="23.25" customHeight="1">
      <c r="A877" s="44"/>
      <c r="B877" s="44"/>
      <c r="C877" s="44"/>
      <c r="D877" s="44"/>
      <c r="E877" s="44"/>
      <c r="F877" s="44"/>
      <c r="G877" s="44"/>
      <c r="H877" s="44"/>
      <c r="I877" s="330"/>
      <c r="J877" s="261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</row>
    <row r="878" ht="23.25" customHeight="1">
      <c r="A878" s="44"/>
      <c r="B878" s="44"/>
      <c r="C878" s="44"/>
      <c r="D878" s="44"/>
      <c r="E878" s="44"/>
      <c r="F878" s="44"/>
      <c r="G878" s="44"/>
      <c r="H878" s="44"/>
      <c r="I878" s="330"/>
      <c r="J878" s="261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</row>
    <row r="879" ht="23.25" customHeight="1">
      <c r="A879" s="44"/>
      <c r="B879" s="44"/>
      <c r="C879" s="44"/>
      <c r="D879" s="44"/>
      <c r="E879" s="44"/>
      <c r="F879" s="44"/>
      <c r="G879" s="44"/>
      <c r="H879" s="44"/>
      <c r="I879" s="330"/>
      <c r="J879" s="261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</row>
    <row r="880" ht="23.25" customHeight="1">
      <c r="A880" s="44"/>
      <c r="B880" s="44"/>
      <c r="C880" s="44"/>
      <c r="D880" s="44"/>
      <c r="E880" s="44"/>
      <c r="F880" s="44"/>
      <c r="G880" s="44"/>
      <c r="H880" s="44"/>
      <c r="I880" s="330"/>
      <c r="J880" s="261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</row>
    <row r="881" ht="23.25" customHeight="1">
      <c r="A881" s="44"/>
      <c r="B881" s="44"/>
      <c r="C881" s="44"/>
      <c r="D881" s="44"/>
      <c r="E881" s="44"/>
      <c r="F881" s="44"/>
      <c r="G881" s="44"/>
      <c r="H881" s="44"/>
      <c r="I881" s="330"/>
      <c r="J881" s="261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</row>
    <row r="882" ht="23.25" customHeight="1">
      <c r="A882" s="44"/>
      <c r="B882" s="44"/>
      <c r="C882" s="44"/>
      <c r="D882" s="44"/>
      <c r="E882" s="44"/>
      <c r="F882" s="44"/>
      <c r="G882" s="44"/>
      <c r="H882" s="44"/>
      <c r="I882" s="330"/>
      <c r="J882" s="261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</row>
    <row r="883" ht="23.25" customHeight="1">
      <c r="A883" s="44"/>
      <c r="B883" s="44"/>
      <c r="C883" s="44"/>
      <c r="D883" s="44"/>
      <c r="E883" s="44"/>
      <c r="F883" s="44"/>
      <c r="G883" s="44"/>
      <c r="H883" s="44"/>
      <c r="I883" s="330"/>
      <c r="J883" s="261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</row>
    <row r="884" ht="23.25" customHeight="1">
      <c r="A884" s="44"/>
      <c r="B884" s="44"/>
      <c r="C884" s="44"/>
      <c r="D884" s="44"/>
      <c r="E884" s="44"/>
      <c r="F884" s="44"/>
      <c r="G884" s="44"/>
      <c r="H884" s="44"/>
      <c r="I884" s="330"/>
      <c r="J884" s="261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</row>
    <row r="885" ht="23.25" customHeight="1">
      <c r="A885" s="44"/>
      <c r="B885" s="44"/>
      <c r="C885" s="44"/>
      <c r="D885" s="44"/>
      <c r="E885" s="44"/>
      <c r="F885" s="44"/>
      <c r="G885" s="44"/>
      <c r="H885" s="44"/>
      <c r="I885" s="330"/>
      <c r="J885" s="261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</row>
    <row r="886" ht="23.25" customHeight="1">
      <c r="A886" s="44"/>
      <c r="B886" s="44"/>
      <c r="C886" s="44"/>
      <c r="D886" s="44"/>
      <c r="E886" s="44"/>
      <c r="F886" s="44"/>
      <c r="G886" s="44"/>
      <c r="H886" s="44"/>
      <c r="I886" s="330"/>
      <c r="J886" s="261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</row>
    <row r="887" ht="23.25" customHeight="1">
      <c r="A887" s="44"/>
      <c r="B887" s="44"/>
      <c r="C887" s="44"/>
      <c r="D887" s="44"/>
      <c r="E887" s="44"/>
      <c r="F887" s="44"/>
      <c r="G887" s="44"/>
      <c r="H887" s="44"/>
      <c r="I887" s="330"/>
      <c r="J887" s="261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</row>
    <row r="888" ht="23.25" customHeight="1">
      <c r="A888" s="44"/>
      <c r="B888" s="44"/>
      <c r="C888" s="44"/>
      <c r="D888" s="44"/>
      <c r="E888" s="44"/>
      <c r="F888" s="44"/>
      <c r="G888" s="44"/>
      <c r="H888" s="44"/>
      <c r="I888" s="330"/>
      <c r="J888" s="261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</row>
    <row r="889" ht="23.25" customHeight="1">
      <c r="A889" s="44"/>
      <c r="B889" s="44"/>
      <c r="C889" s="44"/>
      <c r="D889" s="44"/>
      <c r="E889" s="44"/>
      <c r="F889" s="44"/>
      <c r="G889" s="44"/>
      <c r="H889" s="44"/>
      <c r="I889" s="330"/>
      <c r="J889" s="261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</row>
    <row r="890" ht="23.25" customHeight="1">
      <c r="A890" s="44"/>
      <c r="B890" s="44"/>
      <c r="C890" s="44"/>
      <c r="D890" s="44"/>
      <c r="E890" s="44"/>
      <c r="F890" s="44"/>
      <c r="G890" s="44"/>
      <c r="H890" s="44"/>
      <c r="I890" s="330"/>
      <c r="J890" s="261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</row>
    <row r="891" ht="23.25" customHeight="1">
      <c r="A891" s="44"/>
      <c r="B891" s="44"/>
      <c r="C891" s="44"/>
      <c r="D891" s="44"/>
      <c r="E891" s="44"/>
      <c r="F891" s="44"/>
      <c r="G891" s="44"/>
      <c r="H891" s="44"/>
      <c r="I891" s="330"/>
      <c r="J891" s="261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</row>
    <row r="892" ht="23.25" customHeight="1">
      <c r="A892" s="44"/>
      <c r="B892" s="44"/>
      <c r="C892" s="44"/>
      <c r="D892" s="44"/>
      <c r="E892" s="44"/>
      <c r="F892" s="44"/>
      <c r="G892" s="44"/>
      <c r="H892" s="44"/>
      <c r="I892" s="330"/>
      <c r="J892" s="261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</row>
    <row r="893" ht="23.25" customHeight="1">
      <c r="A893" s="44"/>
      <c r="B893" s="44"/>
      <c r="C893" s="44"/>
      <c r="D893" s="44"/>
      <c r="E893" s="44"/>
      <c r="F893" s="44"/>
      <c r="G893" s="44"/>
      <c r="H893" s="44"/>
      <c r="I893" s="330"/>
      <c r="J893" s="261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</row>
    <row r="894" ht="23.25" customHeight="1">
      <c r="A894" s="44"/>
      <c r="B894" s="44"/>
      <c r="C894" s="44"/>
      <c r="D894" s="44"/>
      <c r="E894" s="44"/>
      <c r="F894" s="44"/>
      <c r="G894" s="44"/>
      <c r="H894" s="44"/>
      <c r="I894" s="330"/>
      <c r="J894" s="261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</row>
    <row r="895" ht="23.25" customHeight="1">
      <c r="A895" s="44"/>
      <c r="B895" s="44"/>
      <c r="C895" s="44"/>
      <c r="D895" s="44"/>
      <c r="E895" s="44"/>
      <c r="F895" s="44"/>
      <c r="G895" s="44"/>
      <c r="H895" s="44"/>
      <c r="I895" s="330"/>
      <c r="J895" s="261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</row>
    <row r="896" ht="23.25" customHeight="1">
      <c r="A896" s="44"/>
      <c r="B896" s="44"/>
      <c r="C896" s="44"/>
      <c r="D896" s="44"/>
      <c r="E896" s="44"/>
      <c r="F896" s="44"/>
      <c r="G896" s="44"/>
      <c r="H896" s="44"/>
      <c r="I896" s="330"/>
      <c r="J896" s="261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</row>
    <row r="897" ht="23.25" customHeight="1">
      <c r="A897" s="44"/>
      <c r="B897" s="44"/>
      <c r="C897" s="44"/>
      <c r="D897" s="44"/>
      <c r="E897" s="44"/>
      <c r="F897" s="44"/>
      <c r="G897" s="44"/>
      <c r="H897" s="44"/>
      <c r="I897" s="330"/>
      <c r="J897" s="261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</row>
    <row r="898" ht="23.25" customHeight="1">
      <c r="A898" s="44"/>
      <c r="B898" s="44"/>
      <c r="C898" s="44"/>
      <c r="D898" s="44"/>
      <c r="E898" s="44"/>
      <c r="F898" s="44"/>
      <c r="G898" s="44"/>
      <c r="H898" s="44"/>
      <c r="I898" s="330"/>
      <c r="J898" s="261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</row>
    <row r="899" ht="23.25" customHeight="1">
      <c r="A899" s="44"/>
      <c r="B899" s="44"/>
      <c r="C899" s="44"/>
      <c r="D899" s="44"/>
      <c r="E899" s="44"/>
      <c r="F899" s="44"/>
      <c r="G899" s="44"/>
      <c r="H899" s="44"/>
      <c r="I899" s="330"/>
      <c r="J899" s="261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</row>
    <row r="900" ht="23.25" customHeight="1">
      <c r="A900" s="44"/>
      <c r="B900" s="44"/>
      <c r="C900" s="44"/>
      <c r="D900" s="44"/>
      <c r="E900" s="44"/>
      <c r="F900" s="44"/>
      <c r="G900" s="44"/>
      <c r="H900" s="44"/>
      <c r="I900" s="330"/>
      <c r="J900" s="261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</row>
    <row r="901" ht="23.25" customHeight="1">
      <c r="A901" s="44"/>
      <c r="B901" s="44"/>
      <c r="C901" s="44"/>
      <c r="D901" s="44"/>
      <c r="E901" s="44"/>
      <c r="F901" s="44"/>
      <c r="G901" s="44"/>
      <c r="H901" s="44"/>
      <c r="I901" s="330"/>
      <c r="J901" s="261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</row>
    <row r="902" ht="23.25" customHeight="1">
      <c r="A902" s="44"/>
      <c r="B902" s="44"/>
      <c r="C902" s="44"/>
      <c r="D902" s="44"/>
      <c r="E902" s="44"/>
      <c r="F902" s="44"/>
      <c r="G902" s="44"/>
      <c r="H902" s="44"/>
      <c r="I902" s="330"/>
      <c r="J902" s="261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</row>
    <row r="903" ht="23.25" customHeight="1">
      <c r="A903" s="44"/>
      <c r="B903" s="44"/>
      <c r="C903" s="44"/>
      <c r="D903" s="44"/>
      <c r="E903" s="44"/>
      <c r="F903" s="44"/>
      <c r="G903" s="44"/>
      <c r="H903" s="44"/>
      <c r="I903" s="330"/>
      <c r="J903" s="261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</row>
    <row r="904" ht="23.25" customHeight="1">
      <c r="A904" s="44"/>
      <c r="B904" s="44"/>
      <c r="C904" s="44"/>
      <c r="D904" s="44"/>
      <c r="E904" s="44"/>
      <c r="F904" s="44"/>
      <c r="G904" s="44"/>
      <c r="H904" s="44"/>
      <c r="I904" s="330"/>
      <c r="J904" s="261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</row>
    <row r="905" ht="23.25" customHeight="1">
      <c r="A905" s="44"/>
      <c r="B905" s="44"/>
      <c r="C905" s="44"/>
      <c r="D905" s="44"/>
      <c r="E905" s="44"/>
      <c r="F905" s="44"/>
      <c r="G905" s="44"/>
      <c r="H905" s="44"/>
      <c r="I905" s="330"/>
      <c r="J905" s="261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</row>
    <row r="906" ht="23.25" customHeight="1">
      <c r="A906" s="44"/>
      <c r="B906" s="44"/>
      <c r="C906" s="44"/>
      <c r="D906" s="44"/>
      <c r="E906" s="44"/>
      <c r="F906" s="44"/>
      <c r="G906" s="44"/>
      <c r="H906" s="44"/>
      <c r="I906" s="330"/>
      <c r="J906" s="261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</row>
    <row r="907" ht="23.25" customHeight="1">
      <c r="A907" s="44"/>
      <c r="B907" s="44"/>
      <c r="C907" s="44"/>
      <c r="D907" s="44"/>
      <c r="E907" s="44"/>
      <c r="F907" s="44"/>
      <c r="G907" s="44"/>
      <c r="H907" s="44"/>
      <c r="I907" s="330"/>
      <c r="J907" s="261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</row>
    <row r="908" ht="23.25" customHeight="1">
      <c r="A908" s="44"/>
      <c r="B908" s="44"/>
      <c r="C908" s="44"/>
      <c r="D908" s="44"/>
      <c r="E908" s="44"/>
      <c r="F908" s="44"/>
      <c r="G908" s="44"/>
      <c r="H908" s="44"/>
      <c r="I908" s="330"/>
      <c r="J908" s="261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</row>
    <row r="909" ht="23.25" customHeight="1">
      <c r="A909" s="44"/>
      <c r="B909" s="44"/>
      <c r="C909" s="44"/>
      <c r="D909" s="44"/>
      <c r="E909" s="44"/>
      <c r="F909" s="44"/>
      <c r="G909" s="44"/>
      <c r="H909" s="44"/>
      <c r="I909" s="330"/>
      <c r="J909" s="261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</row>
    <row r="910" ht="23.25" customHeight="1">
      <c r="A910" s="44"/>
      <c r="B910" s="44"/>
      <c r="C910" s="44"/>
      <c r="D910" s="44"/>
      <c r="E910" s="44"/>
      <c r="F910" s="44"/>
      <c r="G910" s="44"/>
      <c r="H910" s="44"/>
      <c r="I910" s="330"/>
      <c r="J910" s="261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</row>
    <row r="911" ht="23.25" customHeight="1">
      <c r="A911" s="44"/>
      <c r="B911" s="44"/>
      <c r="C911" s="44"/>
      <c r="D911" s="44"/>
      <c r="E911" s="44"/>
      <c r="F911" s="44"/>
      <c r="G911" s="44"/>
      <c r="H911" s="44"/>
      <c r="I911" s="330"/>
      <c r="J911" s="261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</row>
    <row r="912" ht="23.25" customHeight="1">
      <c r="A912" s="44"/>
      <c r="B912" s="44"/>
      <c r="C912" s="44"/>
      <c r="D912" s="44"/>
      <c r="E912" s="44"/>
      <c r="F912" s="44"/>
      <c r="G912" s="44"/>
      <c r="H912" s="44"/>
      <c r="I912" s="330"/>
      <c r="J912" s="261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</row>
    <row r="913" ht="23.25" customHeight="1">
      <c r="A913" s="44"/>
      <c r="B913" s="44"/>
      <c r="C913" s="44"/>
      <c r="D913" s="44"/>
      <c r="E913" s="44"/>
      <c r="F913" s="44"/>
      <c r="G913" s="44"/>
      <c r="H913" s="44"/>
      <c r="I913" s="330"/>
      <c r="J913" s="261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</row>
    <row r="914" ht="23.25" customHeight="1">
      <c r="A914" s="44"/>
      <c r="B914" s="44"/>
      <c r="C914" s="44"/>
      <c r="D914" s="44"/>
      <c r="E914" s="44"/>
      <c r="F914" s="44"/>
      <c r="G914" s="44"/>
      <c r="H914" s="44"/>
      <c r="I914" s="330"/>
      <c r="J914" s="261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</row>
    <row r="915" ht="23.25" customHeight="1">
      <c r="A915" s="44"/>
      <c r="B915" s="44"/>
      <c r="C915" s="44"/>
      <c r="D915" s="44"/>
      <c r="E915" s="44"/>
      <c r="F915" s="44"/>
      <c r="G915" s="44"/>
      <c r="H915" s="44"/>
      <c r="I915" s="330"/>
      <c r="J915" s="261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</row>
    <row r="916" ht="23.25" customHeight="1">
      <c r="A916" s="44"/>
      <c r="B916" s="44"/>
      <c r="C916" s="44"/>
      <c r="D916" s="44"/>
      <c r="E916" s="44"/>
      <c r="F916" s="44"/>
      <c r="G916" s="44"/>
      <c r="H916" s="44"/>
      <c r="I916" s="330"/>
      <c r="J916" s="261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</row>
    <row r="917" ht="23.25" customHeight="1">
      <c r="A917" s="44"/>
      <c r="B917" s="44"/>
      <c r="C917" s="44"/>
      <c r="D917" s="44"/>
      <c r="E917" s="44"/>
      <c r="F917" s="44"/>
      <c r="G917" s="44"/>
      <c r="H917" s="44"/>
      <c r="I917" s="330"/>
      <c r="J917" s="261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</row>
    <row r="918" ht="23.25" customHeight="1">
      <c r="A918" s="44"/>
      <c r="B918" s="44"/>
      <c r="C918" s="44"/>
      <c r="D918" s="44"/>
      <c r="E918" s="44"/>
      <c r="F918" s="44"/>
      <c r="G918" s="44"/>
      <c r="H918" s="44"/>
      <c r="I918" s="330"/>
      <c r="J918" s="261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</row>
    <row r="919" ht="23.25" customHeight="1">
      <c r="A919" s="44"/>
      <c r="B919" s="44"/>
      <c r="C919" s="44"/>
      <c r="D919" s="44"/>
      <c r="E919" s="44"/>
      <c r="F919" s="44"/>
      <c r="G919" s="44"/>
      <c r="H919" s="44"/>
      <c r="I919" s="330"/>
      <c r="J919" s="261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</row>
    <row r="920" ht="23.25" customHeight="1">
      <c r="A920" s="44"/>
      <c r="B920" s="44"/>
      <c r="C920" s="44"/>
      <c r="D920" s="44"/>
      <c r="E920" s="44"/>
      <c r="F920" s="44"/>
      <c r="G920" s="44"/>
      <c r="H920" s="44"/>
      <c r="I920" s="330"/>
      <c r="J920" s="261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</row>
    <row r="921" ht="23.25" customHeight="1">
      <c r="A921" s="44"/>
      <c r="B921" s="44"/>
      <c r="C921" s="44"/>
      <c r="D921" s="44"/>
      <c r="E921" s="44"/>
      <c r="F921" s="44"/>
      <c r="G921" s="44"/>
      <c r="H921" s="44"/>
      <c r="I921" s="330"/>
      <c r="J921" s="261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</row>
    <row r="922" ht="23.25" customHeight="1">
      <c r="A922" s="44"/>
      <c r="B922" s="44"/>
      <c r="C922" s="44"/>
      <c r="D922" s="44"/>
      <c r="E922" s="44"/>
      <c r="F922" s="44"/>
      <c r="G922" s="44"/>
      <c r="H922" s="44"/>
      <c r="I922" s="330"/>
      <c r="J922" s="261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</row>
    <row r="923" ht="23.25" customHeight="1">
      <c r="A923" s="44"/>
      <c r="B923" s="44"/>
      <c r="C923" s="44"/>
      <c r="D923" s="44"/>
      <c r="E923" s="44"/>
      <c r="F923" s="44"/>
      <c r="G923" s="44"/>
      <c r="H923" s="44"/>
      <c r="I923" s="330"/>
      <c r="J923" s="261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</row>
    <row r="924" ht="23.25" customHeight="1">
      <c r="A924" s="44"/>
      <c r="B924" s="44"/>
      <c r="C924" s="44"/>
      <c r="D924" s="44"/>
      <c r="E924" s="44"/>
      <c r="F924" s="44"/>
      <c r="G924" s="44"/>
      <c r="H924" s="44"/>
      <c r="I924" s="330"/>
      <c r="J924" s="261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</row>
    <row r="925" ht="23.25" customHeight="1">
      <c r="A925" s="44"/>
      <c r="B925" s="44"/>
      <c r="C925" s="44"/>
      <c r="D925" s="44"/>
      <c r="E925" s="44"/>
      <c r="F925" s="44"/>
      <c r="G925" s="44"/>
      <c r="H925" s="44"/>
      <c r="I925" s="330"/>
      <c r="J925" s="261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</row>
    <row r="926" ht="23.25" customHeight="1">
      <c r="A926" s="44"/>
      <c r="B926" s="44"/>
      <c r="C926" s="44"/>
      <c r="D926" s="44"/>
      <c r="E926" s="44"/>
      <c r="F926" s="44"/>
      <c r="G926" s="44"/>
      <c r="H926" s="44"/>
      <c r="I926" s="330"/>
      <c r="J926" s="261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</row>
    <row r="927" ht="23.25" customHeight="1">
      <c r="A927" s="44"/>
      <c r="B927" s="44"/>
      <c r="C927" s="44"/>
      <c r="D927" s="44"/>
      <c r="E927" s="44"/>
      <c r="F927" s="44"/>
      <c r="G927" s="44"/>
      <c r="H927" s="44"/>
      <c r="I927" s="330"/>
      <c r="J927" s="261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</row>
    <row r="928" ht="23.25" customHeight="1">
      <c r="A928" s="44"/>
      <c r="B928" s="44"/>
      <c r="C928" s="44"/>
      <c r="D928" s="44"/>
      <c r="E928" s="44"/>
      <c r="F928" s="44"/>
      <c r="G928" s="44"/>
      <c r="H928" s="44"/>
      <c r="I928" s="330"/>
      <c r="J928" s="261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</row>
    <row r="929" ht="23.25" customHeight="1">
      <c r="A929" s="44"/>
      <c r="B929" s="44"/>
      <c r="C929" s="44"/>
      <c r="D929" s="44"/>
      <c r="E929" s="44"/>
      <c r="F929" s="44"/>
      <c r="G929" s="44"/>
      <c r="H929" s="44"/>
      <c r="I929" s="330"/>
      <c r="J929" s="261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</row>
    <row r="930" ht="23.25" customHeight="1">
      <c r="A930" s="44"/>
      <c r="B930" s="44"/>
      <c r="C930" s="44"/>
      <c r="D930" s="44"/>
      <c r="E930" s="44"/>
      <c r="F930" s="44"/>
      <c r="G930" s="44"/>
      <c r="H930" s="44"/>
      <c r="I930" s="330"/>
      <c r="J930" s="261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</row>
    <row r="931" ht="23.25" customHeight="1">
      <c r="A931" s="44"/>
      <c r="B931" s="44"/>
      <c r="C931" s="44"/>
      <c r="D931" s="44"/>
      <c r="E931" s="44"/>
      <c r="F931" s="44"/>
      <c r="G931" s="44"/>
      <c r="H931" s="44"/>
      <c r="I931" s="330"/>
      <c r="J931" s="261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</row>
    <row r="932" ht="23.25" customHeight="1">
      <c r="A932" s="44"/>
      <c r="B932" s="44"/>
      <c r="C932" s="44"/>
      <c r="D932" s="44"/>
      <c r="E932" s="44"/>
      <c r="F932" s="44"/>
      <c r="G932" s="44"/>
      <c r="H932" s="44"/>
      <c r="I932" s="330"/>
      <c r="J932" s="261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</row>
    <row r="933" ht="23.25" customHeight="1">
      <c r="A933" s="44"/>
      <c r="B933" s="44"/>
      <c r="C933" s="44"/>
      <c r="D933" s="44"/>
      <c r="E933" s="44"/>
      <c r="F933" s="44"/>
      <c r="G933" s="44"/>
      <c r="H933" s="44"/>
      <c r="I933" s="330"/>
      <c r="J933" s="261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</row>
    <row r="934" ht="23.25" customHeight="1">
      <c r="A934" s="44"/>
      <c r="B934" s="44"/>
      <c r="C934" s="44"/>
      <c r="D934" s="44"/>
      <c r="E934" s="44"/>
      <c r="F934" s="44"/>
      <c r="G934" s="44"/>
      <c r="H934" s="44"/>
      <c r="I934" s="330"/>
      <c r="J934" s="261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</row>
    <row r="935" ht="23.25" customHeight="1">
      <c r="A935" s="44"/>
      <c r="B935" s="44"/>
      <c r="C935" s="44"/>
      <c r="D935" s="44"/>
      <c r="E935" s="44"/>
      <c r="F935" s="44"/>
      <c r="G935" s="44"/>
      <c r="H935" s="44"/>
      <c r="I935" s="330"/>
      <c r="J935" s="261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</row>
    <row r="936" ht="23.25" customHeight="1">
      <c r="A936" s="44"/>
      <c r="B936" s="44"/>
      <c r="C936" s="44"/>
      <c r="D936" s="44"/>
      <c r="E936" s="44"/>
      <c r="F936" s="44"/>
      <c r="G936" s="44"/>
      <c r="H936" s="44"/>
      <c r="I936" s="330"/>
      <c r="J936" s="261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</row>
    <row r="937" ht="23.25" customHeight="1">
      <c r="A937" s="44"/>
      <c r="B937" s="44"/>
      <c r="C937" s="44"/>
      <c r="D937" s="44"/>
      <c r="E937" s="44"/>
      <c r="F937" s="44"/>
      <c r="G937" s="44"/>
      <c r="H937" s="44"/>
      <c r="I937" s="330"/>
      <c r="J937" s="261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</row>
    <row r="938" ht="23.25" customHeight="1">
      <c r="A938" s="44"/>
      <c r="B938" s="44"/>
      <c r="C938" s="44"/>
      <c r="D938" s="44"/>
      <c r="E938" s="44"/>
      <c r="F938" s="44"/>
      <c r="G938" s="44"/>
      <c r="H938" s="44"/>
      <c r="I938" s="330"/>
      <c r="J938" s="261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</row>
    <row r="939" ht="23.25" customHeight="1">
      <c r="A939" s="44"/>
      <c r="B939" s="44"/>
      <c r="C939" s="44"/>
      <c r="D939" s="44"/>
      <c r="E939" s="44"/>
      <c r="F939" s="44"/>
      <c r="G939" s="44"/>
      <c r="H939" s="44"/>
      <c r="I939" s="330"/>
      <c r="J939" s="261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</row>
    <row r="940" ht="23.25" customHeight="1">
      <c r="A940" s="44"/>
      <c r="B940" s="44"/>
      <c r="C940" s="44"/>
      <c r="D940" s="44"/>
      <c r="E940" s="44"/>
      <c r="F940" s="44"/>
      <c r="G940" s="44"/>
      <c r="H940" s="44"/>
      <c r="I940" s="330"/>
      <c r="J940" s="261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</row>
    <row r="941" ht="23.25" customHeight="1">
      <c r="A941" s="44"/>
      <c r="B941" s="44"/>
      <c r="C941" s="44"/>
      <c r="D941" s="44"/>
      <c r="E941" s="44"/>
      <c r="F941" s="44"/>
      <c r="G941" s="44"/>
      <c r="H941" s="44"/>
      <c r="I941" s="330"/>
      <c r="J941" s="261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</row>
    <row r="942" ht="23.25" customHeight="1">
      <c r="A942" s="44"/>
      <c r="B942" s="44"/>
      <c r="C942" s="44"/>
      <c r="D942" s="44"/>
      <c r="E942" s="44"/>
      <c r="F942" s="44"/>
      <c r="G942" s="44"/>
      <c r="H942" s="44"/>
      <c r="I942" s="330"/>
      <c r="J942" s="261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</row>
    <row r="943" ht="23.25" customHeight="1">
      <c r="A943" s="44"/>
      <c r="B943" s="44"/>
      <c r="C943" s="44"/>
      <c r="D943" s="44"/>
      <c r="E943" s="44"/>
      <c r="F943" s="44"/>
      <c r="G943" s="44"/>
      <c r="H943" s="44"/>
      <c r="I943" s="330"/>
      <c r="J943" s="261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</row>
    <row r="944" ht="23.25" customHeight="1">
      <c r="A944" s="44"/>
      <c r="B944" s="44"/>
      <c r="C944" s="44"/>
      <c r="D944" s="44"/>
      <c r="E944" s="44"/>
      <c r="F944" s="44"/>
      <c r="G944" s="44"/>
      <c r="H944" s="44"/>
      <c r="I944" s="330"/>
      <c r="J944" s="261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</row>
    <row r="945" ht="23.25" customHeight="1">
      <c r="A945" s="44"/>
      <c r="B945" s="44"/>
      <c r="C945" s="44"/>
      <c r="D945" s="44"/>
      <c r="E945" s="44"/>
      <c r="F945" s="44"/>
      <c r="G945" s="44"/>
      <c r="H945" s="44"/>
      <c r="I945" s="330"/>
      <c r="J945" s="261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</row>
    <row r="946" ht="23.25" customHeight="1">
      <c r="A946" s="44"/>
      <c r="B946" s="44"/>
      <c r="C946" s="44"/>
      <c r="D946" s="44"/>
      <c r="E946" s="44"/>
      <c r="F946" s="44"/>
      <c r="G946" s="44"/>
      <c r="H946" s="44"/>
      <c r="I946" s="330"/>
      <c r="J946" s="261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</row>
    <row r="947" ht="23.25" customHeight="1">
      <c r="A947" s="44"/>
      <c r="B947" s="44"/>
      <c r="C947" s="44"/>
      <c r="D947" s="44"/>
      <c r="E947" s="44"/>
      <c r="F947" s="44"/>
      <c r="G947" s="44"/>
      <c r="H947" s="44"/>
      <c r="I947" s="330"/>
      <c r="J947" s="261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</row>
    <row r="948" ht="23.25" customHeight="1">
      <c r="A948" s="44"/>
      <c r="B948" s="44"/>
      <c r="C948" s="44"/>
      <c r="D948" s="44"/>
      <c r="E948" s="44"/>
      <c r="F948" s="44"/>
      <c r="G948" s="44"/>
      <c r="H948" s="44"/>
      <c r="I948" s="330"/>
      <c r="J948" s="261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</row>
    <row r="949" ht="23.25" customHeight="1">
      <c r="A949" s="44"/>
      <c r="B949" s="44"/>
      <c r="C949" s="44"/>
      <c r="D949" s="44"/>
      <c r="E949" s="44"/>
      <c r="F949" s="44"/>
      <c r="G949" s="44"/>
      <c r="H949" s="44"/>
      <c r="I949" s="330"/>
      <c r="J949" s="261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</row>
    <row r="950" ht="23.25" customHeight="1">
      <c r="A950" s="44"/>
      <c r="B950" s="44"/>
      <c r="C950" s="44"/>
      <c r="D950" s="44"/>
      <c r="E950" s="44"/>
      <c r="F950" s="44"/>
      <c r="G950" s="44"/>
      <c r="H950" s="44"/>
      <c r="I950" s="330"/>
      <c r="J950" s="261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</row>
    <row r="951" ht="23.25" customHeight="1">
      <c r="A951" s="44"/>
      <c r="B951" s="44"/>
      <c r="C951" s="44"/>
      <c r="D951" s="44"/>
      <c r="E951" s="44"/>
      <c r="F951" s="44"/>
      <c r="G951" s="44"/>
      <c r="H951" s="44"/>
      <c r="I951" s="330"/>
      <c r="J951" s="261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</row>
    <row r="952" ht="23.25" customHeight="1">
      <c r="A952" s="44"/>
      <c r="B952" s="44"/>
      <c r="C952" s="44"/>
      <c r="D952" s="44"/>
      <c r="E952" s="44"/>
      <c r="F952" s="44"/>
      <c r="G952" s="44"/>
      <c r="H952" s="44"/>
      <c r="I952" s="330"/>
      <c r="J952" s="261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</row>
    <row r="953" ht="23.25" customHeight="1">
      <c r="A953" s="44"/>
      <c r="B953" s="44"/>
      <c r="C953" s="44"/>
      <c r="D953" s="44"/>
      <c r="E953" s="44"/>
      <c r="F953" s="44"/>
      <c r="G953" s="44"/>
      <c r="H953" s="44"/>
      <c r="I953" s="330"/>
      <c r="J953" s="261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</row>
    <row r="954" ht="23.25" customHeight="1">
      <c r="A954" s="44"/>
      <c r="B954" s="44"/>
      <c r="C954" s="44"/>
      <c r="D954" s="44"/>
      <c r="E954" s="44"/>
      <c r="F954" s="44"/>
      <c r="G954" s="44"/>
      <c r="H954" s="44"/>
      <c r="I954" s="330"/>
      <c r="J954" s="261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</row>
    <row r="955" ht="23.25" customHeight="1">
      <c r="A955" s="44"/>
      <c r="B955" s="44"/>
      <c r="C955" s="44"/>
      <c r="D955" s="44"/>
      <c r="E955" s="44"/>
      <c r="F955" s="44"/>
      <c r="G955" s="44"/>
      <c r="H955" s="44"/>
      <c r="I955" s="330"/>
      <c r="J955" s="261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</row>
    <row r="956" ht="23.25" customHeight="1">
      <c r="A956" s="44"/>
      <c r="B956" s="44"/>
      <c r="C956" s="44"/>
      <c r="D956" s="44"/>
      <c r="E956" s="44"/>
      <c r="F956" s="44"/>
      <c r="G956" s="44"/>
      <c r="H956" s="44"/>
      <c r="I956" s="330"/>
      <c r="J956" s="261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</row>
    <row r="957" ht="23.25" customHeight="1">
      <c r="A957" s="44"/>
      <c r="B957" s="44"/>
      <c r="C957" s="44"/>
      <c r="D957" s="44"/>
      <c r="E957" s="44"/>
      <c r="F957" s="44"/>
      <c r="G957" s="44"/>
      <c r="H957" s="44"/>
      <c r="I957" s="330"/>
      <c r="J957" s="261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</row>
    <row r="958" ht="23.25" customHeight="1">
      <c r="A958" s="44"/>
      <c r="B958" s="44"/>
      <c r="C958" s="44"/>
      <c r="D958" s="44"/>
      <c r="E958" s="44"/>
      <c r="F958" s="44"/>
      <c r="G958" s="44"/>
      <c r="H958" s="44"/>
      <c r="I958" s="330"/>
      <c r="J958" s="261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</row>
    <row r="959" ht="23.25" customHeight="1">
      <c r="A959" s="44"/>
      <c r="B959" s="44"/>
      <c r="C959" s="44"/>
      <c r="D959" s="44"/>
      <c r="E959" s="44"/>
      <c r="F959" s="44"/>
      <c r="G959" s="44"/>
      <c r="H959" s="44"/>
      <c r="I959" s="330"/>
      <c r="J959" s="261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</row>
    <row r="960" ht="23.25" customHeight="1">
      <c r="A960" s="44"/>
      <c r="B960" s="44"/>
      <c r="C960" s="44"/>
      <c r="D960" s="44"/>
      <c r="E960" s="44"/>
      <c r="F960" s="44"/>
      <c r="G960" s="44"/>
      <c r="H960" s="44"/>
      <c r="I960" s="330"/>
      <c r="J960" s="261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</row>
    <row r="961" ht="23.25" customHeight="1">
      <c r="A961" s="44"/>
      <c r="B961" s="44"/>
      <c r="C961" s="44"/>
      <c r="D961" s="44"/>
      <c r="E961" s="44"/>
      <c r="F961" s="44"/>
      <c r="G961" s="44"/>
      <c r="H961" s="44"/>
      <c r="I961" s="330"/>
      <c r="J961" s="261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</row>
    <row r="962" ht="23.25" customHeight="1">
      <c r="A962" s="44"/>
      <c r="B962" s="44"/>
      <c r="C962" s="44"/>
      <c r="D962" s="44"/>
      <c r="E962" s="44"/>
      <c r="F962" s="44"/>
      <c r="G962" s="44"/>
      <c r="H962" s="44"/>
      <c r="I962" s="330"/>
      <c r="J962" s="261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</row>
    <row r="963" ht="23.25" customHeight="1">
      <c r="A963" s="44"/>
      <c r="B963" s="44"/>
      <c r="C963" s="44"/>
      <c r="D963" s="44"/>
      <c r="E963" s="44"/>
      <c r="F963" s="44"/>
      <c r="G963" s="44"/>
      <c r="H963" s="44"/>
      <c r="I963" s="330"/>
      <c r="J963" s="261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</row>
    <row r="964" ht="23.25" customHeight="1">
      <c r="A964" s="44"/>
      <c r="B964" s="44"/>
      <c r="C964" s="44"/>
      <c r="D964" s="44"/>
      <c r="E964" s="44"/>
      <c r="F964" s="44"/>
      <c r="G964" s="44"/>
      <c r="H964" s="44"/>
      <c r="I964" s="330"/>
      <c r="J964" s="261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</row>
    <row r="965" ht="23.25" customHeight="1">
      <c r="A965" s="44"/>
      <c r="B965" s="44"/>
      <c r="C965" s="44"/>
      <c r="D965" s="44"/>
      <c r="E965" s="44"/>
      <c r="F965" s="44"/>
      <c r="G965" s="44"/>
      <c r="H965" s="44"/>
      <c r="I965" s="330"/>
      <c r="J965" s="261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</row>
    <row r="966" ht="23.25" customHeight="1">
      <c r="A966" s="44"/>
      <c r="B966" s="44"/>
      <c r="C966" s="44"/>
      <c r="D966" s="44"/>
      <c r="E966" s="44"/>
      <c r="F966" s="44"/>
      <c r="G966" s="44"/>
      <c r="H966" s="44"/>
      <c r="I966" s="330"/>
      <c r="J966" s="261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</row>
    <row r="967" ht="23.25" customHeight="1">
      <c r="A967" s="44"/>
      <c r="B967" s="44"/>
      <c r="C967" s="44"/>
      <c r="D967" s="44"/>
      <c r="E967" s="44"/>
      <c r="F967" s="44"/>
      <c r="G967" s="44"/>
      <c r="H967" s="44"/>
      <c r="I967" s="330"/>
      <c r="J967" s="261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</row>
    <row r="968" ht="23.25" customHeight="1">
      <c r="A968" s="44"/>
      <c r="B968" s="44"/>
      <c r="C968" s="44"/>
      <c r="D968" s="44"/>
      <c r="E968" s="44"/>
      <c r="F968" s="44"/>
      <c r="G968" s="44"/>
      <c r="H968" s="44"/>
      <c r="I968" s="330"/>
      <c r="J968" s="261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</row>
    <row r="969" ht="23.25" customHeight="1">
      <c r="A969" s="44"/>
      <c r="B969" s="44"/>
      <c r="C969" s="44"/>
      <c r="D969" s="44"/>
      <c r="E969" s="44"/>
      <c r="F969" s="44"/>
      <c r="G969" s="44"/>
      <c r="H969" s="44"/>
      <c r="I969" s="330"/>
      <c r="J969" s="261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</row>
    <row r="970" ht="23.25" customHeight="1">
      <c r="A970" s="44"/>
      <c r="B970" s="44"/>
      <c r="C970" s="44"/>
      <c r="D970" s="44"/>
      <c r="E970" s="44"/>
      <c r="F970" s="44"/>
      <c r="G970" s="44"/>
      <c r="H970" s="44"/>
      <c r="I970" s="330"/>
      <c r="J970" s="261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</row>
    <row r="971" ht="23.25" customHeight="1">
      <c r="A971" s="44"/>
      <c r="B971" s="44"/>
      <c r="C971" s="44"/>
      <c r="D971" s="44"/>
      <c r="E971" s="44"/>
      <c r="F971" s="44"/>
      <c r="G971" s="44"/>
      <c r="H971" s="44"/>
      <c r="I971" s="330"/>
      <c r="J971" s="261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</row>
    <row r="972" ht="23.25" customHeight="1">
      <c r="A972" s="44"/>
      <c r="B972" s="44"/>
      <c r="C972" s="44"/>
      <c r="D972" s="44"/>
      <c r="E972" s="44"/>
      <c r="F972" s="44"/>
      <c r="G972" s="44"/>
      <c r="H972" s="44"/>
      <c r="I972" s="330"/>
      <c r="J972" s="261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</row>
    <row r="973" ht="23.25" customHeight="1">
      <c r="A973" s="44"/>
      <c r="B973" s="44"/>
      <c r="C973" s="44"/>
      <c r="D973" s="44"/>
      <c r="E973" s="44"/>
      <c r="F973" s="44"/>
      <c r="G973" s="44"/>
      <c r="H973" s="44"/>
      <c r="I973" s="330"/>
      <c r="J973" s="261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</row>
    <row r="974" ht="23.25" customHeight="1">
      <c r="A974" s="44"/>
      <c r="B974" s="44"/>
      <c r="C974" s="44"/>
      <c r="D974" s="44"/>
      <c r="E974" s="44"/>
      <c r="F974" s="44"/>
      <c r="G974" s="44"/>
      <c r="H974" s="44"/>
      <c r="I974" s="330"/>
      <c r="J974" s="261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</row>
    <row r="975" ht="23.25" customHeight="1">
      <c r="A975" s="44"/>
      <c r="B975" s="44"/>
      <c r="C975" s="44"/>
      <c r="D975" s="44"/>
      <c r="E975" s="44"/>
      <c r="F975" s="44"/>
      <c r="G975" s="44"/>
      <c r="H975" s="44"/>
      <c r="I975" s="330"/>
      <c r="J975" s="261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</row>
    <row r="976" ht="23.25" customHeight="1">
      <c r="A976" s="44"/>
      <c r="B976" s="44"/>
      <c r="C976" s="44"/>
      <c r="D976" s="44"/>
      <c r="E976" s="44"/>
      <c r="F976" s="44"/>
      <c r="G976" s="44"/>
      <c r="H976" s="44"/>
      <c r="I976" s="330"/>
      <c r="J976" s="261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</row>
    <row r="977" ht="23.25" customHeight="1">
      <c r="A977" s="44"/>
      <c r="B977" s="44"/>
      <c r="C977" s="44"/>
      <c r="D977" s="44"/>
      <c r="E977" s="44"/>
      <c r="F977" s="44"/>
      <c r="G977" s="44"/>
      <c r="H977" s="44"/>
      <c r="I977" s="330"/>
      <c r="J977" s="261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</row>
    <row r="978" ht="23.25" customHeight="1">
      <c r="A978" s="44"/>
      <c r="B978" s="44"/>
      <c r="C978" s="44"/>
      <c r="D978" s="44"/>
      <c r="E978" s="44"/>
      <c r="F978" s="44"/>
      <c r="G978" s="44"/>
      <c r="H978" s="44"/>
      <c r="I978" s="330"/>
      <c r="J978" s="261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</row>
    <row r="979" ht="23.25" customHeight="1">
      <c r="A979" s="44"/>
      <c r="B979" s="44"/>
      <c r="C979" s="44"/>
      <c r="D979" s="44"/>
      <c r="E979" s="44"/>
      <c r="F979" s="44"/>
      <c r="G979" s="44"/>
      <c r="H979" s="44"/>
      <c r="I979" s="330"/>
      <c r="J979" s="261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</row>
    <row r="980" ht="23.25" customHeight="1">
      <c r="A980" s="44"/>
      <c r="B980" s="44"/>
      <c r="C980" s="44"/>
      <c r="D980" s="44"/>
      <c r="E980" s="44"/>
      <c r="F980" s="44"/>
      <c r="G980" s="44"/>
      <c r="H980" s="44"/>
      <c r="I980" s="330"/>
      <c r="J980" s="261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</row>
    <row r="981" ht="23.25" customHeight="1">
      <c r="A981" s="44"/>
      <c r="B981" s="44"/>
      <c r="C981" s="44"/>
      <c r="D981" s="44"/>
      <c r="E981" s="44"/>
      <c r="F981" s="44"/>
      <c r="G981" s="44"/>
      <c r="H981" s="44"/>
      <c r="I981" s="330"/>
      <c r="J981" s="261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</row>
    <row r="982" ht="23.25" customHeight="1">
      <c r="A982" s="44"/>
      <c r="B982" s="44"/>
      <c r="C982" s="44"/>
      <c r="D982" s="44"/>
      <c r="E982" s="44"/>
      <c r="F982" s="44"/>
      <c r="G982" s="44"/>
      <c r="H982" s="44"/>
      <c r="I982" s="330"/>
      <c r="J982" s="261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</row>
    <row r="983" ht="23.25" customHeight="1">
      <c r="A983" s="44"/>
      <c r="B983" s="44"/>
      <c r="C983" s="44"/>
      <c r="D983" s="44"/>
      <c r="E983" s="44"/>
      <c r="F983" s="44"/>
      <c r="G983" s="44"/>
      <c r="H983" s="44"/>
      <c r="I983" s="330"/>
      <c r="J983" s="261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</row>
    <row r="984" ht="23.25" customHeight="1">
      <c r="A984" s="44"/>
      <c r="B984" s="44"/>
      <c r="C984" s="44"/>
      <c r="D984" s="44"/>
      <c r="E984" s="44"/>
      <c r="F984" s="44"/>
      <c r="G984" s="44"/>
      <c r="H984" s="44"/>
      <c r="I984" s="330"/>
      <c r="J984" s="261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</row>
    <row r="985" ht="23.25" customHeight="1">
      <c r="A985" s="44"/>
      <c r="B985" s="44"/>
      <c r="C985" s="44"/>
      <c r="D985" s="44"/>
      <c r="E985" s="44"/>
      <c r="F985" s="44"/>
      <c r="G985" s="44"/>
      <c r="H985" s="44"/>
      <c r="I985" s="330"/>
      <c r="J985" s="261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</row>
    <row r="986" ht="23.25" customHeight="1">
      <c r="A986" s="44"/>
      <c r="B986" s="44"/>
      <c r="C986" s="44"/>
      <c r="D986" s="44"/>
      <c r="E986" s="44"/>
      <c r="F986" s="44"/>
      <c r="G986" s="44"/>
      <c r="H986" s="44"/>
      <c r="I986" s="330"/>
      <c r="J986" s="261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</row>
    <row r="987" ht="23.25" customHeight="1">
      <c r="A987" s="44"/>
      <c r="B987" s="44"/>
      <c r="C987" s="44"/>
      <c r="D987" s="44"/>
      <c r="E987" s="44"/>
      <c r="F987" s="44"/>
      <c r="G987" s="44"/>
      <c r="H987" s="44"/>
      <c r="I987" s="330"/>
      <c r="J987" s="261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</row>
    <row r="988" ht="23.25" customHeight="1">
      <c r="A988" s="44"/>
      <c r="B988" s="44"/>
      <c r="C988" s="44"/>
      <c r="D988" s="44"/>
      <c r="E988" s="44"/>
      <c r="F988" s="44"/>
      <c r="G988" s="44"/>
      <c r="H988" s="44"/>
      <c r="I988" s="330"/>
      <c r="J988" s="261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</row>
    <row r="989" ht="23.25" customHeight="1">
      <c r="A989" s="44"/>
      <c r="B989" s="44"/>
      <c r="C989" s="44"/>
      <c r="D989" s="44"/>
      <c r="E989" s="44"/>
      <c r="F989" s="44"/>
      <c r="G989" s="44"/>
      <c r="H989" s="44"/>
      <c r="I989" s="330"/>
      <c r="J989" s="261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</row>
    <row r="990" ht="23.25" customHeight="1">
      <c r="A990" s="44"/>
      <c r="B990" s="44"/>
      <c r="C990" s="44"/>
      <c r="D990" s="44"/>
      <c r="E990" s="44"/>
      <c r="F990" s="44"/>
      <c r="G990" s="44"/>
      <c r="H990" s="44"/>
      <c r="I990" s="330"/>
      <c r="J990" s="261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</row>
    <row r="991" ht="23.25" customHeight="1">
      <c r="A991" s="44"/>
      <c r="B991" s="44"/>
      <c r="C991" s="44"/>
      <c r="D991" s="44"/>
      <c r="E991" s="44"/>
      <c r="F991" s="44"/>
      <c r="G991" s="44"/>
      <c r="H991" s="44"/>
      <c r="I991" s="330"/>
      <c r="J991" s="261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</row>
    <row r="992" ht="23.25" customHeight="1">
      <c r="A992" s="44"/>
      <c r="B992" s="44"/>
      <c r="C992" s="44"/>
      <c r="D992" s="44"/>
      <c r="E992" s="44"/>
      <c r="F992" s="44"/>
      <c r="G992" s="44"/>
      <c r="H992" s="44"/>
      <c r="I992" s="330"/>
      <c r="J992" s="261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</row>
    <row r="993" ht="23.25" customHeight="1">
      <c r="A993" s="44"/>
      <c r="B993" s="44"/>
      <c r="C993" s="44"/>
      <c r="D993" s="44"/>
      <c r="E993" s="44"/>
      <c r="F993" s="44"/>
      <c r="G993" s="44"/>
      <c r="H993" s="44"/>
      <c r="I993" s="330"/>
      <c r="J993" s="261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</row>
    <row r="994" ht="23.25" customHeight="1">
      <c r="A994" s="44"/>
      <c r="B994" s="44"/>
      <c r="C994" s="44"/>
      <c r="D994" s="44"/>
      <c r="E994" s="44"/>
      <c r="F994" s="44"/>
      <c r="G994" s="44"/>
      <c r="H994" s="44"/>
      <c r="I994" s="330"/>
      <c r="J994" s="261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</row>
    <row r="995" ht="23.25" customHeight="1">
      <c r="A995" s="44"/>
      <c r="B995" s="44"/>
      <c r="C995" s="44"/>
      <c r="D995" s="44"/>
      <c r="E995" s="44"/>
      <c r="F995" s="44"/>
      <c r="G995" s="44"/>
      <c r="H995" s="44"/>
      <c r="I995" s="330"/>
      <c r="J995" s="261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</row>
    <row r="996" ht="23.25" customHeight="1">
      <c r="A996" s="44"/>
      <c r="B996" s="44"/>
      <c r="C996" s="44"/>
      <c r="D996" s="44"/>
      <c r="E996" s="44"/>
      <c r="F996" s="44"/>
      <c r="G996" s="44"/>
      <c r="H996" s="44"/>
      <c r="I996" s="330"/>
      <c r="J996" s="261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</row>
    <row r="997" ht="23.25" customHeight="1">
      <c r="A997" s="44"/>
      <c r="B997" s="44"/>
      <c r="C997" s="44"/>
      <c r="D997" s="44"/>
      <c r="E997" s="44"/>
      <c r="F997" s="44"/>
      <c r="G997" s="44"/>
      <c r="H997" s="44"/>
      <c r="I997" s="330"/>
      <c r="J997" s="261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</row>
    <row r="998" ht="23.25" customHeight="1">
      <c r="A998" s="44"/>
      <c r="B998" s="44"/>
      <c r="C998" s="44"/>
      <c r="D998" s="44"/>
      <c r="E998" s="44"/>
      <c r="F998" s="44"/>
      <c r="G998" s="44"/>
      <c r="H998" s="44"/>
      <c r="I998" s="330"/>
      <c r="J998" s="261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</row>
    <row r="999" ht="23.25" customHeight="1">
      <c r="A999" s="44"/>
      <c r="B999" s="44"/>
      <c r="C999" s="44"/>
      <c r="D999" s="44"/>
      <c r="E999" s="44"/>
      <c r="F999" s="44"/>
      <c r="G999" s="44"/>
      <c r="H999" s="44"/>
      <c r="I999" s="330"/>
      <c r="J999" s="261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</row>
  </sheetData>
  <autoFilter ref="$L$1:$L$16"/>
  <mergeCells count="3">
    <mergeCell ref="V1:W1"/>
    <mergeCell ref="X1:Y1"/>
    <mergeCell ref="Z1:AA1"/>
  </mergeCells>
  <hyperlinks>
    <hyperlink r:id="rId2" ref="V1"/>
    <hyperlink r:id="rId3" ref="X1"/>
    <hyperlink r:id="rId4" ref="Z1"/>
    <hyperlink r:id="rId5" ref="F2"/>
    <hyperlink r:id="rId6" ref="H2"/>
    <hyperlink r:id="rId7" ref="I2"/>
    <hyperlink r:id="rId8" ref="L2"/>
    <hyperlink r:id="rId9" ref="T2"/>
    <hyperlink r:id="rId10" ref="X2"/>
    <hyperlink r:id="rId11" ref="H3"/>
    <hyperlink r:id="rId12" ref="I3"/>
    <hyperlink r:id="rId13" ref="L3"/>
    <hyperlink r:id="rId14" ref="T3"/>
    <hyperlink r:id="rId15" ref="X3"/>
    <hyperlink r:id="rId16" ref="F4"/>
    <hyperlink r:id="rId17" ref="H4"/>
    <hyperlink r:id="rId18" ref="I4"/>
    <hyperlink r:id="rId19" ref="L4"/>
    <hyperlink r:id="rId20" ref="T4"/>
    <hyperlink r:id="rId21" ref="W4"/>
    <hyperlink r:id="rId22" ref="X4"/>
    <hyperlink r:id="rId23" location="heading=h.4c3f16bumpk9" ref="F5"/>
    <hyperlink r:id="rId24" ref="H5"/>
    <hyperlink r:id="rId25" ref="I5"/>
    <hyperlink r:id="rId26" ref="L5"/>
    <hyperlink r:id="rId27" ref="T5"/>
    <hyperlink r:id="rId28" ref="W5"/>
    <hyperlink r:id="rId29" ref="X5"/>
    <hyperlink r:id="rId30" ref="F6"/>
    <hyperlink r:id="rId31" ref="H6"/>
    <hyperlink r:id="rId32" ref="T6"/>
    <hyperlink r:id="rId33" ref="W6"/>
    <hyperlink r:id="rId34" ref="X6"/>
    <hyperlink r:id="rId35" ref="F7"/>
    <hyperlink r:id="rId36" ref="H7"/>
    <hyperlink r:id="rId37" ref="I7"/>
    <hyperlink r:id="rId38" ref="L7"/>
    <hyperlink r:id="rId39" ref="X7"/>
    <hyperlink r:id="rId40" ref="F9"/>
    <hyperlink r:id="rId41" ref="H9"/>
    <hyperlink r:id="rId42" ref="I9"/>
    <hyperlink r:id="rId43" ref="L9"/>
    <hyperlink r:id="rId44" ref="F10"/>
    <hyperlink r:id="rId45" ref="H10"/>
    <hyperlink r:id="rId46" ref="I10"/>
    <hyperlink r:id="rId47" ref="J10"/>
    <hyperlink r:id="rId48" ref="L10"/>
    <hyperlink r:id="rId49" ref="T10"/>
    <hyperlink r:id="rId50" ref="F11"/>
    <hyperlink r:id="rId51" ref="H11"/>
    <hyperlink r:id="rId52" ref="I11"/>
    <hyperlink r:id="rId53" ref="L11"/>
    <hyperlink r:id="rId54" ref="O11"/>
    <hyperlink r:id="rId55" ref="T11"/>
    <hyperlink r:id="rId56" ref="H12"/>
    <hyperlink r:id="rId57" ref="I12"/>
    <hyperlink r:id="rId58" ref="L12"/>
    <hyperlink r:id="rId59" ref="O12"/>
    <hyperlink r:id="rId60" ref="T12"/>
    <hyperlink r:id="rId61" location="heading=h.f4epo0vkdj22" ref="F13"/>
    <hyperlink r:id="rId62" ref="H13"/>
    <hyperlink r:id="rId63" ref="L13"/>
    <hyperlink r:id="rId64" ref="O13"/>
    <hyperlink r:id="rId65" ref="T13"/>
    <hyperlink r:id="rId66" location="heading=h.yrzddq780lhb" ref="F15"/>
    <hyperlink r:id="rId67" ref="H15"/>
    <hyperlink r:id="rId68" ref="L15"/>
    <hyperlink r:id="rId69" ref="O15"/>
    <hyperlink r:id="rId70" ref="T15"/>
    <hyperlink r:id="rId71" ref="F16"/>
    <hyperlink r:id="rId72" ref="H16"/>
    <hyperlink r:id="rId73" ref="L16"/>
    <hyperlink r:id="rId74" ref="O16"/>
    <hyperlink r:id="rId75" ref="T16"/>
    <hyperlink r:id="rId76" ref="F17"/>
    <hyperlink r:id="rId77" ref="H17"/>
    <hyperlink r:id="rId78" ref="L17"/>
    <hyperlink r:id="rId79" ref="O17"/>
    <hyperlink r:id="rId80" ref="T17"/>
    <hyperlink r:id="rId81" ref="F18"/>
    <hyperlink r:id="rId82" ref="H18"/>
    <hyperlink r:id="rId83" ref="L18"/>
    <hyperlink r:id="rId84" ref="O18"/>
    <hyperlink r:id="rId85" ref="T18"/>
    <hyperlink r:id="rId86" ref="H19"/>
    <hyperlink r:id="rId87" ref="T19"/>
    <hyperlink r:id="rId88" ref="F21"/>
    <hyperlink r:id="rId89" ref="H21"/>
    <hyperlink r:id="rId90" ref="L21"/>
    <hyperlink r:id="rId91" ref="T21"/>
    <hyperlink r:id="rId92" ref="W21"/>
    <hyperlink r:id="rId93" ref="F23"/>
    <hyperlink r:id="rId94" ref="T23"/>
    <hyperlink r:id="rId95" ref="W23"/>
    <hyperlink r:id="rId96" ref="Y23"/>
  </hyperlinks>
  <drawing r:id="rId97"/>
  <legacyDrawing r:id="rId98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4.5"/>
    <col customWidth="1" min="3" max="3" width="14.0"/>
    <col customWidth="1" min="4" max="4" width="7.88"/>
    <col customWidth="1" min="5" max="5" width="14.38"/>
    <col customWidth="1" min="6" max="6" width="21.88"/>
    <col customWidth="1" min="7" max="7" width="35.88"/>
    <col customWidth="1" min="8" max="8" width="14.38"/>
    <col customWidth="1" min="9" max="9" width="17.5"/>
    <col customWidth="1" min="10" max="10" width="11.63"/>
    <col customWidth="1" min="11" max="11" width="13.75"/>
    <col customWidth="1" min="12" max="12" width="14.5"/>
    <col customWidth="1" min="13" max="13" width="21.38"/>
    <col customWidth="1" min="14" max="23" width="10.88"/>
  </cols>
  <sheetData>
    <row r="1">
      <c r="A1" s="221" t="s">
        <v>233</v>
      </c>
      <c r="B1" s="221" t="s">
        <v>234</v>
      </c>
      <c r="C1" s="221" t="s">
        <v>235</v>
      </c>
      <c r="D1" s="221"/>
      <c r="E1" s="222" t="s">
        <v>236</v>
      </c>
      <c r="F1" s="222" t="s">
        <v>237</v>
      </c>
      <c r="G1" s="223" t="s">
        <v>238</v>
      </c>
      <c r="H1" s="222" t="s">
        <v>239</v>
      </c>
      <c r="I1" s="221" t="s">
        <v>240</v>
      </c>
      <c r="J1" s="223" t="s">
        <v>241</v>
      </c>
      <c r="K1" s="223" t="s">
        <v>242</v>
      </c>
      <c r="L1" s="223" t="s">
        <v>241</v>
      </c>
      <c r="M1" s="222" t="s">
        <v>243</v>
      </c>
      <c r="N1" s="223" t="s">
        <v>244</v>
      </c>
      <c r="O1" s="222" t="s">
        <v>245</v>
      </c>
      <c r="P1" s="222" t="s">
        <v>246</v>
      </c>
      <c r="Q1" s="223" t="s">
        <v>247</v>
      </c>
      <c r="R1" s="221" t="s">
        <v>248</v>
      </c>
      <c r="S1" s="221" t="s">
        <v>249</v>
      </c>
      <c r="T1" s="221" t="s">
        <v>250</v>
      </c>
      <c r="U1" s="221" t="s">
        <v>251</v>
      </c>
      <c r="V1" s="224" t="s">
        <v>250</v>
      </c>
      <c r="W1" s="224" t="s">
        <v>251</v>
      </c>
      <c r="X1" s="56"/>
      <c r="Y1" s="56"/>
      <c r="Z1" s="56"/>
      <c r="AA1" s="56"/>
      <c r="AB1" s="56"/>
      <c r="AC1" s="56"/>
    </row>
    <row r="2">
      <c r="A2" s="144" t="s">
        <v>440</v>
      </c>
      <c r="B2" s="226">
        <v>46066.0</v>
      </c>
      <c r="C2" s="7"/>
      <c r="D2" s="26">
        <v>1.0</v>
      </c>
      <c r="E2" s="11" t="s">
        <v>15</v>
      </c>
      <c r="F2" s="11" t="s">
        <v>114</v>
      </c>
      <c r="G2" s="227" t="s">
        <v>442</v>
      </c>
      <c r="H2" s="146" t="s">
        <v>254</v>
      </c>
      <c r="I2" s="18" t="s">
        <v>194</v>
      </c>
      <c r="J2" s="113" t="s">
        <v>199</v>
      </c>
      <c r="K2" s="147" t="s">
        <v>255</v>
      </c>
      <c r="L2" s="113" t="s">
        <v>199</v>
      </c>
      <c r="M2" s="193">
        <v>7.09759681E8</v>
      </c>
      <c r="N2" s="11" t="s">
        <v>443</v>
      </c>
      <c r="O2" s="7"/>
      <c r="P2" s="7"/>
      <c r="Q2" s="7"/>
      <c r="R2" s="7"/>
      <c r="S2" s="7"/>
      <c r="T2" s="7"/>
      <c r="U2" s="7"/>
      <c r="V2" s="149"/>
      <c r="W2" s="149"/>
    </row>
    <row r="3">
      <c r="A3" s="144" t="s">
        <v>440</v>
      </c>
      <c r="B3" s="226">
        <v>46066.0</v>
      </c>
      <c r="C3" s="7"/>
      <c r="D3" s="26">
        <v>2.0</v>
      </c>
      <c r="E3" s="11" t="s">
        <v>39</v>
      </c>
      <c r="F3" s="11" t="s">
        <v>114</v>
      </c>
      <c r="G3" s="228" t="s">
        <v>444</v>
      </c>
      <c r="H3" s="146" t="s">
        <v>254</v>
      </c>
      <c r="I3" s="18" t="s">
        <v>194</v>
      </c>
      <c r="J3" s="113" t="s">
        <v>199</v>
      </c>
      <c r="K3" s="147" t="s">
        <v>255</v>
      </c>
      <c r="L3" s="113" t="s">
        <v>199</v>
      </c>
      <c r="M3" s="166" t="s">
        <v>445</v>
      </c>
      <c r="N3" s="11" t="s">
        <v>443</v>
      </c>
      <c r="O3" s="7"/>
      <c r="P3" s="7"/>
      <c r="Q3" s="7"/>
      <c r="R3" s="7"/>
      <c r="S3" s="7"/>
      <c r="T3" s="7"/>
      <c r="U3" s="7"/>
      <c r="V3" s="149"/>
      <c r="W3" s="149"/>
    </row>
    <row r="4">
      <c r="A4" s="144" t="s">
        <v>440</v>
      </c>
      <c r="B4" s="226">
        <v>46066.0</v>
      </c>
      <c r="C4" s="7"/>
      <c r="D4" s="26">
        <v>3.0</v>
      </c>
      <c r="E4" s="11" t="s">
        <v>39</v>
      </c>
      <c r="F4" s="11" t="s">
        <v>114</v>
      </c>
      <c r="G4" s="228" t="s">
        <v>447</v>
      </c>
      <c r="H4" s="146" t="s">
        <v>254</v>
      </c>
      <c r="I4" s="18" t="s">
        <v>194</v>
      </c>
      <c r="J4" s="113" t="s">
        <v>199</v>
      </c>
      <c r="K4" s="147" t="s">
        <v>255</v>
      </c>
      <c r="L4" s="113" t="s">
        <v>199</v>
      </c>
      <c r="M4" s="166">
        <v>5.05536622E8</v>
      </c>
      <c r="N4" s="11"/>
      <c r="O4" s="7"/>
      <c r="P4" s="7"/>
      <c r="Q4" s="7"/>
      <c r="R4" s="7"/>
      <c r="S4" s="7"/>
      <c r="T4" s="7"/>
      <c r="U4" s="7"/>
      <c r="V4" s="149"/>
      <c r="W4" s="149"/>
    </row>
    <row r="5">
      <c r="A5" s="144" t="s">
        <v>440</v>
      </c>
      <c r="B5" s="226">
        <v>46106.0</v>
      </c>
      <c r="C5" s="7"/>
      <c r="D5" s="26">
        <v>4.0</v>
      </c>
      <c r="E5" s="11" t="s">
        <v>39</v>
      </c>
      <c r="F5" s="11" t="s">
        <v>114</v>
      </c>
      <c r="G5" s="229" t="s">
        <v>450</v>
      </c>
      <c r="H5" s="146" t="s">
        <v>254</v>
      </c>
      <c r="I5" s="18" t="s">
        <v>194</v>
      </c>
      <c r="J5" s="113" t="s">
        <v>199</v>
      </c>
      <c r="K5" s="147" t="s">
        <v>255</v>
      </c>
      <c r="L5" s="113" t="s">
        <v>199</v>
      </c>
      <c r="M5" s="7"/>
      <c r="N5" s="11"/>
      <c r="O5" s="7"/>
      <c r="P5" s="7"/>
      <c r="Q5" s="7"/>
      <c r="R5" s="7"/>
      <c r="S5" s="7"/>
      <c r="T5" s="7"/>
      <c r="U5" s="7"/>
      <c r="V5" s="149"/>
      <c r="W5" s="149"/>
    </row>
    <row r="6">
      <c r="A6" s="144" t="s">
        <v>440</v>
      </c>
      <c r="B6" s="226">
        <v>46066.0</v>
      </c>
      <c r="C6" s="7"/>
      <c r="D6" s="26">
        <v>5.0</v>
      </c>
      <c r="E6" s="11" t="s">
        <v>78</v>
      </c>
      <c r="F6" s="11" t="s">
        <v>114</v>
      </c>
      <c r="G6" s="228" t="s">
        <v>453</v>
      </c>
      <c r="H6" s="146" t="s">
        <v>254</v>
      </c>
      <c r="I6" s="18" t="s">
        <v>194</v>
      </c>
      <c r="J6" s="113" t="s">
        <v>199</v>
      </c>
      <c r="K6" s="147" t="s">
        <v>255</v>
      </c>
      <c r="L6" s="113" t="s">
        <v>199</v>
      </c>
      <c r="M6" s="166">
        <v>7.06694085E8</v>
      </c>
      <c r="N6" s="11"/>
      <c r="O6" s="7"/>
      <c r="P6" s="7"/>
      <c r="Q6" s="7"/>
      <c r="R6" s="7"/>
      <c r="S6" s="7"/>
      <c r="T6" s="7"/>
      <c r="U6" s="7"/>
      <c r="V6" s="149"/>
      <c r="W6" s="149"/>
    </row>
    <row r="7">
      <c r="A7" s="144" t="s">
        <v>440</v>
      </c>
      <c r="B7" s="226">
        <v>46066.0</v>
      </c>
      <c r="C7" s="7"/>
      <c r="D7" s="26">
        <v>6.0</v>
      </c>
      <c r="E7" s="11" t="s">
        <v>78</v>
      </c>
      <c r="F7" s="11" t="s">
        <v>114</v>
      </c>
      <c r="G7" s="228" t="s">
        <v>454</v>
      </c>
      <c r="H7" s="146" t="s">
        <v>254</v>
      </c>
      <c r="I7" s="18" t="s">
        <v>194</v>
      </c>
      <c r="J7" s="113" t="s">
        <v>199</v>
      </c>
      <c r="K7" s="147" t="s">
        <v>255</v>
      </c>
      <c r="L7" s="113" t="s">
        <v>199</v>
      </c>
      <c r="M7" s="166">
        <v>5.0918102E8</v>
      </c>
      <c r="N7" s="11"/>
      <c r="O7" s="7"/>
      <c r="P7" s="7"/>
      <c r="Q7" s="7"/>
      <c r="R7" s="7"/>
      <c r="S7" s="7"/>
      <c r="T7" s="7"/>
      <c r="U7" s="7"/>
      <c r="V7" s="149"/>
      <c r="W7" s="149"/>
    </row>
    <row r="8">
      <c r="A8" s="144" t="s">
        <v>440</v>
      </c>
      <c r="B8" s="226">
        <v>46066.0</v>
      </c>
      <c r="C8" s="7"/>
      <c r="D8" s="26">
        <v>7.0</v>
      </c>
      <c r="E8" s="11" t="s">
        <v>25</v>
      </c>
      <c r="F8" s="11" t="s">
        <v>114</v>
      </c>
      <c r="G8" s="228" t="s">
        <v>455</v>
      </c>
      <c r="H8" s="146" t="s">
        <v>254</v>
      </c>
      <c r="I8" s="18" t="s">
        <v>194</v>
      </c>
      <c r="J8" s="113" t="s">
        <v>199</v>
      </c>
      <c r="K8" s="147" t="s">
        <v>255</v>
      </c>
      <c r="L8" s="113" t="s">
        <v>199</v>
      </c>
      <c r="M8" s="193">
        <v>7.55028049E8</v>
      </c>
      <c r="N8" s="11" t="s">
        <v>443</v>
      </c>
      <c r="O8" s="7"/>
      <c r="P8" s="7"/>
      <c r="Q8" s="7"/>
      <c r="R8" s="7"/>
      <c r="S8" s="7"/>
      <c r="T8" s="7"/>
      <c r="U8" s="7"/>
      <c r="V8" s="149"/>
      <c r="W8" s="149"/>
    </row>
    <row r="9">
      <c r="A9" s="144" t="s">
        <v>440</v>
      </c>
      <c r="B9" s="226">
        <v>46066.0</v>
      </c>
      <c r="C9" s="7"/>
      <c r="D9" s="26">
        <v>8.0</v>
      </c>
      <c r="E9" s="11" t="s">
        <v>25</v>
      </c>
      <c r="F9" s="11" t="s">
        <v>114</v>
      </c>
      <c r="G9" s="228" t="s">
        <v>456</v>
      </c>
      <c r="H9" s="146" t="s">
        <v>254</v>
      </c>
      <c r="I9" s="18" t="s">
        <v>194</v>
      </c>
      <c r="J9" s="113" t="s">
        <v>199</v>
      </c>
      <c r="K9" s="147" t="s">
        <v>255</v>
      </c>
      <c r="L9" s="113" t="s">
        <v>199</v>
      </c>
      <c r="M9" s="193">
        <v>9.97570036E8</v>
      </c>
      <c r="N9" s="11" t="s">
        <v>443</v>
      </c>
      <c r="O9" s="7"/>
      <c r="P9" s="7"/>
      <c r="Q9" s="7"/>
      <c r="R9" s="7"/>
      <c r="S9" s="7"/>
      <c r="T9" s="7"/>
      <c r="U9" s="7"/>
      <c r="V9" s="149"/>
      <c r="W9" s="149"/>
    </row>
    <row r="10">
      <c r="A10" s="144" t="s">
        <v>440</v>
      </c>
      <c r="B10" s="226">
        <v>46066.0</v>
      </c>
      <c r="C10" s="7"/>
      <c r="D10" s="26">
        <v>9.0</v>
      </c>
      <c r="E10" s="11" t="s">
        <v>25</v>
      </c>
      <c r="F10" s="11" t="s">
        <v>114</v>
      </c>
      <c r="G10" s="228" t="s">
        <v>458</v>
      </c>
      <c r="H10" s="146" t="s">
        <v>254</v>
      </c>
      <c r="I10" s="18" t="s">
        <v>194</v>
      </c>
      <c r="J10" s="113" t="s">
        <v>199</v>
      </c>
      <c r="K10" s="147" t="s">
        <v>255</v>
      </c>
      <c r="L10" s="113" t="s">
        <v>199</v>
      </c>
      <c r="M10" s="193">
        <v>5.02585792E8</v>
      </c>
      <c r="N10" s="11" t="s">
        <v>443</v>
      </c>
      <c r="O10" s="7"/>
      <c r="P10" s="7"/>
      <c r="Q10" s="7"/>
      <c r="R10" s="7"/>
      <c r="S10" s="7"/>
      <c r="T10" s="7"/>
      <c r="U10" s="7"/>
      <c r="V10" s="149"/>
      <c r="W10" s="149"/>
    </row>
    <row r="11">
      <c r="A11" s="144" t="s">
        <v>440</v>
      </c>
      <c r="B11" s="226">
        <v>46066.0</v>
      </c>
      <c r="C11" s="7"/>
      <c r="D11" s="26">
        <v>10.0</v>
      </c>
      <c r="E11" s="11" t="s">
        <v>64</v>
      </c>
      <c r="F11" s="11" t="s">
        <v>114</v>
      </c>
      <c r="G11" s="233" t="s">
        <v>461</v>
      </c>
      <c r="H11" s="146" t="s">
        <v>254</v>
      </c>
      <c r="I11" s="18" t="s">
        <v>194</v>
      </c>
      <c r="J11" s="113" t="s">
        <v>199</v>
      </c>
      <c r="K11" s="147" t="s">
        <v>255</v>
      </c>
      <c r="L11" s="113" t="s">
        <v>199</v>
      </c>
      <c r="M11" s="234">
        <v>7.79436768E8</v>
      </c>
      <c r="N11" s="11" t="s">
        <v>443</v>
      </c>
      <c r="O11" s="7"/>
      <c r="P11" s="7"/>
      <c r="Q11" s="7"/>
      <c r="R11" s="7"/>
      <c r="S11" s="7"/>
      <c r="T11" s="7"/>
      <c r="U11" s="7"/>
      <c r="V11" s="149"/>
      <c r="W11" s="149"/>
    </row>
    <row r="12">
      <c r="A12" s="144" t="s">
        <v>440</v>
      </c>
      <c r="B12" s="226">
        <v>46066.0</v>
      </c>
      <c r="C12" s="7"/>
      <c r="D12" s="26">
        <v>11.0</v>
      </c>
      <c r="E12" s="11" t="s">
        <v>64</v>
      </c>
      <c r="F12" s="11" t="s">
        <v>114</v>
      </c>
      <c r="G12" s="228" t="s">
        <v>463</v>
      </c>
      <c r="H12" s="146" t="s">
        <v>254</v>
      </c>
      <c r="I12" s="18" t="s">
        <v>194</v>
      </c>
      <c r="J12" s="113" t="s">
        <v>199</v>
      </c>
      <c r="K12" s="147" t="s">
        <v>255</v>
      </c>
      <c r="L12" s="113" t="s">
        <v>199</v>
      </c>
      <c r="M12" s="166">
        <v>7.55817222E8</v>
      </c>
      <c r="N12" s="11" t="s">
        <v>443</v>
      </c>
      <c r="O12" s="7"/>
      <c r="P12" s="7"/>
      <c r="Q12" s="7"/>
      <c r="R12" s="7"/>
      <c r="S12" s="7"/>
      <c r="T12" s="7"/>
      <c r="U12" s="7"/>
      <c r="V12" s="149"/>
      <c r="W12" s="149"/>
    </row>
    <row r="13">
      <c r="A13" s="144" t="s">
        <v>440</v>
      </c>
      <c r="B13" s="7"/>
      <c r="C13" s="7"/>
      <c r="D13" s="98"/>
      <c r="E13" s="11" t="s">
        <v>408</v>
      </c>
      <c r="F13" s="7"/>
      <c r="G13" s="98"/>
      <c r="H13" s="146" t="s">
        <v>254</v>
      </c>
      <c r="I13" s="18" t="s">
        <v>194</v>
      </c>
      <c r="J13" s="113" t="s">
        <v>199</v>
      </c>
      <c r="K13" s="147" t="s">
        <v>255</v>
      </c>
      <c r="L13" s="113" t="s">
        <v>199</v>
      </c>
      <c r="M13" s="7"/>
      <c r="N13" s="11" t="s">
        <v>443</v>
      </c>
      <c r="O13" s="7"/>
      <c r="P13" s="7"/>
      <c r="Q13" s="7"/>
      <c r="R13" s="7"/>
      <c r="S13" s="7"/>
      <c r="T13" s="7"/>
      <c r="U13" s="7"/>
      <c r="V13" s="149"/>
      <c r="W13" s="149"/>
    </row>
    <row r="14">
      <c r="A14" s="144" t="s">
        <v>440</v>
      </c>
      <c r="B14" s="237">
        <v>46069.0</v>
      </c>
      <c r="C14" s="7"/>
      <c r="D14" s="26">
        <v>1.0</v>
      </c>
      <c r="E14" s="11" t="s">
        <v>15</v>
      </c>
      <c r="F14" s="11" t="s">
        <v>116</v>
      </c>
      <c r="G14" s="228" t="s">
        <v>465</v>
      </c>
      <c r="H14" s="146" t="s">
        <v>254</v>
      </c>
      <c r="I14" s="18" t="s">
        <v>194</v>
      </c>
      <c r="J14" s="113" t="s">
        <v>199</v>
      </c>
      <c r="K14" s="147" t="s">
        <v>255</v>
      </c>
      <c r="L14" s="113" t="s">
        <v>199</v>
      </c>
      <c r="M14" s="193">
        <v>9.99653738E8</v>
      </c>
      <c r="N14" s="11" t="s">
        <v>443</v>
      </c>
      <c r="O14" s="7"/>
      <c r="P14" s="7"/>
      <c r="Q14" s="7"/>
      <c r="R14" s="7"/>
      <c r="S14" s="7"/>
      <c r="T14" s="7"/>
      <c r="U14" s="7"/>
      <c r="V14" s="149"/>
      <c r="W14" s="149"/>
    </row>
    <row r="15">
      <c r="A15" s="144" t="s">
        <v>440</v>
      </c>
      <c r="B15" s="237">
        <v>46069.0</v>
      </c>
      <c r="C15" s="7"/>
      <c r="D15" s="26">
        <v>2.0</v>
      </c>
      <c r="E15" s="11" t="s">
        <v>39</v>
      </c>
      <c r="F15" s="11" t="s">
        <v>116</v>
      </c>
      <c r="G15" s="162" t="s">
        <v>467</v>
      </c>
      <c r="H15" s="146" t="s">
        <v>254</v>
      </c>
      <c r="I15" s="18" t="s">
        <v>194</v>
      </c>
      <c r="J15" s="113" t="s">
        <v>199</v>
      </c>
      <c r="K15" s="147" t="s">
        <v>255</v>
      </c>
      <c r="L15" s="113" t="s">
        <v>199</v>
      </c>
      <c r="M15" s="193">
        <v>7.08500047E8</v>
      </c>
      <c r="N15" s="11" t="s">
        <v>443</v>
      </c>
      <c r="O15" s="7"/>
      <c r="P15" s="7"/>
      <c r="Q15" s="7"/>
      <c r="R15" s="7"/>
      <c r="S15" s="7"/>
      <c r="T15" s="7"/>
      <c r="U15" s="7"/>
      <c r="V15" s="149"/>
      <c r="W15" s="149"/>
    </row>
    <row r="16">
      <c r="A16" s="144" t="s">
        <v>440</v>
      </c>
      <c r="B16" s="237">
        <v>46069.0</v>
      </c>
      <c r="C16" s="7"/>
      <c r="D16" s="26">
        <v>3.0</v>
      </c>
      <c r="E16" s="11" t="s">
        <v>39</v>
      </c>
      <c r="F16" s="11" t="s">
        <v>116</v>
      </c>
      <c r="G16" s="228" t="s">
        <v>469</v>
      </c>
      <c r="H16" s="146" t="s">
        <v>254</v>
      </c>
      <c r="I16" s="18" t="s">
        <v>194</v>
      </c>
      <c r="J16" s="113" t="s">
        <v>302</v>
      </c>
      <c r="K16" s="147" t="s">
        <v>255</v>
      </c>
      <c r="L16" s="113" t="s">
        <v>302</v>
      </c>
      <c r="M16" s="166" t="s">
        <v>470</v>
      </c>
      <c r="N16" s="11"/>
      <c r="O16" s="7"/>
      <c r="P16" s="7"/>
      <c r="Q16" s="7"/>
      <c r="R16" s="7"/>
      <c r="S16" s="7"/>
      <c r="T16" s="7"/>
      <c r="U16" s="7"/>
      <c r="V16" s="149"/>
      <c r="W16" s="149"/>
    </row>
    <row r="17">
      <c r="A17" s="144" t="s">
        <v>440</v>
      </c>
      <c r="B17" s="237">
        <v>46106.0</v>
      </c>
      <c r="C17" s="7"/>
      <c r="D17" s="26">
        <v>4.0</v>
      </c>
      <c r="E17" s="11" t="s">
        <v>39</v>
      </c>
      <c r="F17" s="11" t="s">
        <v>116</v>
      </c>
      <c r="G17" s="244" t="s">
        <v>472</v>
      </c>
      <c r="H17" s="146" t="s">
        <v>254</v>
      </c>
      <c r="I17" s="18" t="s">
        <v>194</v>
      </c>
      <c r="J17" s="113" t="s">
        <v>199</v>
      </c>
      <c r="K17" s="147" t="s">
        <v>255</v>
      </c>
      <c r="L17" s="113" t="s">
        <v>199</v>
      </c>
      <c r="M17" s="166"/>
      <c r="N17" s="11"/>
      <c r="O17" s="7"/>
      <c r="P17" s="7"/>
      <c r="Q17" s="7"/>
      <c r="R17" s="7"/>
      <c r="S17" s="7"/>
      <c r="T17" s="7"/>
      <c r="U17" s="7"/>
      <c r="V17" s="149"/>
      <c r="W17" s="149"/>
    </row>
    <row r="18">
      <c r="A18" s="144" t="s">
        <v>440</v>
      </c>
      <c r="B18" s="237">
        <v>46069.0</v>
      </c>
      <c r="C18" s="7"/>
      <c r="D18" s="26">
        <v>5.0</v>
      </c>
      <c r="E18" s="11" t="s">
        <v>78</v>
      </c>
      <c r="F18" s="11" t="s">
        <v>114</v>
      </c>
      <c r="G18" s="162" t="s">
        <v>473</v>
      </c>
      <c r="H18" s="146" t="s">
        <v>254</v>
      </c>
      <c r="I18" s="18" t="s">
        <v>194</v>
      </c>
      <c r="J18" s="113" t="s">
        <v>199</v>
      </c>
      <c r="K18" s="147" t="s">
        <v>255</v>
      </c>
      <c r="L18" s="113" t="s">
        <v>199</v>
      </c>
      <c r="M18" s="246">
        <v>7.08112055E8</v>
      </c>
      <c r="N18" s="11" t="s">
        <v>443</v>
      </c>
      <c r="O18" s="7"/>
      <c r="P18" s="7"/>
      <c r="Q18" s="7"/>
      <c r="R18" s="7"/>
      <c r="S18" s="7"/>
      <c r="T18" s="7"/>
      <c r="U18" s="7"/>
      <c r="V18" s="149"/>
      <c r="W18" s="149"/>
    </row>
    <row r="19">
      <c r="A19" s="144" t="s">
        <v>440</v>
      </c>
      <c r="B19" s="237">
        <v>46069.0</v>
      </c>
      <c r="C19" s="7"/>
      <c r="D19" s="26">
        <v>6.0</v>
      </c>
      <c r="E19" s="11" t="s">
        <v>78</v>
      </c>
      <c r="F19" s="11" t="s">
        <v>116</v>
      </c>
      <c r="G19" s="228" t="s">
        <v>476</v>
      </c>
      <c r="H19" s="146" t="s">
        <v>387</v>
      </c>
      <c r="I19" s="18" t="s">
        <v>194</v>
      </c>
      <c r="J19" s="113" t="s">
        <v>302</v>
      </c>
      <c r="K19" s="147" t="s">
        <v>255</v>
      </c>
      <c r="L19" s="113" t="s">
        <v>302</v>
      </c>
      <c r="M19" s="166" t="s">
        <v>478</v>
      </c>
      <c r="N19" s="11" t="s">
        <v>443</v>
      </c>
      <c r="O19" s="7"/>
      <c r="P19" s="7"/>
      <c r="Q19" s="7"/>
      <c r="R19" s="7"/>
      <c r="S19" s="7"/>
      <c r="T19" s="7"/>
      <c r="U19" s="7"/>
      <c r="V19" s="149"/>
      <c r="W19" s="149"/>
    </row>
    <row r="20">
      <c r="A20" s="144" t="s">
        <v>440</v>
      </c>
      <c r="B20" s="237">
        <v>46069.0</v>
      </c>
      <c r="C20" s="7"/>
      <c r="D20" s="26">
        <v>7.0</v>
      </c>
      <c r="E20" s="11" t="s">
        <v>25</v>
      </c>
      <c r="F20" s="11" t="s">
        <v>116</v>
      </c>
      <c r="G20" s="233" t="s">
        <v>479</v>
      </c>
      <c r="H20" s="146" t="s">
        <v>254</v>
      </c>
      <c r="I20" s="18" t="s">
        <v>194</v>
      </c>
      <c r="J20" s="113" t="s">
        <v>199</v>
      </c>
      <c r="K20" s="147" t="s">
        <v>255</v>
      </c>
      <c r="L20" s="113" t="s">
        <v>199</v>
      </c>
      <c r="M20" s="193">
        <v>5.5166162E8</v>
      </c>
      <c r="N20" s="11" t="s">
        <v>443</v>
      </c>
      <c r="O20" s="7"/>
      <c r="P20" s="7"/>
      <c r="Q20" s="7"/>
      <c r="R20" s="7"/>
      <c r="S20" s="7"/>
      <c r="T20" s="7"/>
      <c r="U20" s="7"/>
      <c r="V20" s="149"/>
      <c r="W20" s="149"/>
    </row>
    <row r="21">
      <c r="A21" s="144" t="s">
        <v>440</v>
      </c>
      <c r="B21" s="237">
        <v>46069.0</v>
      </c>
      <c r="C21" s="7"/>
      <c r="D21" s="26">
        <v>8.0</v>
      </c>
      <c r="E21" s="11" t="s">
        <v>25</v>
      </c>
      <c r="F21" s="11" t="s">
        <v>116</v>
      </c>
      <c r="G21" s="228" t="s">
        <v>484</v>
      </c>
      <c r="H21" s="146" t="s">
        <v>254</v>
      </c>
      <c r="I21" s="18" t="s">
        <v>194</v>
      </c>
      <c r="J21" s="113" t="s">
        <v>199</v>
      </c>
      <c r="K21" s="147" t="s">
        <v>255</v>
      </c>
      <c r="L21" s="113" t="s">
        <v>199</v>
      </c>
      <c r="M21" s="166" t="s">
        <v>485</v>
      </c>
      <c r="N21" s="11" t="s">
        <v>443</v>
      </c>
      <c r="O21" s="7"/>
      <c r="P21" s="7"/>
      <c r="Q21" s="7"/>
      <c r="R21" s="7"/>
      <c r="S21" s="7"/>
      <c r="T21" s="7"/>
      <c r="U21" s="7"/>
      <c r="V21" s="149"/>
      <c r="W21" s="149"/>
    </row>
    <row r="22">
      <c r="A22" s="144" t="s">
        <v>440</v>
      </c>
      <c r="B22" s="237">
        <v>46069.0</v>
      </c>
      <c r="C22" s="7"/>
      <c r="D22" s="26">
        <v>9.0</v>
      </c>
      <c r="E22" s="11" t="s">
        <v>25</v>
      </c>
      <c r="F22" s="11" t="s">
        <v>116</v>
      </c>
      <c r="G22" s="228" t="s">
        <v>486</v>
      </c>
      <c r="H22" s="146" t="s">
        <v>254</v>
      </c>
      <c r="I22" s="18" t="s">
        <v>194</v>
      </c>
      <c r="J22" s="113" t="s">
        <v>199</v>
      </c>
      <c r="K22" s="147" t="s">
        <v>255</v>
      </c>
      <c r="L22" s="113" t="s">
        <v>199</v>
      </c>
      <c r="M22" s="193">
        <v>7.00402738E8</v>
      </c>
      <c r="N22" s="11" t="s">
        <v>443</v>
      </c>
      <c r="O22" s="7"/>
      <c r="P22" s="7"/>
      <c r="Q22" s="7"/>
      <c r="R22" s="7"/>
      <c r="S22" s="7"/>
      <c r="T22" s="7"/>
      <c r="U22" s="7"/>
      <c r="V22" s="149"/>
      <c r="W22" s="149"/>
    </row>
    <row r="23">
      <c r="A23" s="144" t="s">
        <v>440</v>
      </c>
      <c r="B23" s="7"/>
      <c r="C23" s="7"/>
      <c r="D23" s="98"/>
      <c r="E23" s="11" t="s">
        <v>408</v>
      </c>
      <c r="F23" s="7"/>
      <c r="G23" s="98"/>
      <c r="H23" s="146" t="s">
        <v>254</v>
      </c>
      <c r="I23" s="18" t="s">
        <v>194</v>
      </c>
      <c r="J23" s="113" t="s">
        <v>199</v>
      </c>
      <c r="K23" s="147" t="s">
        <v>255</v>
      </c>
      <c r="L23" s="113" t="s">
        <v>199</v>
      </c>
      <c r="M23" s="7"/>
      <c r="N23" s="11" t="s">
        <v>443</v>
      </c>
      <c r="O23" s="7"/>
      <c r="P23" s="7"/>
      <c r="Q23" s="7"/>
      <c r="R23" s="7"/>
      <c r="S23" s="7"/>
      <c r="T23" s="7"/>
      <c r="U23" s="7"/>
      <c r="V23" s="149"/>
      <c r="W23" s="149"/>
    </row>
    <row r="24">
      <c r="A24" s="144" t="s">
        <v>440</v>
      </c>
      <c r="B24" s="267">
        <v>46067.0</v>
      </c>
      <c r="C24" s="7"/>
      <c r="D24" s="26">
        <v>1.0</v>
      </c>
      <c r="E24" s="11" t="s">
        <v>15</v>
      </c>
      <c r="F24" s="11" t="s">
        <v>119</v>
      </c>
      <c r="G24" s="157" t="s">
        <v>488</v>
      </c>
      <c r="H24" s="146" t="s">
        <v>254</v>
      </c>
      <c r="I24" s="18" t="s">
        <v>194</v>
      </c>
      <c r="J24" s="113" t="s">
        <v>199</v>
      </c>
      <c r="K24" s="147" t="s">
        <v>255</v>
      </c>
      <c r="L24" s="113" t="s">
        <v>199</v>
      </c>
      <c r="M24" s="193">
        <v>7.76891388E8</v>
      </c>
      <c r="N24" s="11" t="s">
        <v>443</v>
      </c>
      <c r="O24" s="7"/>
      <c r="P24" s="7"/>
      <c r="Q24" s="7"/>
      <c r="R24" s="7"/>
      <c r="S24" s="7"/>
      <c r="T24" s="7"/>
      <c r="U24" s="7"/>
      <c r="V24" s="149"/>
      <c r="W24" s="149"/>
    </row>
    <row r="25">
      <c r="A25" s="144" t="s">
        <v>440</v>
      </c>
      <c r="B25" s="267">
        <v>46067.0</v>
      </c>
      <c r="C25" s="7"/>
      <c r="D25" s="26">
        <v>2.0</v>
      </c>
      <c r="E25" s="11" t="s">
        <v>39</v>
      </c>
      <c r="F25" s="11" t="s">
        <v>119</v>
      </c>
      <c r="G25" s="162" t="s">
        <v>489</v>
      </c>
      <c r="H25" s="146" t="s">
        <v>254</v>
      </c>
      <c r="I25" s="18" t="s">
        <v>194</v>
      </c>
      <c r="J25" s="113" t="s">
        <v>199</v>
      </c>
      <c r="K25" s="147" t="s">
        <v>255</v>
      </c>
      <c r="L25" s="113" t="s">
        <v>199</v>
      </c>
      <c r="M25" s="193">
        <v>7.07917151E8</v>
      </c>
      <c r="N25" s="11" t="s">
        <v>443</v>
      </c>
      <c r="O25" s="7"/>
      <c r="P25" s="7"/>
      <c r="Q25" s="7"/>
      <c r="R25" s="7"/>
      <c r="S25" s="7"/>
      <c r="T25" s="7"/>
      <c r="U25" s="7"/>
      <c r="V25" s="149"/>
      <c r="W25" s="149"/>
    </row>
    <row r="26">
      <c r="A26" s="144" t="s">
        <v>440</v>
      </c>
      <c r="B26" s="267">
        <v>46067.0</v>
      </c>
      <c r="C26" s="7"/>
      <c r="D26" s="26">
        <v>3.0</v>
      </c>
      <c r="E26" s="11" t="s">
        <v>39</v>
      </c>
      <c r="F26" s="11" t="s">
        <v>119</v>
      </c>
      <c r="G26" s="228" t="s">
        <v>490</v>
      </c>
      <c r="H26" s="146" t="s">
        <v>254</v>
      </c>
      <c r="I26" s="18" t="s">
        <v>194</v>
      </c>
      <c r="J26" s="113" t="s">
        <v>199</v>
      </c>
      <c r="K26" s="147" t="s">
        <v>255</v>
      </c>
      <c r="L26" s="113" t="s">
        <v>199</v>
      </c>
      <c r="M26" s="277" t="s">
        <v>492</v>
      </c>
      <c r="N26" s="11" t="s">
        <v>443</v>
      </c>
      <c r="O26" s="7"/>
      <c r="P26" s="7"/>
      <c r="Q26" s="7"/>
      <c r="R26" s="7"/>
      <c r="S26" s="7"/>
      <c r="T26" s="7"/>
      <c r="U26" s="7"/>
      <c r="V26" s="149"/>
      <c r="W26" s="149"/>
    </row>
    <row r="27">
      <c r="A27" s="144" t="s">
        <v>440</v>
      </c>
      <c r="B27" s="267">
        <v>46067.0</v>
      </c>
      <c r="C27" s="7"/>
      <c r="D27" s="26">
        <v>4.0</v>
      </c>
      <c r="E27" s="11" t="s">
        <v>39</v>
      </c>
      <c r="F27" s="11" t="s">
        <v>119</v>
      </c>
      <c r="G27" s="228" t="s">
        <v>493</v>
      </c>
      <c r="H27" s="146" t="s">
        <v>254</v>
      </c>
      <c r="I27" s="18" t="s">
        <v>194</v>
      </c>
      <c r="J27" s="113" t="s">
        <v>199</v>
      </c>
      <c r="K27" s="147" t="s">
        <v>255</v>
      </c>
      <c r="L27" s="113" t="s">
        <v>199</v>
      </c>
      <c r="M27" s="166" t="s">
        <v>494</v>
      </c>
      <c r="N27" s="11"/>
      <c r="O27" s="7"/>
      <c r="P27" s="7"/>
      <c r="Q27" s="7"/>
      <c r="R27" s="7"/>
      <c r="S27" s="7"/>
      <c r="T27" s="7"/>
      <c r="U27" s="7"/>
      <c r="V27" s="149"/>
      <c r="W27" s="149"/>
    </row>
    <row r="28">
      <c r="A28" s="144" t="s">
        <v>440</v>
      </c>
      <c r="B28" s="267">
        <v>46106.0</v>
      </c>
      <c r="C28" s="7"/>
      <c r="D28" s="26">
        <v>5.0</v>
      </c>
      <c r="E28" s="11" t="s">
        <v>39</v>
      </c>
      <c r="F28" s="11" t="s">
        <v>496</v>
      </c>
      <c r="G28" s="162" t="s">
        <v>497</v>
      </c>
      <c r="H28" s="146" t="s">
        <v>254</v>
      </c>
      <c r="I28" s="18" t="s">
        <v>194</v>
      </c>
      <c r="J28" s="113" t="s">
        <v>199</v>
      </c>
      <c r="K28" s="147" t="s">
        <v>255</v>
      </c>
      <c r="L28" s="113" t="s">
        <v>199</v>
      </c>
      <c r="M28" s="162" t="s">
        <v>500</v>
      </c>
      <c r="N28" s="11"/>
      <c r="O28" s="7"/>
      <c r="P28" s="7"/>
      <c r="Q28" s="7"/>
      <c r="R28" s="7"/>
      <c r="S28" s="7"/>
      <c r="T28" s="7"/>
      <c r="U28" s="7"/>
      <c r="V28" s="149"/>
      <c r="W28" s="149"/>
    </row>
    <row r="29">
      <c r="A29" s="144" t="s">
        <v>440</v>
      </c>
      <c r="B29" s="267">
        <v>46067.0</v>
      </c>
      <c r="C29" s="7"/>
      <c r="D29" s="26">
        <v>6.0</v>
      </c>
      <c r="E29" s="11" t="s">
        <v>78</v>
      </c>
      <c r="F29" s="11" t="s">
        <v>119</v>
      </c>
      <c r="G29" s="228" t="s">
        <v>503</v>
      </c>
      <c r="H29" s="146" t="s">
        <v>254</v>
      </c>
      <c r="I29" s="18" t="s">
        <v>194</v>
      </c>
      <c r="J29" s="113" t="s">
        <v>199</v>
      </c>
      <c r="K29" s="147" t="s">
        <v>255</v>
      </c>
      <c r="L29" s="113" t="s">
        <v>199</v>
      </c>
      <c r="M29" s="166" t="s">
        <v>508</v>
      </c>
      <c r="N29" s="11" t="s">
        <v>443</v>
      </c>
      <c r="O29" s="7"/>
      <c r="P29" s="7"/>
      <c r="Q29" s="7"/>
      <c r="R29" s="7"/>
      <c r="S29" s="7"/>
      <c r="T29" s="7"/>
      <c r="U29" s="7"/>
      <c r="V29" s="149"/>
      <c r="W29" s="149"/>
    </row>
    <row r="30">
      <c r="A30" s="144" t="s">
        <v>440</v>
      </c>
      <c r="B30" s="267">
        <v>46067.0</v>
      </c>
      <c r="C30" s="7"/>
      <c r="D30" s="26">
        <v>7.0</v>
      </c>
      <c r="E30" s="11" t="s">
        <v>78</v>
      </c>
      <c r="F30" s="11" t="s">
        <v>119</v>
      </c>
      <c r="G30" s="233" t="s">
        <v>510</v>
      </c>
      <c r="H30" s="146" t="s">
        <v>254</v>
      </c>
      <c r="I30" s="18" t="s">
        <v>194</v>
      </c>
      <c r="J30" s="113" t="s">
        <v>199</v>
      </c>
      <c r="K30" s="147" t="s">
        <v>255</v>
      </c>
      <c r="L30" s="113" t="s">
        <v>199</v>
      </c>
      <c r="M30" s="166" t="s">
        <v>513</v>
      </c>
      <c r="N30" s="11" t="s">
        <v>443</v>
      </c>
      <c r="O30" s="7"/>
      <c r="P30" s="7"/>
      <c r="Q30" s="7"/>
      <c r="R30" s="7"/>
      <c r="S30" s="7"/>
      <c r="T30" s="7"/>
      <c r="U30" s="7"/>
      <c r="V30" s="149"/>
      <c r="W30" s="149"/>
    </row>
    <row r="31">
      <c r="A31" s="144" t="s">
        <v>440</v>
      </c>
      <c r="B31" s="267">
        <v>46067.0</v>
      </c>
      <c r="C31" s="7"/>
      <c r="D31" s="26">
        <v>8.0</v>
      </c>
      <c r="E31" s="11" t="s">
        <v>25</v>
      </c>
      <c r="F31" s="11" t="s">
        <v>119</v>
      </c>
      <c r="G31" s="228" t="s">
        <v>517</v>
      </c>
      <c r="H31" s="146" t="s">
        <v>254</v>
      </c>
      <c r="I31" s="18" t="s">
        <v>194</v>
      </c>
      <c r="J31" s="113" t="s">
        <v>199</v>
      </c>
      <c r="K31" s="147" t="s">
        <v>255</v>
      </c>
      <c r="L31" s="113" t="s">
        <v>199</v>
      </c>
      <c r="M31" s="166">
        <v>5.00014004E8</v>
      </c>
      <c r="N31" s="11" t="s">
        <v>443</v>
      </c>
      <c r="O31" s="7"/>
      <c r="P31" s="7"/>
      <c r="Q31" s="7"/>
      <c r="R31" s="7"/>
      <c r="S31" s="7"/>
      <c r="T31" s="7"/>
      <c r="U31" s="7"/>
      <c r="V31" s="149"/>
      <c r="W31" s="149"/>
    </row>
    <row r="32">
      <c r="A32" s="144"/>
      <c r="B32" s="267"/>
      <c r="C32" s="7"/>
      <c r="D32" s="26"/>
      <c r="E32" s="11" t="s">
        <v>25</v>
      </c>
      <c r="F32" s="11" t="s">
        <v>119</v>
      </c>
      <c r="G32" s="157" t="s">
        <v>519</v>
      </c>
      <c r="H32" s="146" t="s">
        <v>254</v>
      </c>
      <c r="I32" s="18" t="s">
        <v>194</v>
      </c>
      <c r="J32" s="113" t="s">
        <v>199</v>
      </c>
      <c r="K32" s="147" t="s">
        <v>255</v>
      </c>
      <c r="L32" s="113" t="s">
        <v>199</v>
      </c>
      <c r="M32" s="166"/>
      <c r="N32" s="11"/>
      <c r="O32" s="7"/>
      <c r="P32" s="7"/>
      <c r="Q32" s="7"/>
      <c r="R32" s="7"/>
      <c r="S32" s="7"/>
      <c r="T32" s="7"/>
      <c r="U32" s="7"/>
      <c r="V32" s="149"/>
      <c r="W32" s="149"/>
    </row>
    <row r="33">
      <c r="A33" s="144" t="s">
        <v>440</v>
      </c>
      <c r="B33" s="267">
        <v>46097.0</v>
      </c>
      <c r="C33" s="7"/>
      <c r="D33" s="26">
        <v>9.0</v>
      </c>
      <c r="E33" s="11" t="s">
        <v>64</v>
      </c>
      <c r="F33" s="11" t="s">
        <v>119</v>
      </c>
      <c r="G33" s="228" t="s">
        <v>521</v>
      </c>
      <c r="H33" s="146" t="s">
        <v>254</v>
      </c>
      <c r="I33" s="18" t="s">
        <v>194</v>
      </c>
      <c r="J33" s="113" t="s">
        <v>199</v>
      </c>
      <c r="K33" s="147" t="s">
        <v>255</v>
      </c>
      <c r="L33" s="113" t="s">
        <v>199</v>
      </c>
      <c r="M33" s="166" t="s">
        <v>523</v>
      </c>
      <c r="N33" s="11" t="s">
        <v>443</v>
      </c>
      <c r="O33" s="7"/>
      <c r="P33" s="7"/>
      <c r="Q33" s="7"/>
      <c r="R33" s="7"/>
      <c r="S33" s="7"/>
      <c r="T33" s="7"/>
      <c r="U33" s="7"/>
      <c r="V33" s="149"/>
      <c r="W33" s="149"/>
    </row>
    <row r="34">
      <c r="A34" s="144" t="s">
        <v>440</v>
      </c>
      <c r="B34" s="267">
        <v>46097.0</v>
      </c>
      <c r="C34" s="7"/>
      <c r="D34" s="26">
        <v>10.0</v>
      </c>
      <c r="E34" s="11" t="s">
        <v>64</v>
      </c>
      <c r="F34" s="11" t="s">
        <v>119</v>
      </c>
      <c r="G34" s="228" t="s">
        <v>525</v>
      </c>
      <c r="H34" s="146" t="s">
        <v>254</v>
      </c>
      <c r="I34" s="18" t="s">
        <v>194</v>
      </c>
      <c r="J34" s="113" t="s">
        <v>199</v>
      </c>
      <c r="K34" s="147" t="s">
        <v>255</v>
      </c>
      <c r="L34" s="113" t="s">
        <v>199</v>
      </c>
      <c r="M34" s="166" t="s">
        <v>528</v>
      </c>
      <c r="N34" s="7"/>
      <c r="O34" s="7"/>
      <c r="P34" s="7"/>
      <c r="Q34" s="7"/>
      <c r="R34" s="7"/>
      <c r="S34" s="7"/>
      <c r="T34" s="7"/>
      <c r="U34" s="7"/>
      <c r="V34" s="149"/>
      <c r="W34" s="149"/>
    </row>
    <row r="35">
      <c r="A35" s="144" t="s">
        <v>440</v>
      </c>
      <c r="B35" s="7"/>
      <c r="C35" s="7"/>
      <c r="D35" s="98"/>
      <c r="E35" s="11" t="s">
        <v>408</v>
      </c>
      <c r="F35" s="7"/>
      <c r="G35" s="98"/>
      <c r="H35" s="146" t="s">
        <v>254</v>
      </c>
      <c r="I35" s="18" t="s">
        <v>194</v>
      </c>
      <c r="J35" s="113" t="s">
        <v>199</v>
      </c>
      <c r="K35" s="147" t="s">
        <v>255</v>
      </c>
      <c r="L35" s="113" t="s">
        <v>199</v>
      </c>
      <c r="M35" s="7"/>
      <c r="N35" s="11" t="s">
        <v>443</v>
      </c>
      <c r="O35" s="7"/>
      <c r="P35" s="7"/>
      <c r="Q35" s="7"/>
      <c r="R35" s="7"/>
      <c r="S35" s="7"/>
      <c r="T35" s="7"/>
      <c r="U35" s="7"/>
      <c r="V35" s="149"/>
      <c r="W35" s="149"/>
    </row>
    <row r="36">
      <c r="A36" s="144" t="s">
        <v>440</v>
      </c>
      <c r="B36" s="302">
        <v>46068.0</v>
      </c>
      <c r="C36" s="7"/>
      <c r="D36" s="26">
        <v>1.0</v>
      </c>
      <c r="E36" s="11" t="s">
        <v>15</v>
      </c>
      <c r="F36" s="11" t="s">
        <v>121</v>
      </c>
      <c r="G36" s="228" t="s">
        <v>534</v>
      </c>
      <c r="H36" s="146" t="s">
        <v>254</v>
      </c>
      <c r="I36" s="18" t="s">
        <v>194</v>
      </c>
      <c r="J36" s="113" t="s">
        <v>199</v>
      </c>
      <c r="K36" s="147" t="s">
        <v>255</v>
      </c>
      <c r="L36" s="113" t="s">
        <v>199</v>
      </c>
      <c r="M36" s="193">
        <v>5.03351506E8</v>
      </c>
      <c r="N36" s="11" t="s">
        <v>443</v>
      </c>
      <c r="O36" s="7"/>
      <c r="P36" s="7"/>
      <c r="Q36" s="7"/>
      <c r="R36" s="7"/>
      <c r="S36" s="7"/>
      <c r="T36" s="7"/>
      <c r="U36" s="7"/>
      <c r="V36" s="149"/>
      <c r="W36" s="149"/>
    </row>
    <row r="37">
      <c r="A37" s="144" t="s">
        <v>440</v>
      </c>
      <c r="B37" s="302">
        <v>46068.0</v>
      </c>
      <c r="C37" s="7"/>
      <c r="D37" s="26">
        <v>2.0</v>
      </c>
      <c r="E37" s="11" t="s">
        <v>64</v>
      </c>
      <c r="F37" s="11" t="s">
        <v>121</v>
      </c>
      <c r="G37" s="148" t="s">
        <v>537</v>
      </c>
      <c r="H37" s="146" t="s">
        <v>254</v>
      </c>
      <c r="I37" s="18" t="s">
        <v>194</v>
      </c>
      <c r="J37" s="113" t="s">
        <v>199</v>
      </c>
      <c r="K37" s="147" t="s">
        <v>255</v>
      </c>
      <c r="L37" s="113" t="s">
        <v>199</v>
      </c>
      <c r="M37" s="308">
        <v>9.97020664E8</v>
      </c>
      <c r="N37" s="11" t="s">
        <v>443</v>
      </c>
      <c r="O37" s="7"/>
      <c r="P37" s="7"/>
      <c r="Q37" s="7"/>
      <c r="R37" s="7"/>
      <c r="S37" s="7"/>
      <c r="T37" s="7"/>
      <c r="U37" s="7"/>
      <c r="V37" s="149"/>
      <c r="W37" s="149"/>
    </row>
    <row r="38">
      <c r="A38" s="144" t="s">
        <v>440</v>
      </c>
      <c r="B38" s="302">
        <v>46068.0</v>
      </c>
      <c r="C38" s="7"/>
      <c r="D38" s="26">
        <v>3.0</v>
      </c>
      <c r="E38" s="11" t="s">
        <v>39</v>
      </c>
      <c r="F38" s="11" t="s">
        <v>121</v>
      </c>
      <c r="G38" s="162" t="s">
        <v>538</v>
      </c>
      <c r="H38" s="146" t="s">
        <v>254</v>
      </c>
      <c r="I38" s="18" t="s">
        <v>194</v>
      </c>
      <c r="J38" s="113" t="s">
        <v>199</v>
      </c>
      <c r="K38" s="147" t="s">
        <v>255</v>
      </c>
      <c r="L38" s="113" t="s">
        <v>199</v>
      </c>
      <c r="M38" s="193">
        <v>5.53552631E8</v>
      </c>
      <c r="N38" s="11" t="s">
        <v>443</v>
      </c>
      <c r="O38" s="7"/>
      <c r="P38" s="7"/>
      <c r="Q38" s="7"/>
      <c r="R38" s="7"/>
      <c r="S38" s="7"/>
      <c r="T38" s="7"/>
      <c r="U38" s="7"/>
      <c r="V38" s="149"/>
      <c r="W38" s="149"/>
    </row>
    <row r="39">
      <c r="A39" s="144" t="s">
        <v>440</v>
      </c>
      <c r="B39" s="302">
        <v>46068.0</v>
      </c>
      <c r="C39" s="7"/>
      <c r="D39" s="26">
        <v>4.0</v>
      </c>
      <c r="E39" s="11" t="s">
        <v>39</v>
      </c>
      <c r="F39" s="11" t="s">
        <v>121</v>
      </c>
      <c r="G39" s="233" t="s">
        <v>539</v>
      </c>
      <c r="H39" s="146" t="s">
        <v>254</v>
      </c>
      <c r="I39" s="18" t="s">
        <v>194</v>
      </c>
      <c r="J39" s="113" t="s">
        <v>199</v>
      </c>
      <c r="K39" s="147" t="s">
        <v>255</v>
      </c>
      <c r="L39" s="113" t="s">
        <v>199</v>
      </c>
      <c r="M39" s="166">
        <v>5.5017937E8</v>
      </c>
      <c r="N39" s="11"/>
      <c r="O39" s="7"/>
      <c r="P39" s="7"/>
      <c r="Q39" s="7"/>
      <c r="R39" s="7"/>
      <c r="S39" s="7"/>
      <c r="T39" s="7"/>
      <c r="U39" s="7"/>
      <c r="V39" s="149"/>
      <c r="W39" s="149"/>
    </row>
    <row r="40">
      <c r="A40" s="144" t="s">
        <v>440</v>
      </c>
      <c r="B40" s="302">
        <v>46068.0</v>
      </c>
      <c r="C40" s="7"/>
      <c r="D40" s="26">
        <v>5.0</v>
      </c>
      <c r="E40" s="11" t="s">
        <v>39</v>
      </c>
      <c r="F40" s="11" t="s">
        <v>121</v>
      </c>
      <c r="G40" s="228" t="s">
        <v>541</v>
      </c>
      <c r="H40" s="146" t="s">
        <v>254</v>
      </c>
      <c r="I40" s="18" t="s">
        <v>194</v>
      </c>
      <c r="J40" s="113" t="s">
        <v>199</v>
      </c>
      <c r="K40" s="147" t="s">
        <v>255</v>
      </c>
      <c r="L40" s="113" t="s">
        <v>199</v>
      </c>
      <c r="M40" s="166">
        <v>5.51713517E8</v>
      </c>
      <c r="N40" s="11"/>
      <c r="O40" s="7"/>
      <c r="P40" s="7"/>
      <c r="Q40" s="7"/>
      <c r="R40" s="7"/>
      <c r="S40" s="7"/>
      <c r="T40" s="7"/>
      <c r="U40" s="7"/>
      <c r="V40" s="149"/>
      <c r="W40" s="149"/>
    </row>
    <row r="41">
      <c r="A41" s="144" t="s">
        <v>440</v>
      </c>
      <c r="B41" s="302">
        <v>46068.0</v>
      </c>
      <c r="C41" s="7"/>
      <c r="D41" s="26">
        <v>6.0</v>
      </c>
      <c r="E41" s="11" t="s">
        <v>39</v>
      </c>
      <c r="F41" s="11" t="s">
        <v>121</v>
      </c>
      <c r="G41" s="228" t="s">
        <v>543</v>
      </c>
      <c r="H41" s="146" t="s">
        <v>254</v>
      </c>
      <c r="I41" s="18" t="s">
        <v>194</v>
      </c>
      <c r="J41" s="113" t="s">
        <v>302</v>
      </c>
      <c r="K41" s="147" t="s">
        <v>255</v>
      </c>
      <c r="L41" s="113" t="s">
        <v>199</v>
      </c>
      <c r="M41" s="166" t="s">
        <v>544</v>
      </c>
      <c r="N41" s="11"/>
      <c r="O41" s="7"/>
      <c r="P41" s="7"/>
      <c r="Q41" s="7"/>
      <c r="R41" s="7"/>
      <c r="S41" s="7"/>
      <c r="T41" s="7"/>
      <c r="U41" s="7"/>
      <c r="V41" s="149"/>
      <c r="W41" s="149"/>
    </row>
    <row r="42">
      <c r="A42" s="144" t="s">
        <v>440</v>
      </c>
      <c r="B42" s="302">
        <v>46106.0</v>
      </c>
      <c r="C42" s="7"/>
      <c r="D42" s="26">
        <v>7.0</v>
      </c>
      <c r="E42" s="11" t="s">
        <v>39</v>
      </c>
      <c r="F42" s="11" t="s">
        <v>121</v>
      </c>
      <c r="G42" s="310" t="s">
        <v>546</v>
      </c>
      <c r="H42" s="146" t="s">
        <v>254</v>
      </c>
      <c r="I42" s="18" t="s">
        <v>194</v>
      </c>
      <c r="J42" s="113" t="s">
        <v>199</v>
      </c>
      <c r="K42" s="147" t="s">
        <v>255</v>
      </c>
      <c r="L42" s="113" t="s">
        <v>199</v>
      </c>
      <c r="M42" s="166"/>
      <c r="N42" s="11"/>
      <c r="O42" s="7"/>
      <c r="P42" s="7"/>
      <c r="Q42" s="7"/>
      <c r="R42" s="7"/>
      <c r="S42" s="7"/>
      <c r="T42" s="7"/>
      <c r="U42" s="7"/>
      <c r="V42" s="149"/>
      <c r="W42" s="149"/>
    </row>
    <row r="43">
      <c r="A43" s="144" t="s">
        <v>440</v>
      </c>
      <c r="B43" s="302">
        <v>46068.0</v>
      </c>
      <c r="C43" s="7"/>
      <c r="D43" s="26">
        <v>8.0</v>
      </c>
      <c r="E43" s="11" t="s">
        <v>78</v>
      </c>
      <c r="F43" s="11" t="s">
        <v>121</v>
      </c>
      <c r="G43" s="228" t="s">
        <v>551</v>
      </c>
      <c r="H43" s="146" t="s">
        <v>254</v>
      </c>
      <c r="I43" s="18" t="s">
        <v>194</v>
      </c>
      <c r="J43" s="113" t="s">
        <v>199</v>
      </c>
      <c r="K43" s="147" t="s">
        <v>255</v>
      </c>
      <c r="L43" s="113" t="s">
        <v>199</v>
      </c>
      <c r="M43" s="166">
        <v>5.55533304E8</v>
      </c>
      <c r="N43" s="11"/>
      <c r="O43" s="7"/>
      <c r="P43" s="7"/>
      <c r="Q43" s="7"/>
      <c r="R43" s="7"/>
      <c r="S43" s="7"/>
      <c r="T43" s="7"/>
      <c r="U43" s="7"/>
      <c r="V43" s="149"/>
      <c r="W43" s="149"/>
    </row>
    <row r="44">
      <c r="A44" s="144" t="s">
        <v>440</v>
      </c>
      <c r="B44" s="302">
        <v>46068.0</v>
      </c>
      <c r="C44" s="7"/>
      <c r="D44" s="26">
        <v>9.0</v>
      </c>
      <c r="E44" s="11" t="s">
        <v>78</v>
      </c>
      <c r="F44" s="11" t="s">
        <v>121</v>
      </c>
      <c r="G44" s="228" t="s">
        <v>553</v>
      </c>
      <c r="H44" s="146" t="s">
        <v>254</v>
      </c>
      <c r="I44" s="18" t="s">
        <v>194</v>
      </c>
      <c r="J44" s="113" t="s">
        <v>199</v>
      </c>
      <c r="K44" s="147" t="s">
        <v>255</v>
      </c>
      <c r="L44" s="113" t="s">
        <v>199</v>
      </c>
      <c r="M44" s="166">
        <v>5.52180699E8</v>
      </c>
      <c r="N44" s="11"/>
      <c r="O44" s="7"/>
      <c r="P44" s="7"/>
      <c r="Q44" s="7"/>
      <c r="R44" s="7"/>
      <c r="S44" s="7"/>
      <c r="T44" s="7"/>
      <c r="U44" s="7"/>
      <c r="V44" s="149"/>
      <c r="W44" s="149"/>
    </row>
    <row r="45">
      <c r="A45" s="144" t="s">
        <v>440</v>
      </c>
      <c r="B45" s="302">
        <v>46068.0</v>
      </c>
      <c r="C45" s="7"/>
      <c r="D45" s="26">
        <v>10.0</v>
      </c>
      <c r="E45" s="11" t="s">
        <v>25</v>
      </c>
      <c r="F45" s="11" t="s">
        <v>121</v>
      </c>
      <c r="G45" s="311" t="s">
        <v>554</v>
      </c>
      <c r="H45" s="146" t="s">
        <v>254</v>
      </c>
      <c r="I45" s="18" t="s">
        <v>194</v>
      </c>
      <c r="J45" s="113" t="s">
        <v>199</v>
      </c>
      <c r="K45" s="147" t="s">
        <v>255</v>
      </c>
      <c r="L45" s="113" t="s">
        <v>199</v>
      </c>
      <c r="M45" s="166">
        <v>7.09355572E8</v>
      </c>
      <c r="N45" s="11" t="s">
        <v>443</v>
      </c>
      <c r="O45" s="7"/>
      <c r="P45" s="7"/>
      <c r="Q45" s="7"/>
      <c r="R45" s="7"/>
      <c r="S45" s="7"/>
      <c r="T45" s="7"/>
      <c r="U45" s="7"/>
      <c r="V45" s="149"/>
      <c r="W45" s="149"/>
    </row>
    <row r="46">
      <c r="A46" s="144" t="s">
        <v>440</v>
      </c>
      <c r="B46" s="302">
        <v>46068.0</v>
      </c>
      <c r="C46" s="7"/>
      <c r="D46" s="26">
        <v>11.0</v>
      </c>
      <c r="E46" s="11" t="s">
        <v>25</v>
      </c>
      <c r="F46" s="11" t="s">
        <v>121</v>
      </c>
      <c r="G46" s="316" t="s">
        <v>557</v>
      </c>
      <c r="H46" s="146" t="s">
        <v>254</v>
      </c>
      <c r="I46" s="18" t="s">
        <v>194</v>
      </c>
      <c r="J46" s="113" t="s">
        <v>302</v>
      </c>
      <c r="K46" s="147" t="s">
        <v>255</v>
      </c>
      <c r="L46" s="113" t="s">
        <v>302</v>
      </c>
      <c r="M46" s="277"/>
      <c r="N46" s="11" t="s">
        <v>443</v>
      </c>
      <c r="O46" s="7"/>
      <c r="P46" s="7"/>
      <c r="Q46" s="7"/>
      <c r="R46" s="7"/>
      <c r="S46" s="7"/>
      <c r="T46" s="7"/>
      <c r="U46" s="7"/>
      <c r="V46" s="149"/>
      <c r="W46" s="149"/>
    </row>
    <row r="47">
      <c r="A47" s="144" t="s">
        <v>440</v>
      </c>
      <c r="B47" s="302">
        <v>46068.0</v>
      </c>
      <c r="C47" s="7"/>
      <c r="D47" s="26">
        <v>12.0</v>
      </c>
      <c r="E47" s="11" t="s">
        <v>25</v>
      </c>
      <c r="F47" s="11" t="s">
        <v>121</v>
      </c>
      <c r="G47" s="228" t="s">
        <v>559</v>
      </c>
      <c r="H47" s="146" t="s">
        <v>254</v>
      </c>
      <c r="I47" s="18" t="s">
        <v>194</v>
      </c>
      <c r="J47" s="113" t="s">
        <v>199</v>
      </c>
      <c r="K47" s="147" t="s">
        <v>255</v>
      </c>
      <c r="L47" s="113" t="s">
        <v>199</v>
      </c>
      <c r="M47" s="166" t="s">
        <v>560</v>
      </c>
      <c r="N47" s="11" t="s">
        <v>443</v>
      </c>
      <c r="O47" s="7"/>
      <c r="P47" s="7"/>
      <c r="Q47" s="7"/>
      <c r="R47" s="7"/>
      <c r="S47" s="7"/>
      <c r="T47" s="7"/>
      <c r="U47" s="7"/>
      <c r="V47" s="149"/>
      <c r="W47" s="149"/>
    </row>
    <row r="48">
      <c r="A48" s="144" t="s">
        <v>440</v>
      </c>
      <c r="B48" s="302">
        <v>46068.0</v>
      </c>
      <c r="C48" s="7"/>
      <c r="D48" s="26">
        <v>13.0</v>
      </c>
      <c r="E48" s="11" t="s">
        <v>64</v>
      </c>
      <c r="F48" s="11" t="s">
        <v>121</v>
      </c>
      <c r="G48" s="228" t="s">
        <v>562</v>
      </c>
      <c r="H48" s="146" t="s">
        <v>254</v>
      </c>
      <c r="I48" s="18" t="s">
        <v>194</v>
      </c>
      <c r="J48" s="113" t="s">
        <v>199</v>
      </c>
      <c r="K48" s="147" t="s">
        <v>255</v>
      </c>
      <c r="L48" s="113" t="s">
        <v>199</v>
      </c>
      <c r="M48" s="166">
        <v>7.79436768E8</v>
      </c>
      <c r="N48" s="11" t="s">
        <v>443</v>
      </c>
      <c r="O48" s="7"/>
      <c r="P48" s="7"/>
      <c r="Q48" s="7"/>
      <c r="R48" s="7"/>
      <c r="S48" s="7"/>
      <c r="T48" s="7"/>
      <c r="U48" s="7"/>
      <c r="V48" s="149"/>
      <c r="W48" s="149"/>
    </row>
    <row r="49">
      <c r="A49" s="144" t="s">
        <v>440</v>
      </c>
      <c r="B49" s="302">
        <v>46106.0</v>
      </c>
      <c r="C49" s="7"/>
      <c r="D49" s="26">
        <v>14.0</v>
      </c>
      <c r="E49" s="11" t="s">
        <v>64</v>
      </c>
      <c r="F49" s="11" t="s">
        <v>565</v>
      </c>
      <c r="G49" s="320" t="s">
        <v>566</v>
      </c>
      <c r="H49" s="146" t="s">
        <v>254</v>
      </c>
      <c r="I49" s="18" t="s">
        <v>194</v>
      </c>
      <c r="J49" s="113" t="s">
        <v>199</v>
      </c>
      <c r="K49" s="147" t="s">
        <v>255</v>
      </c>
      <c r="L49" s="113" t="s">
        <v>199</v>
      </c>
      <c r="M49" s="7"/>
      <c r="N49" s="7"/>
      <c r="O49" s="7"/>
      <c r="P49" s="7"/>
      <c r="Q49" s="7"/>
      <c r="R49" s="7"/>
      <c r="S49" s="7"/>
      <c r="T49" s="7"/>
      <c r="U49" s="7"/>
      <c r="V49" s="149"/>
      <c r="W49" s="149"/>
    </row>
    <row r="50">
      <c r="A50" s="144" t="s">
        <v>440</v>
      </c>
      <c r="B50" s="302">
        <v>46106.0</v>
      </c>
      <c r="C50" s="7"/>
      <c r="D50" s="26">
        <v>15.0</v>
      </c>
      <c r="E50" s="11" t="s">
        <v>64</v>
      </c>
      <c r="F50" s="11" t="s">
        <v>568</v>
      </c>
      <c r="G50" s="320" t="s">
        <v>569</v>
      </c>
      <c r="H50" s="146" t="s">
        <v>254</v>
      </c>
      <c r="I50" s="18" t="s">
        <v>194</v>
      </c>
      <c r="J50" s="113" t="s">
        <v>199</v>
      </c>
      <c r="K50" s="147" t="s">
        <v>255</v>
      </c>
      <c r="L50" s="113" t="s">
        <v>199</v>
      </c>
      <c r="M50" s="7"/>
      <c r="N50" s="7"/>
      <c r="O50" s="7"/>
      <c r="P50" s="7"/>
      <c r="Q50" s="7"/>
      <c r="R50" s="7"/>
      <c r="S50" s="7"/>
      <c r="T50" s="7"/>
      <c r="U50" s="7"/>
      <c r="V50" s="149"/>
      <c r="W50" s="149"/>
    </row>
    <row r="51">
      <c r="D51" s="19"/>
      <c r="H51" s="146" t="s">
        <v>254</v>
      </c>
      <c r="I51" s="18" t="s">
        <v>194</v>
      </c>
      <c r="J51" s="113" t="s">
        <v>199</v>
      </c>
      <c r="K51" s="147" t="s">
        <v>255</v>
      </c>
      <c r="L51" s="113" t="s">
        <v>199</v>
      </c>
      <c r="N51" s="7"/>
      <c r="O51" s="7"/>
      <c r="P51" s="7"/>
      <c r="Q51" s="7"/>
      <c r="R51" s="7"/>
      <c r="S51" s="7"/>
      <c r="T51" s="7"/>
      <c r="U51" s="7"/>
      <c r="V51" s="149"/>
      <c r="W51" s="149"/>
    </row>
    <row r="52">
      <c r="A52" s="144" t="s">
        <v>440</v>
      </c>
      <c r="B52" s="267">
        <v>46113.0</v>
      </c>
      <c r="C52" s="7"/>
      <c r="D52" s="98"/>
      <c r="E52" s="11" t="s">
        <v>64</v>
      </c>
      <c r="F52" s="11" t="s">
        <v>116</v>
      </c>
      <c r="G52" s="327" t="s">
        <v>570</v>
      </c>
      <c r="H52" s="146" t="s">
        <v>254</v>
      </c>
      <c r="I52" s="18" t="s">
        <v>194</v>
      </c>
      <c r="J52" s="113" t="s">
        <v>199</v>
      </c>
      <c r="K52" s="147" t="s">
        <v>255</v>
      </c>
      <c r="L52" s="113" t="s">
        <v>199</v>
      </c>
      <c r="M52" s="166">
        <v>5.5001011E8</v>
      </c>
      <c r="N52" s="7"/>
      <c r="O52" s="7"/>
      <c r="P52" s="7"/>
      <c r="Q52" s="7"/>
      <c r="R52" s="7"/>
      <c r="S52" s="7"/>
      <c r="T52" s="7"/>
      <c r="U52" s="7"/>
      <c r="V52" s="149"/>
      <c r="W52" s="149"/>
    </row>
    <row r="53">
      <c r="A53" s="144" t="s">
        <v>440</v>
      </c>
      <c r="B53" s="267">
        <v>46114.0</v>
      </c>
      <c r="C53" s="7"/>
      <c r="D53" s="98"/>
      <c r="E53" s="11" t="s">
        <v>64</v>
      </c>
      <c r="F53" s="11" t="s">
        <v>116</v>
      </c>
      <c r="G53" s="38" t="s">
        <v>571</v>
      </c>
      <c r="H53" s="146" t="s">
        <v>406</v>
      </c>
      <c r="I53" s="18" t="s">
        <v>409</v>
      </c>
      <c r="J53" s="113" t="s">
        <v>199</v>
      </c>
      <c r="K53" s="147" t="s">
        <v>255</v>
      </c>
      <c r="L53" s="113" t="s">
        <v>199</v>
      </c>
      <c r="M53" s="26" t="s">
        <v>575</v>
      </c>
      <c r="N53" s="7"/>
      <c r="O53" s="7"/>
      <c r="P53" s="7"/>
      <c r="Q53" s="7"/>
      <c r="R53" s="7"/>
      <c r="S53" s="7"/>
      <c r="T53" s="7"/>
      <c r="U53" s="7"/>
      <c r="V53" s="149"/>
      <c r="W53" s="149"/>
    </row>
    <row r="54">
      <c r="A54" s="144" t="s">
        <v>440</v>
      </c>
      <c r="B54" s="226">
        <v>46118.0</v>
      </c>
      <c r="C54" s="7"/>
      <c r="D54" s="98"/>
      <c r="E54" s="11" t="s">
        <v>39</v>
      </c>
      <c r="F54" s="11" t="s">
        <v>121</v>
      </c>
      <c r="G54" s="327" t="s">
        <v>576</v>
      </c>
      <c r="H54" s="7"/>
      <c r="I54" s="98"/>
      <c r="J54" s="114"/>
      <c r="K54" s="114"/>
      <c r="L54" s="114"/>
      <c r="M54" s="26">
        <v>7.02250206E8</v>
      </c>
      <c r="N54" s="7"/>
      <c r="O54" s="7"/>
      <c r="P54" s="7"/>
      <c r="Q54" s="7"/>
      <c r="R54" s="7"/>
      <c r="S54" s="7"/>
      <c r="T54" s="7"/>
      <c r="U54" s="7"/>
      <c r="V54" s="149"/>
      <c r="W54" s="149"/>
    </row>
    <row r="55">
      <c r="A55" s="144" t="s">
        <v>440</v>
      </c>
      <c r="B55" s="267">
        <v>46115.0</v>
      </c>
      <c r="C55" s="7"/>
      <c r="D55" s="98"/>
      <c r="E55" s="11" t="s">
        <v>64</v>
      </c>
      <c r="F55" s="11" t="s">
        <v>116</v>
      </c>
      <c r="G55" s="26" t="s">
        <v>580</v>
      </c>
      <c r="H55" s="7"/>
      <c r="I55" s="98"/>
      <c r="J55" s="114"/>
      <c r="K55" s="114"/>
      <c r="L55" s="114"/>
      <c r="M55" s="26">
        <v>5.02020364E8</v>
      </c>
      <c r="N55" s="7"/>
      <c r="O55" s="7"/>
      <c r="P55" s="7"/>
      <c r="Q55" s="7"/>
      <c r="R55" s="7"/>
      <c r="S55" s="7"/>
      <c r="T55" s="7"/>
      <c r="U55" s="7"/>
      <c r="V55" s="149"/>
      <c r="W55" s="149"/>
    </row>
    <row r="56">
      <c r="A56" s="7"/>
      <c r="B56" s="23">
        <v>46119.0</v>
      </c>
      <c r="C56" s="7"/>
      <c r="D56" s="98"/>
      <c r="E56" s="11" t="s">
        <v>39</v>
      </c>
      <c r="F56" s="11" t="s">
        <v>582</v>
      </c>
      <c r="G56" s="38" t="s">
        <v>583</v>
      </c>
      <c r="H56" s="7"/>
      <c r="I56" s="98"/>
      <c r="J56" s="114"/>
      <c r="K56" s="114"/>
      <c r="L56" s="114"/>
      <c r="M56" s="26" t="s">
        <v>584</v>
      </c>
      <c r="N56" s="7"/>
      <c r="O56" s="7"/>
      <c r="P56" s="7"/>
      <c r="Q56" s="7"/>
      <c r="R56" s="7"/>
      <c r="S56" s="7"/>
      <c r="T56" s="7"/>
      <c r="U56" s="7"/>
      <c r="V56" s="149"/>
      <c r="W56" s="149"/>
    </row>
    <row r="57">
      <c r="A57" s="7"/>
      <c r="B57" s="23">
        <v>46120.0</v>
      </c>
      <c r="C57" s="7"/>
      <c r="D57" s="98"/>
      <c r="E57" s="11" t="s">
        <v>39</v>
      </c>
      <c r="F57" s="11" t="s">
        <v>121</v>
      </c>
      <c r="G57" s="26" t="s">
        <v>585</v>
      </c>
      <c r="H57" s="7"/>
      <c r="I57" s="98"/>
      <c r="J57" s="114"/>
      <c r="K57" s="114"/>
      <c r="L57" s="114"/>
      <c r="M57" s="11" t="s">
        <v>586</v>
      </c>
      <c r="N57" s="7"/>
      <c r="O57" s="7"/>
      <c r="P57" s="7"/>
      <c r="Q57" s="7"/>
      <c r="R57" s="7"/>
      <c r="S57" s="7"/>
      <c r="T57" s="7"/>
      <c r="U57" s="7"/>
      <c r="V57" s="149"/>
      <c r="W57" s="149"/>
    </row>
    <row r="58">
      <c r="A58" s="7"/>
      <c r="B58" s="23">
        <v>46121.0</v>
      </c>
      <c r="C58" s="7"/>
      <c r="D58" s="98"/>
      <c r="E58" s="11" t="s">
        <v>64</v>
      </c>
      <c r="F58" s="11" t="s">
        <v>121</v>
      </c>
      <c r="G58" s="26" t="s">
        <v>587</v>
      </c>
      <c r="H58" s="7"/>
      <c r="I58" s="98"/>
      <c r="J58" s="114"/>
      <c r="K58" s="114"/>
      <c r="L58" s="114"/>
      <c r="M58" s="11">
        <v>5.01513472E8</v>
      </c>
      <c r="N58" s="7"/>
      <c r="O58" s="7"/>
      <c r="P58" s="7"/>
      <c r="Q58" s="7"/>
      <c r="R58" s="7"/>
      <c r="S58" s="7"/>
      <c r="T58" s="7"/>
      <c r="U58" s="7"/>
      <c r="V58" s="149"/>
      <c r="W58" s="149"/>
    </row>
    <row r="59">
      <c r="A59" s="7"/>
      <c r="B59" s="23">
        <v>46121.0</v>
      </c>
      <c r="C59" s="7"/>
      <c r="D59" s="98"/>
      <c r="E59" s="11" t="s">
        <v>39</v>
      </c>
      <c r="F59" s="11" t="s">
        <v>116</v>
      </c>
      <c r="G59" s="26" t="s">
        <v>588</v>
      </c>
      <c r="H59" s="7"/>
      <c r="I59" s="98"/>
      <c r="J59" s="114"/>
      <c r="K59" s="114"/>
      <c r="L59" s="114"/>
      <c r="M59" s="11" t="s">
        <v>589</v>
      </c>
      <c r="N59" s="7"/>
      <c r="O59" s="7"/>
      <c r="P59" s="7"/>
      <c r="Q59" s="7"/>
      <c r="R59" s="7"/>
      <c r="S59" s="7"/>
      <c r="T59" s="7"/>
      <c r="U59" s="7"/>
      <c r="V59" s="149"/>
      <c r="W59" s="149"/>
    </row>
    <row r="60">
      <c r="A60" s="7"/>
      <c r="B60" s="23">
        <v>46121.0</v>
      </c>
      <c r="C60" s="7"/>
      <c r="D60" s="98"/>
      <c r="E60" s="11" t="s">
        <v>64</v>
      </c>
      <c r="F60" s="11" t="s">
        <v>121</v>
      </c>
      <c r="G60" s="335" t="s">
        <v>590</v>
      </c>
      <c r="H60" s="7"/>
      <c r="I60" s="98"/>
      <c r="J60" s="114"/>
      <c r="K60" s="114"/>
      <c r="L60" s="114"/>
      <c r="M60" s="338" t="s">
        <v>591</v>
      </c>
      <c r="N60" s="7"/>
      <c r="O60" s="7"/>
      <c r="P60" s="7"/>
      <c r="Q60" s="7"/>
      <c r="R60" s="7"/>
      <c r="S60" s="7"/>
      <c r="T60" s="7"/>
      <c r="U60" s="7"/>
      <c r="V60" s="149"/>
      <c r="W60" s="149"/>
    </row>
    <row r="61">
      <c r="A61" s="7"/>
      <c r="B61" s="23">
        <v>46125.0</v>
      </c>
      <c r="C61" s="7"/>
      <c r="D61" s="98"/>
      <c r="E61" s="11" t="s">
        <v>39</v>
      </c>
      <c r="F61" s="11" t="s">
        <v>121</v>
      </c>
      <c r="G61" s="335" t="s">
        <v>592</v>
      </c>
      <c r="H61" s="7"/>
      <c r="I61" s="98"/>
      <c r="J61" s="114"/>
      <c r="K61" s="114"/>
      <c r="L61" s="114"/>
      <c r="M61" s="339" t="s">
        <v>593</v>
      </c>
      <c r="V61" s="184"/>
      <c r="W61" s="184"/>
    </row>
    <row r="62">
      <c r="A62" s="7"/>
      <c r="B62" s="23">
        <v>46135.0</v>
      </c>
      <c r="C62" s="7"/>
      <c r="D62" s="98"/>
      <c r="E62" s="11" t="s">
        <v>39</v>
      </c>
      <c r="F62" s="11" t="s">
        <v>121</v>
      </c>
      <c r="G62" s="26" t="s">
        <v>594</v>
      </c>
      <c r="H62" s="7"/>
      <c r="I62" s="98"/>
      <c r="J62" s="114"/>
      <c r="K62" s="114"/>
      <c r="L62" s="114"/>
      <c r="M62" s="11" t="s">
        <v>595</v>
      </c>
      <c r="V62" s="184"/>
      <c r="W62" s="184"/>
    </row>
    <row r="63">
      <c r="A63" s="7"/>
      <c r="B63" s="23">
        <v>46123.0</v>
      </c>
      <c r="C63" s="7"/>
      <c r="D63" s="98"/>
      <c r="E63" s="11" t="s">
        <v>39</v>
      </c>
      <c r="F63" s="188" t="s">
        <v>121</v>
      </c>
      <c r="G63" s="341" t="s">
        <v>596</v>
      </c>
      <c r="H63" s="7"/>
      <c r="I63" s="98"/>
      <c r="J63" s="114"/>
      <c r="K63" s="114"/>
      <c r="L63" s="114"/>
      <c r="M63" s="341">
        <v>5.01398437E8</v>
      </c>
      <c r="V63" s="184"/>
      <c r="W63" s="184"/>
    </row>
    <row r="64">
      <c r="A64" s="144" t="s">
        <v>440</v>
      </c>
      <c r="B64" s="267">
        <v>46117.0</v>
      </c>
      <c r="C64" s="7"/>
      <c r="D64" s="98"/>
      <c r="E64" s="11" t="s">
        <v>25</v>
      </c>
      <c r="F64" s="188" t="s">
        <v>597</v>
      </c>
      <c r="G64" s="343" t="s">
        <v>598</v>
      </c>
      <c r="H64" s="7"/>
      <c r="I64" s="98"/>
      <c r="J64" s="114"/>
      <c r="K64" s="114"/>
      <c r="L64" s="114"/>
      <c r="M64" s="344" t="s">
        <v>600</v>
      </c>
      <c r="N64" s="7"/>
      <c r="O64" s="7"/>
      <c r="P64" s="7"/>
      <c r="Q64" s="7"/>
      <c r="R64" s="7"/>
      <c r="S64" s="7"/>
      <c r="T64" s="7"/>
      <c r="U64" s="7"/>
      <c r="V64" s="149"/>
      <c r="W64" s="149"/>
    </row>
    <row r="65">
      <c r="A65" s="144" t="s">
        <v>100</v>
      </c>
      <c r="B65" s="345">
        <v>46116.0</v>
      </c>
      <c r="C65" s="7"/>
      <c r="D65" s="98"/>
      <c r="E65" s="11" t="s">
        <v>25</v>
      </c>
      <c r="F65" s="11" t="s">
        <v>601</v>
      </c>
      <c r="G65" s="161" t="s">
        <v>602</v>
      </c>
      <c r="H65" s="11"/>
      <c r="I65" s="98"/>
      <c r="J65" s="185"/>
      <c r="K65" s="185"/>
      <c r="L65" s="185"/>
      <c r="M65" s="26" t="s">
        <v>603</v>
      </c>
      <c r="N65" s="7"/>
      <c r="O65" s="7"/>
      <c r="P65" s="7"/>
      <c r="Q65" s="7"/>
      <c r="R65" s="7"/>
      <c r="S65" s="7"/>
      <c r="T65" s="7"/>
      <c r="U65" s="7"/>
      <c r="V65" s="149"/>
      <c r="W65" s="149"/>
    </row>
    <row r="66">
      <c r="A66" s="7"/>
      <c r="B66" s="23">
        <v>46121.0</v>
      </c>
      <c r="C66" s="7"/>
      <c r="D66" s="98"/>
      <c r="E66" s="11" t="s">
        <v>25</v>
      </c>
      <c r="F66" s="11" t="s">
        <v>94</v>
      </c>
      <c r="G66" s="335" t="s">
        <v>324</v>
      </c>
      <c r="H66" s="11"/>
      <c r="I66" s="98"/>
      <c r="J66" s="186"/>
      <c r="K66" s="186"/>
      <c r="L66" s="186"/>
      <c r="M66" s="338" t="s">
        <v>325</v>
      </c>
      <c r="N66" s="7"/>
      <c r="O66" s="7"/>
      <c r="P66" s="7"/>
      <c r="Q66" s="7"/>
      <c r="R66" s="7"/>
      <c r="S66" s="7"/>
      <c r="T66" s="7"/>
      <c r="U66" s="7"/>
      <c r="V66" s="149"/>
      <c r="W66" s="149"/>
    </row>
    <row r="67">
      <c r="A67" s="7"/>
      <c r="B67" s="23">
        <v>46123.0</v>
      </c>
      <c r="C67" s="7"/>
      <c r="D67" s="98"/>
      <c r="E67" s="11" t="s">
        <v>25</v>
      </c>
      <c r="F67" s="11" t="s">
        <v>94</v>
      </c>
      <c r="G67" s="192" t="s">
        <v>280</v>
      </c>
      <c r="H67" s="11"/>
      <c r="I67" s="98"/>
      <c r="J67" s="186"/>
      <c r="K67" s="186"/>
      <c r="L67" s="186"/>
      <c r="M67" s="192" t="s">
        <v>281</v>
      </c>
      <c r="V67" s="184"/>
      <c r="W67" s="184"/>
    </row>
    <row r="68">
      <c r="A68" s="7"/>
      <c r="B68" s="23">
        <v>46125.0</v>
      </c>
      <c r="C68" s="7"/>
      <c r="D68" s="98"/>
      <c r="E68" s="11" t="s">
        <v>25</v>
      </c>
      <c r="F68" s="11" t="s">
        <v>102</v>
      </c>
      <c r="G68" s="335" t="s">
        <v>605</v>
      </c>
      <c r="H68" s="11"/>
      <c r="I68" s="98"/>
      <c r="J68" s="114"/>
      <c r="K68" s="114"/>
      <c r="L68" s="114"/>
      <c r="M68" s="339" t="s">
        <v>606</v>
      </c>
      <c r="V68" s="184"/>
      <c r="W68" s="184"/>
    </row>
    <row r="69">
      <c r="A69" s="7"/>
      <c r="B69" s="23">
        <v>46125.0</v>
      </c>
      <c r="C69" s="7"/>
      <c r="D69" s="98"/>
      <c r="E69" s="11" t="s">
        <v>25</v>
      </c>
      <c r="F69" s="11" t="s">
        <v>94</v>
      </c>
      <c r="G69" s="26" t="s">
        <v>326</v>
      </c>
      <c r="H69" s="11"/>
      <c r="I69" s="98"/>
      <c r="J69" s="114"/>
      <c r="K69" s="114"/>
      <c r="L69" s="114"/>
      <c r="M69" s="11" t="s">
        <v>327</v>
      </c>
      <c r="V69" s="184"/>
      <c r="W69" s="184"/>
    </row>
    <row r="70">
      <c r="A70" s="7"/>
      <c r="B70" s="23">
        <v>46128.0</v>
      </c>
      <c r="C70" s="7"/>
      <c r="D70" s="98"/>
      <c r="E70" s="11" t="s">
        <v>25</v>
      </c>
      <c r="F70" s="11" t="s">
        <v>94</v>
      </c>
      <c r="G70" s="26" t="s">
        <v>328</v>
      </c>
      <c r="H70" s="11"/>
      <c r="I70" s="98"/>
      <c r="J70" s="114"/>
      <c r="K70" s="114"/>
      <c r="L70" s="114"/>
      <c r="M70" s="11" t="s">
        <v>329</v>
      </c>
      <c r="V70" s="184"/>
      <c r="W70" s="184"/>
    </row>
    <row r="71">
      <c r="A71" s="7"/>
      <c r="B71" s="23">
        <v>46118.0</v>
      </c>
      <c r="C71" s="7"/>
      <c r="D71" s="98"/>
      <c r="E71" s="11" t="s">
        <v>73</v>
      </c>
      <c r="F71" s="11" t="s">
        <v>607</v>
      </c>
      <c r="G71" s="161" t="s">
        <v>608</v>
      </c>
      <c r="H71" s="11"/>
      <c r="I71" s="98"/>
      <c r="J71" s="114"/>
      <c r="K71" s="114"/>
      <c r="L71" s="114"/>
      <c r="M71" s="26" t="s">
        <v>609</v>
      </c>
      <c r="N71" s="7"/>
      <c r="O71" s="7"/>
      <c r="P71" s="7"/>
      <c r="Q71" s="7"/>
      <c r="R71" s="7"/>
      <c r="S71" s="7"/>
      <c r="T71" s="7"/>
      <c r="U71" s="7"/>
      <c r="V71" s="149"/>
      <c r="W71" s="149"/>
    </row>
    <row r="72">
      <c r="A72" s="7"/>
      <c r="B72" s="23">
        <v>46118.0</v>
      </c>
      <c r="C72" s="7"/>
      <c r="D72" s="98"/>
      <c r="E72" s="11" t="s">
        <v>73</v>
      </c>
      <c r="F72" s="11" t="s">
        <v>607</v>
      </c>
      <c r="G72" s="161" t="s">
        <v>610</v>
      </c>
      <c r="H72" s="7"/>
      <c r="I72" s="98"/>
      <c r="J72" s="106"/>
      <c r="K72" s="106"/>
      <c r="L72" s="106"/>
      <c r="M72" s="26" t="s">
        <v>611</v>
      </c>
      <c r="N72" s="7"/>
      <c r="O72" s="7"/>
      <c r="P72" s="7"/>
      <c r="Q72" s="7"/>
      <c r="R72" s="7"/>
      <c r="S72" s="7"/>
      <c r="T72" s="7"/>
      <c r="U72" s="7"/>
      <c r="V72" s="149"/>
      <c r="W72" s="149"/>
    </row>
    <row r="73">
      <c r="A73" s="7"/>
      <c r="B73" s="23">
        <v>46126.0</v>
      </c>
      <c r="C73" s="7"/>
      <c r="D73" s="98"/>
      <c r="E73" s="11" t="s">
        <v>73</v>
      </c>
      <c r="F73" s="11" t="s">
        <v>607</v>
      </c>
      <c r="G73" s="161" t="s">
        <v>612</v>
      </c>
      <c r="H73" s="7"/>
      <c r="I73" s="98"/>
      <c r="J73" s="106"/>
      <c r="K73" s="106"/>
      <c r="L73" s="106"/>
      <c r="M73" s="11" t="s">
        <v>613</v>
      </c>
      <c r="V73" s="184"/>
      <c r="W73" s="184"/>
    </row>
    <row r="74">
      <c r="A74" s="11" t="s">
        <v>614</v>
      </c>
      <c r="B74" s="350">
        <v>46115.0</v>
      </c>
      <c r="C74" s="7"/>
      <c r="D74" s="98"/>
      <c r="E74" s="11" t="s">
        <v>73</v>
      </c>
      <c r="F74" s="4" t="s">
        <v>607</v>
      </c>
      <c r="G74" s="161" t="s">
        <v>615</v>
      </c>
      <c r="H74" s="7"/>
      <c r="I74" s="98"/>
      <c r="J74" s="106"/>
      <c r="K74" s="106"/>
      <c r="L74" s="106"/>
      <c r="M74" s="26">
        <v>5.5166624E8</v>
      </c>
      <c r="N74" s="7"/>
      <c r="O74" s="7"/>
      <c r="P74" s="7"/>
      <c r="Q74" s="7"/>
      <c r="R74" s="7"/>
      <c r="S74" s="7"/>
      <c r="T74" s="7"/>
      <c r="U74" s="7"/>
      <c r="V74" s="149"/>
      <c r="W74" s="149"/>
    </row>
    <row r="75">
      <c r="A75" s="7"/>
      <c r="B75" s="7"/>
      <c r="C75" s="7"/>
      <c r="D75" s="98"/>
      <c r="E75" s="11" t="s">
        <v>73</v>
      </c>
      <c r="F75" s="7"/>
      <c r="G75" s="351" t="s">
        <v>617</v>
      </c>
      <c r="H75" s="7"/>
      <c r="I75" s="98"/>
      <c r="J75" s="106"/>
      <c r="K75" s="106"/>
      <c r="L75" s="106"/>
      <c r="M75" s="7"/>
      <c r="V75" s="184"/>
      <c r="W75" s="184"/>
    </row>
    <row r="76">
      <c r="A76" s="7"/>
      <c r="B76" s="7"/>
      <c r="C76" s="7"/>
      <c r="D76" s="98"/>
      <c r="E76" s="11" t="s">
        <v>73</v>
      </c>
      <c r="F76" s="11" t="s">
        <v>607</v>
      </c>
      <c r="G76" s="183" t="s">
        <v>618</v>
      </c>
      <c r="H76" s="146" t="s">
        <v>254</v>
      </c>
      <c r="I76" s="18" t="s">
        <v>194</v>
      </c>
      <c r="J76" s="113" t="s">
        <v>199</v>
      </c>
      <c r="K76" s="147" t="s">
        <v>255</v>
      </c>
      <c r="L76" s="113" t="s">
        <v>199</v>
      </c>
      <c r="M76" s="11" t="s">
        <v>620</v>
      </c>
      <c r="V76" s="184"/>
      <c r="W76" s="184"/>
    </row>
    <row r="77">
      <c r="A77" s="7"/>
      <c r="B77" s="7"/>
      <c r="C77" s="7"/>
      <c r="D77" s="98"/>
      <c r="E77" s="7"/>
      <c r="F77" s="7"/>
      <c r="G77" s="98"/>
      <c r="I77" s="19"/>
      <c r="J77" s="194"/>
      <c r="L77" s="194"/>
      <c r="M77" s="11" t="s">
        <v>466</v>
      </c>
      <c r="V77" s="184"/>
      <c r="W77" s="184"/>
    </row>
    <row r="78">
      <c r="A78" s="7"/>
      <c r="B78" s="7"/>
      <c r="C78" s="7"/>
      <c r="D78" s="98"/>
      <c r="E78" s="7"/>
      <c r="F78" s="7"/>
      <c r="G78" s="98"/>
      <c r="I78" s="19"/>
      <c r="J78" s="194"/>
      <c r="L78" s="194"/>
      <c r="M78" s="7"/>
      <c r="V78" s="184"/>
      <c r="W78" s="184"/>
    </row>
    <row r="79">
      <c r="D79" s="19"/>
      <c r="G79" s="19"/>
      <c r="I79" s="19"/>
      <c r="J79" s="194"/>
      <c r="L79" s="194"/>
      <c r="V79" s="184"/>
      <c r="W79" s="184"/>
    </row>
    <row r="80">
      <c r="D80" s="19"/>
      <c r="G80" s="19"/>
      <c r="I80" s="19"/>
      <c r="J80" s="194"/>
      <c r="L80" s="194"/>
      <c r="V80" s="184"/>
      <c r="W80" s="184"/>
    </row>
    <row r="81">
      <c r="D81" s="19"/>
      <c r="G81" s="19"/>
      <c r="I81" s="19"/>
      <c r="J81" s="194"/>
      <c r="L81" s="194"/>
      <c r="V81" s="184"/>
      <c r="W81" s="184"/>
    </row>
    <row r="82">
      <c r="D82" s="19"/>
      <c r="G82" s="19"/>
      <c r="I82" s="19"/>
      <c r="J82" s="194"/>
      <c r="L82" s="194"/>
      <c r="V82" s="184"/>
      <c r="W82" s="184"/>
    </row>
    <row r="83">
      <c r="D83" s="19"/>
      <c r="G83" s="19"/>
      <c r="I83" s="19"/>
      <c r="J83" s="194"/>
      <c r="L83" s="194"/>
      <c r="V83" s="184"/>
      <c r="W83" s="184"/>
    </row>
    <row r="84">
      <c r="D84" s="19"/>
      <c r="G84" s="19"/>
      <c r="I84" s="19"/>
      <c r="J84" s="194"/>
      <c r="L84" s="194"/>
      <c r="V84" s="184"/>
      <c r="W84" s="184"/>
    </row>
    <row r="85">
      <c r="D85" s="19"/>
      <c r="G85" s="19"/>
      <c r="I85" s="19"/>
      <c r="J85" s="194"/>
      <c r="L85" s="194"/>
      <c r="V85" s="184"/>
      <c r="W85" s="184"/>
    </row>
    <row r="86">
      <c r="D86" s="19"/>
      <c r="G86" s="19"/>
      <c r="I86" s="19"/>
      <c r="J86" s="194"/>
      <c r="L86" s="194"/>
      <c r="V86" s="184"/>
      <c r="W86" s="184"/>
    </row>
    <row r="87">
      <c r="D87" s="19"/>
      <c r="G87" s="19"/>
      <c r="I87" s="19"/>
      <c r="J87" s="194"/>
      <c r="L87" s="194"/>
      <c r="V87" s="184"/>
      <c r="W87" s="184"/>
    </row>
    <row r="88">
      <c r="D88" s="19"/>
      <c r="G88" s="19"/>
      <c r="I88" s="19"/>
      <c r="J88" s="194"/>
      <c r="L88" s="194"/>
      <c r="V88" s="184"/>
      <c r="W88" s="184"/>
    </row>
    <row r="89">
      <c r="D89" s="19"/>
      <c r="G89" s="19"/>
      <c r="I89" s="19"/>
      <c r="J89" s="194"/>
      <c r="L89" s="194"/>
      <c r="V89" s="184"/>
      <c r="W89" s="184"/>
    </row>
    <row r="90">
      <c r="D90" s="19"/>
      <c r="G90" s="19"/>
      <c r="I90" s="19"/>
      <c r="J90" s="194"/>
      <c r="L90" s="194"/>
      <c r="V90" s="184"/>
      <c r="W90" s="184"/>
    </row>
    <row r="91">
      <c r="D91" s="19"/>
      <c r="G91" s="19"/>
      <c r="I91" s="19"/>
      <c r="J91" s="194"/>
      <c r="L91" s="194"/>
      <c r="V91" s="184"/>
      <c r="W91" s="184"/>
    </row>
    <row r="92">
      <c r="D92" s="19"/>
      <c r="G92" s="19"/>
      <c r="I92" s="19"/>
      <c r="J92" s="194"/>
      <c r="L92" s="194"/>
      <c r="V92" s="184"/>
      <c r="W92" s="184"/>
    </row>
    <row r="93">
      <c r="D93" s="19"/>
      <c r="G93" s="19"/>
      <c r="I93" s="19"/>
      <c r="J93" s="194"/>
      <c r="L93" s="194"/>
      <c r="V93" s="184"/>
      <c r="W93" s="184"/>
    </row>
    <row r="94">
      <c r="D94" s="19"/>
      <c r="G94" s="19"/>
      <c r="I94" s="19"/>
      <c r="J94" s="194"/>
      <c r="L94" s="194"/>
      <c r="V94" s="184"/>
      <c r="W94" s="184"/>
    </row>
    <row r="95">
      <c r="D95" s="19"/>
      <c r="G95" s="19"/>
      <c r="I95" s="19"/>
      <c r="J95" s="194"/>
      <c r="L95" s="194"/>
      <c r="V95" s="184"/>
      <c r="W95" s="184"/>
    </row>
    <row r="96">
      <c r="D96" s="19"/>
      <c r="G96" s="19"/>
      <c r="I96" s="19"/>
      <c r="J96" s="194"/>
      <c r="L96" s="194"/>
      <c r="V96" s="184"/>
      <c r="W96" s="184"/>
    </row>
    <row r="97">
      <c r="D97" s="19"/>
      <c r="G97" s="19"/>
      <c r="I97" s="19"/>
      <c r="J97" s="194"/>
      <c r="L97" s="194"/>
      <c r="V97" s="184"/>
      <c r="W97" s="184"/>
    </row>
    <row r="98">
      <c r="D98" s="19"/>
      <c r="G98" s="19"/>
      <c r="I98" s="19"/>
      <c r="J98" s="194"/>
      <c r="L98" s="194"/>
      <c r="V98" s="184"/>
      <c r="W98" s="184"/>
    </row>
    <row r="99">
      <c r="D99" s="19"/>
      <c r="G99" s="19"/>
      <c r="I99" s="19"/>
      <c r="J99" s="194"/>
      <c r="L99" s="194"/>
      <c r="V99" s="184"/>
      <c r="W99" s="184"/>
    </row>
    <row r="100">
      <c r="D100" s="19"/>
      <c r="G100" s="19"/>
      <c r="I100" s="19"/>
      <c r="J100" s="194"/>
      <c r="L100" s="194"/>
      <c r="V100" s="184"/>
      <c r="W100" s="184"/>
    </row>
    <row r="101">
      <c r="D101" s="19"/>
      <c r="G101" s="19"/>
      <c r="I101" s="19"/>
      <c r="J101" s="194"/>
      <c r="L101" s="194"/>
      <c r="V101" s="184"/>
      <c r="W101" s="184"/>
    </row>
    <row r="102">
      <c r="D102" s="19"/>
      <c r="G102" s="19"/>
      <c r="I102" s="19"/>
      <c r="J102" s="194"/>
      <c r="L102" s="194"/>
      <c r="V102" s="184"/>
      <c r="W102" s="184"/>
    </row>
    <row r="103">
      <c r="D103" s="19"/>
      <c r="G103" s="19"/>
      <c r="I103" s="19"/>
      <c r="J103" s="194"/>
      <c r="L103" s="194"/>
      <c r="V103" s="184"/>
      <c r="W103" s="184"/>
    </row>
    <row r="104">
      <c r="D104" s="19"/>
      <c r="G104" s="19"/>
      <c r="I104" s="19"/>
      <c r="J104" s="194"/>
      <c r="L104" s="194"/>
      <c r="V104" s="184"/>
      <c r="W104" s="184"/>
    </row>
    <row r="105">
      <c r="D105" s="19"/>
      <c r="G105" s="19"/>
      <c r="I105" s="19"/>
      <c r="J105" s="194"/>
      <c r="L105" s="194"/>
      <c r="V105" s="184"/>
      <c r="W105" s="184"/>
    </row>
    <row r="106">
      <c r="D106" s="19"/>
      <c r="G106" s="19"/>
      <c r="I106" s="19"/>
      <c r="J106" s="194"/>
      <c r="L106" s="194"/>
      <c r="V106" s="184"/>
      <c r="W106" s="184"/>
    </row>
    <row r="107">
      <c r="D107" s="19"/>
      <c r="G107" s="19"/>
      <c r="I107" s="19"/>
      <c r="J107" s="194"/>
      <c r="L107" s="194"/>
      <c r="V107" s="184"/>
      <c r="W107" s="184"/>
    </row>
    <row r="108">
      <c r="D108" s="19"/>
      <c r="G108" s="19"/>
      <c r="I108" s="19"/>
      <c r="J108" s="194"/>
      <c r="L108" s="194"/>
      <c r="V108" s="184"/>
      <c r="W108" s="184"/>
    </row>
    <row r="109">
      <c r="D109" s="19"/>
      <c r="G109" s="19"/>
      <c r="I109" s="19"/>
      <c r="J109" s="194"/>
      <c r="L109" s="194"/>
      <c r="V109" s="184"/>
      <c r="W109" s="184"/>
    </row>
    <row r="110">
      <c r="D110" s="19"/>
      <c r="G110" s="19"/>
      <c r="I110" s="19"/>
      <c r="J110" s="194"/>
      <c r="L110" s="194"/>
      <c r="V110" s="184"/>
      <c r="W110" s="184"/>
    </row>
    <row r="111">
      <c r="D111" s="19"/>
      <c r="G111" s="19"/>
      <c r="I111" s="19"/>
      <c r="J111" s="194"/>
      <c r="L111" s="194"/>
      <c r="V111" s="184"/>
      <c r="W111" s="184"/>
    </row>
    <row r="112">
      <c r="D112" s="19"/>
      <c r="G112" s="19"/>
      <c r="I112" s="19"/>
      <c r="J112" s="194"/>
      <c r="L112" s="194"/>
      <c r="V112" s="184"/>
      <c r="W112" s="184"/>
    </row>
    <row r="113">
      <c r="D113" s="19"/>
      <c r="G113" s="19"/>
      <c r="I113" s="19"/>
      <c r="J113" s="194"/>
      <c r="L113" s="194"/>
      <c r="V113" s="184"/>
      <c r="W113" s="184"/>
    </row>
    <row r="114">
      <c r="D114" s="19"/>
      <c r="G114" s="19"/>
      <c r="I114" s="19"/>
      <c r="J114" s="194"/>
      <c r="L114" s="194"/>
      <c r="V114" s="184"/>
      <c r="W114" s="184"/>
    </row>
    <row r="115">
      <c r="D115" s="19"/>
      <c r="G115" s="19"/>
      <c r="I115" s="19"/>
      <c r="J115" s="194"/>
      <c r="L115" s="194"/>
      <c r="V115" s="184"/>
      <c r="W115" s="184"/>
    </row>
    <row r="116">
      <c r="D116" s="19"/>
      <c r="G116" s="19"/>
      <c r="I116" s="19"/>
      <c r="J116" s="194"/>
      <c r="L116" s="194"/>
      <c r="V116" s="184"/>
      <c r="W116" s="184"/>
    </row>
    <row r="117">
      <c r="D117" s="19"/>
      <c r="G117" s="19"/>
      <c r="I117" s="19"/>
      <c r="J117" s="194"/>
      <c r="L117" s="194"/>
      <c r="V117" s="184"/>
      <c r="W117" s="184"/>
    </row>
    <row r="118">
      <c r="D118" s="19"/>
      <c r="G118" s="19"/>
      <c r="I118" s="19"/>
      <c r="J118" s="194"/>
      <c r="L118" s="194"/>
      <c r="V118" s="184"/>
      <c r="W118" s="184"/>
    </row>
    <row r="119">
      <c r="D119" s="19"/>
      <c r="G119" s="19"/>
      <c r="I119" s="19"/>
      <c r="J119" s="194"/>
      <c r="L119" s="194"/>
      <c r="V119" s="184"/>
      <c r="W119" s="184"/>
    </row>
    <row r="120">
      <c r="D120" s="19"/>
      <c r="G120" s="19"/>
      <c r="I120" s="19"/>
      <c r="J120" s="194"/>
      <c r="L120" s="194"/>
      <c r="V120" s="184"/>
      <c r="W120" s="184"/>
    </row>
    <row r="121">
      <c r="D121" s="19"/>
      <c r="G121" s="19"/>
      <c r="I121" s="19"/>
      <c r="J121" s="194"/>
      <c r="L121" s="194"/>
      <c r="V121" s="184"/>
      <c r="W121" s="184"/>
    </row>
    <row r="122">
      <c r="D122" s="19"/>
      <c r="G122" s="19"/>
      <c r="I122" s="19"/>
      <c r="J122" s="194"/>
      <c r="L122" s="194"/>
      <c r="V122" s="184"/>
      <c r="W122" s="184"/>
    </row>
    <row r="123">
      <c r="D123" s="19"/>
      <c r="G123" s="19"/>
      <c r="I123" s="19"/>
      <c r="J123" s="194"/>
      <c r="L123" s="194"/>
      <c r="V123" s="184"/>
      <c r="W123" s="184"/>
    </row>
    <row r="124">
      <c r="D124" s="19"/>
      <c r="G124" s="19"/>
      <c r="I124" s="19"/>
      <c r="J124" s="194"/>
      <c r="L124" s="194"/>
      <c r="V124" s="184"/>
      <c r="W124" s="184"/>
    </row>
    <row r="125">
      <c r="D125" s="19"/>
      <c r="G125" s="19"/>
      <c r="I125" s="19"/>
      <c r="J125" s="194"/>
      <c r="L125" s="194"/>
      <c r="V125" s="184"/>
      <c r="W125" s="184"/>
    </row>
    <row r="126">
      <c r="D126" s="19"/>
      <c r="G126" s="19"/>
      <c r="I126" s="19"/>
      <c r="J126" s="194"/>
      <c r="L126" s="194"/>
      <c r="V126" s="184"/>
      <c r="W126" s="184"/>
    </row>
    <row r="127">
      <c r="D127" s="19"/>
      <c r="G127" s="19"/>
      <c r="I127" s="19"/>
      <c r="J127" s="194"/>
      <c r="L127" s="194"/>
      <c r="V127" s="184"/>
      <c r="W127" s="184"/>
    </row>
    <row r="128">
      <c r="D128" s="19"/>
      <c r="G128" s="19"/>
      <c r="I128" s="19"/>
      <c r="J128" s="194"/>
      <c r="L128" s="194"/>
      <c r="V128" s="184"/>
      <c r="W128" s="184"/>
    </row>
    <row r="129">
      <c r="D129" s="19"/>
      <c r="G129" s="19"/>
      <c r="I129" s="19"/>
      <c r="J129" s="194"/>
      <c r="L129" s="194"/>
      <c r="V129" s="184"/>
      <c r="W129" s="184"/>
    </row>
    <row r="130">
      <c r="D130" s="19"/>
      <c r="G130" s="19"/>
      <c r="I130" s="19"/>
      <c r="J130" s="194"/>
      <c r="L130" s="194"/>
      <c r="V130" s="184"/>
      <c r="W130" s="184"/>
    </row>
    <row r="131">
      <c r="D131" s="19"/>
      <c r="G131" s="19"/>
      <c r="I131" s="19"/>
      <c r="J131" s="194"/>
      <c r="L131" s="194"/>
      <c r="V131" s="184"/>
      <c r="W131" s="184"/>
    </row>
    <row r="132">
      <c r="D132" s="19"/>
      <c r="G132" s="19"/>
      <c r="I132" s="19"/>
      <c r="J132" s="194"/>
      <c r="L132" s="194"/>
      <c r="V132" s="184"/>
      <c r="W132" s="184"/>
    </row>
    <row r="133">
      <c r="D133" s="19"/>
      <c r="G133" s="19"/>
      <c r="I133" s="19"/>
      <c r="J133" s="194"/>
      <c r="L133" s="194"/>
      <c r="V133" s="184"/>
      <c r="W133" s="184"/>
    </row>
    <row r="134">
      <c r="D134" s="19"/>
      <c r="G134" s="19"/>
      <c r="I134" s="19"/>
      <c r="J134" s="194"/>
      <c r="L134" s="194"/>
      <c r="V134" s="184"/>
      <c r="W134" s="184"/>
    </row>
    <row r="135">
      <c r="D135" s="19"/>
      <c r="G135" s="19"/>
      <c r="I135" s="19"/>
      <c r="J135" s="194"/>
      <c r="L135" s="194"/>
      <c r="V135" s="184"/>
      <c r="W135" s="184"/>
    </row>
    <row r="136">
      <c r="D136" s="19"/>
      <c r="G136" s="19"/>
      <c r="I136" s="19"/>
      <c r="J136" s="194"/>
      <c r="L136" s="194"/>
      <c r="V136" s="184"/>
      <c r="W136" s="184"/>
    </row>
    <row r="137">
      <c r="D137" s="19"/>
      <c r="G137" s="19"/>
      <c r="I137" s="19"/>
      <c r="J137" s="194"/>
      <c r="L137" s="194"/>
      <c r="V137" s="184"/>
      <c r="W137" s="184"/>
    </row>
    <row r="138">
      <c r="D138" s="19"/>
      <c r="G138" s="19"/>
      <c r="I138" s="19"/>
      <c r="J138" s="194"/>
      <c r="L138" s="194"/>
      <c r="V138" s="184"/>
      <c r="W138" s="184"/>
    </row>
    <row r="139">
      <c r="D139" s="19"/>
      <c r="G139" s="19"/>
      <c r="I139" s="19"/>
      <c r="J139" s="194"/>
      <c r="L139" s="194"/>
      <c r="V139" s="184"/>
      <c r="W139" s="184"/>
    </row>
    <row r="140">
      <c r="D140" s="19"/>
      <c r="G140" s="19"/>
      <c r="I140" s="19"/>
      <c r="J140" s="194"/>
      <c r="L140" s="194"/>
      <c r="V140" s="184"/>
      <c r="W140" s="184"/>
    </row>
    <row r="141">
      <c r="D141" s="19"/>
      <c r="G141" s="19"/>
      <c r="I141" s="19"/>
      <c r="J141" s="194"/>
      <c r="L141" s="194"/>
      <c r="V141" s="184"/>
      <c r="W141" s="184"/>
    </row>
    <row r="142">
      <c r="D142" s="19"/>
      <c r="G142" s="19"/>
      <c r="I142" s="19"/>
      <c r="J142" s="194"/>
      <c r="L142" s="194"/>
      <c r="V142" s="184"/>
      <c r="W142" s="184"/>
    </row>
    <row r="143">
      <c r="D143" s="19"/>
      <c r="G143" s="19"/>
      <c r="I143" s="19"/>
      <c r="J143" s="194"/>
      <c r="L143" s="194"/>
      <c r="V143" s="184"/>
      <c r="W143" s="184"/>
    </row>
    <row r="144">
      <c r="D144" s="19"/>
      <c r="G144" s="19"/>
      <c r="I144" s="19"/>
      <c r="J144" s="194"/>
      <c r="L144" s="194"/>
      <c r="V144" s="184"/>
      <c r="W144" s="184"/>
    </row>
    <row r="145">
      <c r="D145" s="19"/>
      <c r="G145" s="19"/>
      <c r="I145" s="19"/>
      <c r="J145" s="194"/>
      <c r="L145" s="194"/>
      <c r="V145" s="184"/>
      <c r="W145" s="184"/>
    </row>
    <row r="146">
      <c r="D146" s="19"/>
      <c r="G146" s="19"/>
      <c r="I146" s="19"/>
      <c r="J146" s="194"/>
      <c r="L146" s="194"/>
      <c r="V146" s="184"/>
      <c r="W146" s="184"/>
    </row>
    <row r="147">
      <c r="D147" s="19"/>
      <c r="G147" s="19"/>
      <c r="I147" s="19"/>
      <c r="J147" s="194"/>
      <c r="L147" s="194"/>
      <c r="V147" s="184"/>
      <c r="W147" s="184"/>
    </row>
    <row r="148">
      <c r="D148" s="19"/>
      <c r="G148" s="19"/>
      <c r="I148" s="19"/>
      <c r="J148" s="194"/>
      <c r="L148" s="194"/>
      <c r="V148" s="184"/>
      <c r="W148" s="184"/>
    </row>
    <row r="149">
      <c r="D149" s="19"/>
      <c r="G149" s="19"/>
      <c r="I149" s="19"/>
      <c r="J149" s="194"/>
      <c r="L149" s="194"/>
      <c r="V149" s="184"/>
      <c r="W149" s="184"/>
    </row>
    <row r="150">
      <c r="D150" s="19"/>
      <c r="G150" s="19"/>
      <c r="I150" s="19"/>
      <c r="J150" s="194"/>
      <c r="L150" s="194"/>
      <c r="V150" s="184"/>
      <c r="W150" s="184"/>
    </row>
    <row r="151">
      <c r="D151" s="19"/>
      <c r="G151" s="19"/>
      <c r="I151" s="19"/>
      <c r="J151" s="194"/>
      <c r="L151" s="194"/>
      <c r="V151" s="184"/>
      <c r="W151" s="184"/>
    </row>
    <row r="152">
      <c r="D152" s="19"/>
      <c r="G152" s="19"/>
      <c r="I152" s="19"/>
      <c r="J152" s="194"/>
      <c r="L152" s="194"/>
      <c r="V152" s="184"/>
      <c r="W152" s="184"/>
    </row>
    <row r="153">
      <c r="D153" s="19"/>
      <c r="G153" s="19"/>
      <c r="I153" s="19"/>
      <c r="J153" s="194"/>
      <c r="L153" s="194"/>
      <c r="V153" s="184"/>
      <c r="W153" s="184"/>
    </row>
    <row r="154">
      <c r="D154" s="19"/>
      <c r="G154" s="19"/>
      <c r="I154" s="19"/>
      <c r="J154" s="194"/>
      <c r="L154" s="194"/>
      <c r="V154" s="184"/>
      <c r="W154" s="184"/>
    </row>
    <row r="155">
      <c r="D155" s="19"/>
      <c r="G155" s="19"/>
      <c r="I155" s="19"/>
      <c r="J155" s="194"/>
      <c r="L155" s="194"/>
      <c r="V155" s="184"/>
      <c r="W155" s="184"/>
    </row>
    <row r="156">
      <c r="D156" s="19"/>
      <c r="G156" s="19"/>
      <c r="I156" s="19"/>
      <c r="J156" s="194"/>
      <c r="L156" s="194"/>
      <c r="V156" s="184"/>
      <c r="W156" s="184"/>
    </row>
    <row r="157">
      <c r="D157" s="19"/>
      <c r="G157" s="19"/>
      <c r="I157" s="19"/>
      <c r="J157" s="194"/>
      <c r="L157" s="194"/>
      <c r="V157" s="184"/>
      <c r="W157" s="184"/>
    </row>
    <row r="158">
      <c r="D158" s="19"/>
      <c r="G158" s="19"/>
      <c r="I158" s="19"/>
      <c r="J158" s="194"/>
      <c r="L158" s="194"/>
      <c r="V158" s="184"/>
      <c r="W158" s="184"/>
    </row>
    <row r="159">
      <c r="D159" s="19"/>
      <c r="G159" s="19"/>
      <c r="I159" s="19"/>
      <c r="J159" s="194"/>
      <c r="L159" s="194"/>
      <c r="V159" s="184"/>
      <c r="W159" s="184"/>
    </row>
    <row r="160">
      <c r="D160" s="19"/>
      <c r="G160" s="19"/>
      <c r="I160" s="19"/>
      <c r="J160" s="194"/>
      <c r="L160" s="194"/>
      <c r="V160" s="184"/>
      <c r="W160" s="184"/>
    </row>
    <row r="161">
      <c r="D161" s="19"/>
      <c r="G161" s="19"/>
      <c r="I161" s="19"/>
      <c r="J161" s="194"/>
      <c r="L161" s="194"/>
      <c r="V161" s="184"/>
      <c r="W161" s="184"/>
    </row>
    <row r="162">
      <c r="D162" s="19"/>
      <c r="G162" s="19"/>
      <c r="I162" s="19"/>
      <c r="J162" s="194"/>
      <c r="L162" s="194"/>
      <c r="V162" s="184"/>
      <c r="W162" s="184"/>
    </row>
    <row r="163">
      <c r="D163" s="19"/>
      <c r="G163" s="19"/>
      <c r="I163" s="19"/>
      <c r="J163" s="194"/>
      <c r="L163" s="194"/>
      <c r="V163" s="184"/>
      <c r="W163" s="184"/>
    </row>
    <row r="164">
      <c r="D164" s="19"/>
      <c r="G164" s="19"/>
      <c r="I164" s="19"/>
      <c r="J164" s="194"/>
      <c r="L164" s="194"/>
      <c r="V164" s="184"/>
      <c r="W164" s="184"/>
    </row>
    <row r="165">
      <c r="D165" s="19"/>
      <c r="G165" s="19"/>
      <c r="I165" s="19"/>
      <c r="J165" s="194"/>
      <c r="L165" s="194"/>
      <c r="V165" s="184"/>
      <c r="W165" s="184"/>
    </row>
    <row r="166">
      <c r="D166" s="19"/>
      <c r="G166" s="19"/>
      <c r="I166" s="19"/>
      <c r="J166" s="194"/>
      <c r="L166" s="194"/>
      <c r="V166" s="184"/>
      <c r="W166" s="184"/>
    </row>
    <row r="167">
      <c r="D167" s="19"/>
      <c r="G167" s="19"/>
      <c r="I167" s="19"/>
      <c r="J167" s="194"/>
      <c r="L167" s="194"/>
      <c r="V167" s="184"/>
      <c r="W167" s="184"/>
    </row>
    <row r="168">
      <c r="D168" s="19"/>
      <c r="G168" s="19"/>
      <c r="I168" s="19"/>
      <c r="J168" s="194"/>
      <c r="L168" s="194"/>
      <c r="V168" s="184"/>
      <c r="W168" s="184"/>
    </row>
    <row r="169">
      <c r="D169" s="19"/>
      <c r="G169" s="19"/>
      <c r="I169" s="19"/>
      <c r="J169" s="194"/>
      <c r="L169" s="194"/>
      <c r="V169" s="184"/>
      <c r="W169" s="184"/>
    </row>
    <row r="170">
      <c r="D170" s="19"/>
      <c r="G170" s="19"/>
      <c r="I170" s="19"/>
      <c r="J170" s="194"/>
      <c r="L170" s="194"/>
      <c r="V170" s="184"/>
      <c r="W170" s="184"/>
    </row>
    <row r="171">
      <c r="D171" s="19"/>
      <c r="G171" s="19"/>
      <c r="I171" s="19"/>
      <c r="J171" s="194"/>
      <c r="L171" s="194"/>
      <c r="V171" s="184"/>
      <c r="W171" s="184"/>
    </row>
    <row r="172">
      <c r="D172" s="19"/>
      <c r="G172" s="19"/>
      <c r="I172" s="19"/>
      <c r="J172" s="194"/>
      <c r="L172" s="194"/>
      <c r="V172" s="184"/>
      <c r="W172" s="184"/>
    </row>
    <row r="173">
      <c r="D173" s="19"/>
      <c r="G173" s="19"/>
      <c r="I173" s="19"/>
      <c r="J173" s="194"/>
      <c r="L173" s="194"/>
      <c r="V173" s="184"/>
      <c r="W173" s="184"/>
    </row>
    <row r="174">
      <c r="D174" s="19"/>
      <c r="G174" s="19"/>
      <c r="I174" s="19"/>
      <c r="J174" s="194"/>
      <c r="L174" s="194"/>
      <c r="V174" s="184"/>
      <c r="W174" s="184"/>
    </row>
    <row r="175">
      <c r="D175" s="19"/>
      <c r="G175" s="19"/>
      <c r="I175" s="19"/>
      <c r="J175" s="194"/>
      <c r="L175" s="194"/>
      <c r="V175" s="184"/>
      <c r="W175" s="184"/>
    </row>
    <row r="176">
      <c r="D176" s="19"/>
      <c r="G176" s="19"/>
      <c r="I176" s="19"/>
      <c r="J176" s="194"/>
      <c r="L176" s="194"/>
      <c r="V176" s="184"/>
      <c r="W176" s="184"/>
    </row>
    <row r="177">
      <c r="D177" s="19"/>
      <c r="G177" s="19"/>
      <c r="I177" s="19"/>
      <c r="J177" s="194"/>
      <c r="L177" s="194"/>
      <c r="V177" s="184"/>
      <c r="W177" s="184"/>
    </row>
    <row r="178">
      <c r="D178" s="19"/>
      <c r="G178" s="19"/>
      <c r="I178" s="19"/>
      <c r="J178" s="194"/>
      <c r="L178" s="194"/>
      <c r="V178" s="184"/>
      <c r="W178" s="184"/>
    </row>
    <row r="179">
      <c r="D179" s="19"/>
      <c r="G179" s="19"/>
      <c r="I179" s="19"/>
      <c r="J179" s="194"/>
      <c r="L179" s="194"/>
      <c r="V179" s="184"/>
      <c r="W179" s="184"/>
    </row>
    <row r="180">
      <c r="D180" s="19"/>
      <c r="G180" s="19"/>
      <c r="I180" s="19"/>
      <c r="J180" s="194"/>
      <c r="L180" s="194"/>
      <c r="V180" s="184"/>
      <c r="W180" s="184"/>
    </row>
    <row r="181">
      <c r="D181" s="19"/>
      <c r="G181" s="19"/>
      <c r="I181" s="19"/>
      <c r="J181" s="194"/>
      <c r="L181" s="194"/>
      <c r="V181" s="184"/>
      <c r="W181" s="184"/>
    </row>
    <row r="182">
      <c r="D182" s="19"/>
      <c r="G182" s="19"/>
      <c r="I182" s="19"/>
      <c r="J182" s="194"/>
      <c r="L182" s="194"/>
      <c r="V182" s="184"/>
      <c r="W182" s="184"/>
    </row>
    <row r="183">
      <c r="D183" s="19"/>
      <c r="G183" s="19"/>
      <c r="I183" s="19"/>
      <c r="J183" s="194"/>
      <c r="L183" s="194"/>
      <c r="V183" s="184"/>
      <c r="W183" s="184"/>
    </row>
    <row r="184">
      <c r="D184" s="19"/>
      <c r="G184" s="19"/>
      <c r="I184" s="19"/>
      <c r="J184" s="194"/>
      <c r="L184" s="194"/>
      <c r="V184" s="184"/>
      <c r="W184" s="184"/>
    </row>
    <row r="185">
      <c r="D185" s="19"/>
      <c r="G185" s="19"/>
      <c r="I185" s="19"/>
      <c r="J185" s="194"/>
      <c r="L185" s="194"/>
      <c r="V185" s="184"/>
      <c r="W185" s="184"/>
    </row>
    <row r="186">
      <c r="D186" s="19"/>
      <c r="G186" s="19"/>
      <c r="I186" s="19"/>
      <c r="J186" s="194"/>
      <c r="L186" s="194"/>
      <c r="V186" s="184"/>
      <c r="W186" s="184"/>
    </row>
    <row r="187">
      <c r="D187" s="19"/>
      <c r="G187" s="19"/>
      <c r="I187" s="19"/>
      <c r="J187" s="194"/>
      <c r="L187" s="194"/>
      <c r="V187" s="184"/>
      <c r="W187" s="184"/>
    </row>
    <row r="188">
      <c r="D188" s="19"/>
      <c r="G188" s="19"/>
      <c r="I188" s="19"/>
      <c r="J188" s="194"/>
      <c r="L188" s="194"/>
      <c r="V188" s="184"/>
      <c r="W188" s="184"/>
    </row>
    <row r="189">
      <c r="D189" s="19"/>
      <c r="G189" s="19"/>
      <c r="I189" s="19"/>
      <c r="J189" s="194"/>
      <c r="L189" s="194"/>
      <c r="V189" s="184"/>
      <c r="W189" s="184"/>
    </row>
    <row r="190">
      <c r="D190" s="19"/>
      <c r="G190" s="19"/>
      <c r="I190" s="19"/>
      <c r="J190" s="194"/>
      <c r="L190" s="194"/>
      <c r="V190" s="184"/>
      <c r="W190" s="184"/>
    </row>
    <row r="191">
      <c r="D191" s="19"/>
      <c r="G191" s="19"/>
      <c r="I191" s="19"/>
      <c r="J191" s="194"/>
      <c r="L191" s="194"/>
      <c r="V191" s="184"/>
      <c r="W191" s="184"/>
    </row>
    <row r="192">
      <c r="D192" s="19"/>
      <c r="G192" s="19"/>
      <c r="I192" s="19"/>
      <c r="J192" s="194"/>
      <c r="L192" s="194"/>
      <c r="V192" s="184"/>
      <c r="W192" s="184"/>
    </row>
    <row r="193">
      <c r="D193" s="19"/>
      <c r="G193" s="19"/>
      <c r="I193" s="19"/>
      <c r="J193" s="194"/>
      <c r="L193" s="194"/>
      <c r="V193" s="184"/>
      <c r="W193" s="184"/>
    </row>
    <row r="194">
      <c r="D194" s="19"/>
      <c r="G194" s="19"/>
      <c r="I194" s="19"/>
      <c r="J194" s="194"/>
      <c r="L194" s="194"/>
      <c r="V194" s="184"/>
      <c r="W194" s="184"/>
    </row>
    <row r="195">
      <c r="D195" s="19"/>
      <c r="G195" s="19"/>
      <c r="I195" s="19"/>
      <c r="J195" s="194"/>
      <c r="L195" s="194"/>
      <c r="V195" s="184"/>
      <c r="W195" s="184"/>
    </row>
    <row r="196">
      <c r="D196" s="19"/>
      <c r="G196" s="19"/>
      <c r="I196" s="19"/>
      <c r="J196" s="194"/>
      <c r="L196" s="194"/>
      <c r="V196" s="184"/>
      <c r="W196" s="184"/>
    </row>
    <row r="197">
      <c r="D197" s="19"/>
      <c r="G197" s="19"/>
      <c r="I197" s="19"/>
      <c r="J197" s="194"/>
      <c r="L197" s="194"/>
      <c r="V197" s="184"/>
      <c r="W197" s="184"/>
    </row>
    <row r="198">
      <c r="D198" s="19"/>
      <c r="G198" s="19"/>
      <c r="I198" s="19"/>
      <c r="J198" s="194"/>
      <c r="L198" s="194"/>
      <c r="V198" s="184"/>
      <c r="W198" s="184"/>
    </row>
    <row r="199">
      <c r="D199" s="19"/>
      <c r="G199" s="19"/>
      <c r="I199" s="19"/>
      <c r="J199" s="194"/>
      <c r="L199" s="194"/>
      <c r="V199" s="184"/>
      <c r="W199" s="184"/>
    </row>
    <row r="200">
      <c r="D200" s="19"/>
      <c r="G200" s="19"/>
      <c r="I200" s="19"/>
      <c r="J200" s="194"/>
      <c r="L200" s="194"/>
      <c r="V200" s="184"/>
      <c r="W200" s="184"/>
    </row>
    <row r="201">
      <c r="D201" s="19"/>
      <c r="G201" s="19"/>
      <c r="I201" s="19"/>
      <c r="J201" s="194"/>
      <c r="L201" s="194"/>
      <c r="V201" s="184"/>
      <c r="W201" s="184"/>
    </row>
    <row r="202">
      <c r="D202" s="19"/>
      <c r="G202" s="19"/>
      <c r="I202" s="19"/>
      <c r="J202" s="194"/>
      <c r="L202" s="194"/>
      <c r="V202" s="184"/>
      <c r="W202" s="184"/>
    </row>
    <row r="203">
      <c r="D203" s="19"/>
      <c r="G203" s="19"/>
      <c r="I203" s="19"/>
      <c r="J203" s="194"/>
      <c r="L203" s="194"/>
      <c r="V203" s="184"/>
      <c r="W203" s="184"/>
    </row>
    <row r="204">
      <c r="D204" s="19"/>
      <c r="G204" s="19"/>
      <c r="I204" s="19"/>
      <c r="J204" s="194"/>
      <c r="L204" s="194"/>
      <c r="V204" s="184"/>
      <c r="W204" s="184"/>
    </row>
    <row r="205">
      <c r="D205" s="19"/>
      <c r="G205" s="19"/>
      <c r="I205" s="19"/>
      <c r="J205" s="194"/>
      <c r="L205" s="194"/>
      <c r="V205" s="184"/>
      <c r="W205" s="184"/>
    </row>
    <row r="206">
      <c r="D206" s="19"/>
      <c r="G206" s="19"/>
      <c r="I206" s="19"/>
      <c r="J206" s="194"/>
      <c r="L206" s="194"/>
      <c r="V206" s="184"/>
      <c r="W206" s="184"/>
    </row>
    <row r="207">
      <c r="D207" s="19"/>
      <c r="G207" s="19"/>
      <c r="I207" s="19"/>
      <c r="J207" s="194"/>
      <c r="L207" s="194"/>
      <c r="V207" s="184"/>
      <c r="W207" s="184"/>
    </row>
    <row r="208">
      <c r="D208" s="19"/>
      <c r="G208" s="19"/>
      <c r="I208" s="19"/>
      <c r="J208" s="194"/>
      <c r="L208" s="194"/>
      <c r="V208" s="184"/>
      <c r="W208" s="184"/>
    </row>
    <row r="209">
      <c r="D209" s="19"/>
      <c r="G209" s="19"/>
      <c r="I209" s="19"/>
      <c r="J209" s="194"/>
      <c r="L209" s="194"/>
      <c r="V209" s="184"/>
      <c r="W209" s="184"/>
    </row>
    <row r="210">
      <c r="D210" s="19"/>
      <c r="G210" s="19"/>
      <c r="I210" s="19"/>
      <c r="J210" s="194"/>
      <c r="L210" s="194"/>
      <c r="V210" s="184"/>
      <c r="W210" s="184"/>
    </row>
    <row r="211">
      <c r="D211" s="19"/>
      <c r="G211" s="19"/>
      <c r="I211" s="19"/>
      <c r="J211" s="194"/>
      <c r="L211" s="194"/>
      <c r="V211" s="184"/>
      <c r="W211" s="184"/>
    </row>
    <row r="212">
      <c r="D212" s="19"/>
      <c r="G212" s="19"/>
      <c r="I212" s="19"/>
      <c r="J212" s="194"/>
      <c r="L212" s="194"/>
      <c r="V212" s="184"/>
      <c r="W212" s="184"/>
    </row>
    <row r="213">
      <c r="D213" s="19"/>
      <c r="G213" s="19"/>
      <c r="I213" s="19"/>
      <c r="J213" s="194"/>
      <c r="L213" s="194"/>
      <c r="V213" s="184"/>
      <c r="W213" s="184"/>
    </row>
    <row r="214">
      <c r="D214" s="19"/>
      <c r="G214" s="19"/>
      <c r="I214" s="19"/>
      <c r="J214" s="194"/>
      <c r="L214" s="194"/>
      <c r="V214" s="184"/>
      <c r="W214" s="184"/>
    </row>
    <row r="215">
      <c r="D215" s="19"/>
      <c r="G215" s="19"/>
      <c r="I215" s="19"/>
      <c r="J215" s="194"/>
      <c r="L215" s="194"/>
      <c r="V215" s="184"/>
      <c r="W215" s="184"/>
    </row>
    <row r="216">
      <c r="D216" s="19"/>
      <c r="G216" s="19"/>
      <c r="I216" s="19"/>
      <c r="J216" s="194"/>
      <c r="L216" s="194"/>
      <c r="V216" s="184"/>
      <c r="W216" s="184"/>
    </row>
    <row r="217">
      <c r="D217" s="19"/>
      <c r="G217" s="19"/>
      <c r="I217" s="19"/>
      <c r="J217" s="194"/>
      <c r="L217" s="194"/>
      <c r="V217" s="184"/>
      <c r="W217" s="184"/>
    </row>
    <row r="218">
      <c r="D218" s="19"/>
      <c r="G218" s="19"/>
      <c r="I218" s="19"/>
      <c r="J218" s="194"/>
      <c r="L218" s="194"/>
      <c r="V218" s="184"/>
      <c r="W218" s="184"/>
    </row>
    <row r="219">
      <c r="D219" s="19"/>
      <c r="G219" s="19"/>
      <c r="I219" s="19"/>
      <c r="J219" s="194"/>
      <c r="L219" s="194"/>
      <c r="V219" s="184"/>
      <c r="W219" s="184"/>
    </row>
    <row r="220">
      <c r="D220" s="19"/>
      <c r="G220" s="19"/>
      <c r="I220" s="19"/>
      <c r="J220" s="194"/>
      <c r="L220" s="194"/>
      <c r="V220" s="184"/>
      <c r="W220" s="184"/>
    </row>
    <row r="221">
      <c r="D221" s="19"/>
      <c r="G221" s="19"/>
      <c r="I221" s="19"/>
      <c r="J221" s="194"/>
      <c r="L221" s="194"/>
      <c r="V221" s="184"/>
      <c r="W221" s="184"/>
    </row>
    <row r="222">
      <c r="D222" s="19"/>
      <c r="G222" s="19"/>
      <c r="I222" s="19"/>
      <c r="J222" s="194"/>
      <c r="L222" s="194"/>
      <c r="V222" s="184"/>
      <c r="W222" s="184"/>
    </row>
    <row r="223">
      <c r="D223" s="19"/>
      <c r="G223" s="19"/>
      <c r="I223" s="19"/>
      <c r="J223" s="194"/>
      <c r="L223" s="194"/>
      <c r="V223" s="184"/>
      <c r="W223" s="184"/>
    </row>
    <row r="224">
      <c r="D224" s="19"/>
      <c r="G224" s="19"/>
      <c r="I224" s="19"/>
      <c r="J224" s="194"/>
      <c r="L224" s="194"/>
      <c r="V224" s="184"/>
      <c r="W224" s="184"/>
    </row>
    <row r="225">
      <c r="D225" s="19"/>
      <c r="G225" s="19"/>
      <c r="I225" s="19"/>
      <c r="J225" s="194"/>
      <c r="L225" s="194"/>
      <c r="V225" s="184"/>
      <c r="W225" s="184"/>
    </row>
    <row r="226">
      <c r="D226" s="19"/>
      <c r="G226" s="19"/>
      <c r="I226" s="19"/>
      <c r="J226" s="194"/>
      <c r="L226" s="194"/>
      <c r="V226" s="184"/>
      <c r="W226" s="184"/>
    </row>
    <row r="227">
      <c r="D227" s="19"/>
      <c r="G227" s="19"/>
      <c r="I227" s="19"/>
      <c r="J227" s="194"/>
      <c r="L227" s="194"/>
      <c r="V227" s="184"/>
      <c r="W227" s="184"/>
    </row>
    <row r="228">
      <c r="D228" s="19"/>
      <c r="G228" s="19"/>
      <c r="I228" s="19"/>
      <c r="J228" s="194"/>
      <c r="L228" s="194"/>
      <c r="V228" s="184"/>
      <c r="W228" s="184"/>
    </row>
    <row r="229">
      <c r="D229" s="19"/>
      <c r="G229" s="19"/>
      <c r="I229" s="19"/>
      <c r="J229" s="194"/>
      <c r="L229" s="194"/>
      <c r="V229" s="184"/>
      <c r="W229" s="184"/>
    </row>
    <row r="230">
      <c r="D230" s="19"/>
      <c r="G230" s="19"/>
      <c r="I230" s="19"/>
      <c r="J230" s="194"/>
      <c r="L230" s="194"/>
      <c r="V230" s="184"/>
      <c r="W230" s="184"/>
    </row>
    <row r="231">
      <c r="D231" s="19"/>
      <c r="G231" s="19"/>
      <c r="I231" s="19"/>
      <c r="J231" s="194"/>
      <c r="L231" s="194"/>
      <c r="V231" s="184"/>
      <c r="W231" s="184"/>
    </row>
    <row r="232">
      <c r="D232" s="19"/>
      <c r="G232" s="19"/>
      <c r="I232" s="19"/>
      <c r="J232" s="194"/>
      <c r="L232" s="194"/>
      <c r="V232" s="184"/>
      <c r="W232" s="184"/>
    </row>
    <row r="233">
      <c r="D233" s="19"/>
      <c r="G233" s="19"/>
      <c r="I233" s="19"/>
      <c r="J233" s="194"/>
      <c r="L233" s="194"/>
      <c r="V233" s="184"/>
      <c r="W233" s="184"/>
    </row>
    <row r="234">
      <c r="D234" s="19"/>
      <c r="G234" s="19"/>
      <c r="I234" s="19"/>
      <c r="J234" s="194"/>
      <c r="L234" s="194"/>
      <c r="V234" s="184"/>
      <c r="W234" s="184"/>
    </row>
    <row r="235">
      <c r="D235" s="19"/>
      <c r="G235" s="19"/>
      <c r="I235" s="19"/>
      <c r="J235" s="194"/>
      <c r="L235" s="194"/>
      <c r="V235" s="184"/>
      <c r="W235" s="184"/>
    </row>
    <row r="236">
      <c r="D236" s="19"/>
      <c r="G236" s="19"/>
      <c r="I236" s="19"/>
      <c r="J236" s="194"/>
      <c r="L236" s="194"/>
      <c r="V236" s="184"/>
      <c r="W236" s="184"/>
    </row>
    <row r="237">
      <c r="D237" s="19"/>
      <c r="G237" s="19"/>
      <c r="I237" s="19"/>
      <c r="J237" s="194"/>
      <c r="L237" s="194"/>
      <c r="V237" s="184"/>
      <c r="W237" s="184"/>
    </row>
    <row r="238">
      <c r="D238" s="19"/>
      <c r="G238" s="19"/>
      <c r="I238" s="19"/>
      <c r="J238" s="194"/>
      <c r="L238" s="194"/>
      <c r="V238" s="184"/>
      <c r="W238" s="184"/>
    </row>
    <row r="239">
      <c r="D239" s="19"/>
      <c r="G239" s="19"/>
      <c r="I239" s="19"/>
      <c r="J239" s="194"/>
      <c r="L239" s="194"/>
      <c r="V239" s="184"/>
      <c r="W239" s="184"/>
    </row>
    <row r="240">
      <c r="D240" s="19"/>
      <c r="G240" s="19"/>
      <c r="I240" s="19"/>
      <c r="J240" s="194"/>
      <c r="L240" s="194"/>
      <c r="V240" s="184"/>
      <c r="W240" s="184"/>
    </row>
    <row r="241">
      <c r="D241" s="19"/>
      <c r="G241" s="19"/>
      <c r="I241" s="19"/>
      <c r="J241" s="194"/>
      <c r="L241" s="194"/>
      <c r="V241" s="184"/>
      <c r="W241" s="184"/>
    </row>
    <row r="242">
      <c r="D242" s="19"/>
      <c r="G242" s="19"/>
      <c r="I242" s="19"/>
      <c r="J242" s="194"/>
      <c r="L242" s="194"/>
      <c r="V242" s="184"/>
      <c r="W242" s="184"/>
    </row>
    <row r="243">
      <c r="D243" s="19"/>
      <c r="G243" s="19"/>
      <c r="I243" s="19"/>
      <c r="J243" s="194"/>
      <c r="L243" s="194"/>
      <c r="V243" s="184"/>
      <c r="W243" s="184"/>
    </row>
    <row r="244">
      <c r="D244" s="19"/>
      <c r="G244" s="19"/>
      <c r="I244" s="19"/>
      <c r="J244" s="194"/>
      <c r="L244" s="194"/>
      <c r="V244" s="184"/>
      <c r="W244" s="184"/>
    </row>
    <row r="245">
      <c r="D245" s="19"/>
      <c r="G245" s="19"/>
      <c r="I245" s="19"/>
      <c r="J245" s="194"/>
      <c r="L245" s="194"/>
      <c r="V245" s="184"/>
      <c r="W245" s="184"/>
    </row>
    <row r="246">
      <c r="D246" s="19"/>
      <c r="G246" s="19"/>
      <c r="I246" s="19"/>
      <c r="J246" s="194"/>
      <c r="L246" s="194"/>
      <c r="V246" s="184"/>
      <c r="W246" s="184"/>
    </row>
    <row r="247">
      <c r="D247" s="19"/>
      <c r="G247" s="19"/>
      <c r="I247" s="19"/>
      <c r="J247" s="194"/>
      <c r="L247" s="194"/>
      <c r="V247" s="184"/>
      <c r="W247" s="184"/>
    </row>
    <row r="248">
      <c r="D248" s="19"/>
      <c r="G248" s="19"/>
      <c r="I248" s="19"/>
      <c r="J248" s="194"/>
      <c r="L248" s="194"/>
      <c r="V248" s="184"/>
      <c r="W248" s="184"/>
    </row>
    <row r="249">
      <c r="D249" s="19"/>
      <c r="G249" s="19"/>
      <c r="I249" s="19"/>
      <c r="J249" s="194"/>
      <c r="L249" s="194"/>
      <c r="V249" s="184"/>
      <c r="W249" s="184"/>
    </row>
    <row r="250">
      <c r="D250" s="19"/>
      <c r="G250" s="19"/>
      <c r="I250" s="19"/>
      <c r="J250" s="194"/>
      <c r="L250" s="194"/>
      <c r="V250" s="184"/>
      <c r="W250" s="184"/>
    </row>
    <row r="251">
      <c r="D251" s="19"/>
      <c r="G251" s="19"/>
      <c r="I251" s="19"/>
      <c r="J251" s="194"/>
      <c r="L251" s="194"/>
      <c r="V251" s="184"/>
      <c r="W251" s="184"/>
    </row>
    <row r="252">
      <c r="D252" s="19"/>
      <c r="G252" s="19"/>
      <c r="I252" s="19"/>
      <c r="J252" s="194"/>
      <c r="L252" s="194"/>
      <c r="V252" s="184"/>
      <c r="W252" s="184"/>
    </row>
    <row r="253">
      <c r="D253" s="19"/>
      <c r="G253" s="19"/>
      <c r="I253" s="19"/>
      <c r="J253" s="194"/>
      <c r="L253" s="194"/>
      <c r="V253" s="184"/>
      <c r="W253" s="184"/>
    </row>
    <row r="254">
      <c r="D254" s="19"/>
      <c r="G254" s="19"/>
      <c r="I254" s="19"/>
      <c r="J254" s="194"/>
      <c r="L254" s="194"/>
      <c r="V254" s="184"/>
      <c r="W254" s="184"/>
    </row>
    <row r="255">
      <c r="D255" s="19"/>
      <c r="G255" s="19"/>
      <c r="I255" s="19"/>
      <c r="J255" s="194"/>
      <c r="L255" s="194"/>
      <c r="V255" s="184"/>
      <c r="W255" s="184"/>
    </row>
    <row r="256">
      <c r="D256" s="19"/>
      <c r="G256" s="19"/>
      <c r="I256" s="19"/>
      <c r="J256" s="194"/>
      <c r="L256" s="194"/>
      <c r="V256" s="184"/>
      <c r="W256" s="184"/>
    </row>
    <row r="257">
      <c r="D257" s="19"/>
      <c r="G257" s="19"/>
      <c r="I257" s="19"/>
      <c r="J257" s="194"/>
      <c r="L257" s="194"/>
      <c r="V257" s="184"/>
      <c r="W257" s="184"/>
    </row>
    <row r="258">
      <c r="D258" s="19"/>
      <c r="G258" s="19"/>
      <c r="I258" s="19"/>
      <c r="J258" s="194"/>
      <c r="L258" s="194"/>
      <c r="V258" s="184"/>
      <c r="W258" s="184"/>
    </row>
    <row r="259">
      <c r="D259" s="19"/>
      <c r="G259" s="19"/>
      <c r="I259" s="19"/>
      <c r="J259" s="194"/>
      <c r="L259" s="194"/>
      <c r="V259" s="184"/>
      <c r="W259" s="184"/>
    </row>
    <row r="260">
      <c r="D260" s="19"/>
      <c r="G260" s="19"/>
      <c r="I260" s="19"/>
      <c r="J260" s="194"/>
      <c r="L260" s="194"/>
      <c r="V260" s="184"/>
      <c r="W260" s="184"/>
    </row>
    <row r="261">
      <c r="D261" s="19"/>
      <c r="G261" s="19"/>
      <c r="I261" s="19"/>
      <c r="J261" s="194"/>
      <c r="L261" s="194"/>
      <c r="V261" s="184"/>
      <c r="W261" s="184"/>
    </row>
    <row r="262">
      <c r="D262" s="19"/>
      <c r="G262" s="19"/>
      <c r="I262" s="19"/>
      <c r="J262" s="194"/>
      <c r="L262" s="194"/>
      <c r="V262" s="184"/>
      <c r="W262" s="184"/>
    </row>
    <row r="263">
      <c r="D263" s="19"/>
      <c r="G263" s="19"/>
      <c r="I263" s="19"/>
      <c r="J263" s="194"/>
      <c r="L263" s="194"/>
      <c r="V263" s="184"/>
      <c r="W263" s="184"/>
    </row>
    <row r="264">
      <c r="D264" s="19"/>
      <c r="G264" s="19"/>
      <c r="I264" s="19"/>
      <c r="J264" s="194"/>
      <c r="L264" s="194"/>
      <c r="V264" s="184"/>
      <c r="W264" s="184"/>
    </row>
    <row r="265">
      <c r="D265" s="19"/>
      <c r="G265" s="19"/>
      <c r="I265" s="19"/>
      <c r="J265" s="194"/>
      <c r="L265" s="194"/>
      <c r="V265" s="184"/>
      <c r="W265" s="184"/>
    </row>
    <row r="266">
      <c r="D266" s="19"/>
      <c r="G266" s="19"/>
      <c r="I266" s="19"/>
      <c r="J266" s="194"/>
      <c r="L266" s="194"/>
      <c r="V266" s="184"/>
      <c r="W266" s="184"/>
    </row>
    <row r="267">
      <c r="D267" s="19"/>
      <c r="G267" s="19"/>
      <c r="I267" s="19"/>
      <c r="J267" s="194"/>
      <c r="L267" s="194"/>
      <c r="V267" s="184"/>
      <c r="W267" s="184"/>
    </row>
    <row r="268">
      <c r="D268" s="19"/>
      <c r="G268" s="19"/>
      <c r="I268" s="19"/>
      <c r="J268" s="194"/>
      <c r="L268" s="194"/>
      <c r="V268" s="184"/>
      <c r="W268" s="184"/>
    </row>
    <row r="269">
      <c r="D269" s="19"/>
      <c r="G269" s="19"/>
      <c r="I269" s="19"/>
      <c r="J269" s="194"/>
      <c r="L269" s="194"/>
      <c r="V269" s="184"/>
      <c r="W269" s="184"/>
    </row>
    <row r="270">
      <c r="D270" s="19"/>
      <c r="G270" s="19"/>
      <c r="I270" s="19"/>
      <c r="J270" s="194"/>
      <c r="L270" s="194"/>
      <c r="V270" s="184"/>
      <c r="W270" s="184"/>
    </row>
    <row r="271">
      <c r="D271" s="19"/>
      <c r="G271" s="19"/>
      <c r="I271" s="19"/>
      <c r="J271" s="194"/>
      <c r="L271" s="194"/>
      <c r="V271" s="184"/>
      <c r="W271" s="184"/>
    </row>
    <row r="272">
      <c r="D272" s="19"/>
      <c r="G272" s="19"/>
      <c r="I272" s="19"/>
      <c r="J272" s="194"/>
      <c r="L272" s="194"/>
      <c r="V272" s="184"/>
      <c r="W272" s="184"/>
    </row>
    <row r="273">
      <c r="D273" s="19"/>
      <c r="G273" s="19"/>
      <c r="I273" s="19"/>
      <c r="J273" s="194"/>
      <c r="L273" s="194"/>
      <c r="V273" s="184"/>
      <c r="W273" s="184"/>
    </row>
    <row r="274">
      <c r="D274" s="19"/>
      <c r="G274" s="19"/>
      <c r="I274" s="19"/>
      <c r="J274" s="194"/>
      <c r="L274" s="194"/>
      <c r="V274" s="184"/>
      <c r="W274" s="184"/>
    </row>
    <row r="275">
      <c r="D275" s="19"/>
      <c r="G275" s="19"/>
      <c r="I275" s="19"/>
      <c r="J275" s="194"/>
      <c r="L275" s="194"/>
      <c r="V275" s="184"/>
      <c r="W275" s="184"/>
    </row>
    <row r="276">
      <c r="D276" s="19"/>
      <c r="G276" s="19"/>
      <c r="I276" s="19"/>
      <c r="J276" s="194"/>
      <c r="L276" s="194"/>
      <c r="V276" s="184"/>
      <c r="W276" s="184"/>
    </row>
    <row r="277">
      <c r="D277" s="19"/>
      <c r="G277" s="19"/>
      <c r="I277" s="19"/>
      <c r="J277" s="194"/>
      <c r="L277" s="194"/>
      <c r="V277" s="184"/>
      <c r="W277" s="184"/>
    </row>
    <row r="278">
      <c r="D278" s="19"/>
      <c r="G278" s="19"/>
      <c r="I278" s="19"/>
      <c r="J278" s="194"/>
      <c r="L278" s="194"/>
      <c r="V278" s="184"/>
      <c r="W278" s="184"/>
    </row>
    <row r="279">
      <c r="D279" s="19"/>
      <c r="G279" s="19"/>
      <c r="I279" s="19"/>
      <c r="J279" s="194"/>
      <c r="L279" s="194"/>
      <c r="V279" s="184"/>
      <c r="W279" s="184"/>
    </row>
    <row r="280">
      <c r="D280" s="19"/>
      <c r="G280" s="19"/>
      <c r="I280" s="19"/>
      <c r="J280" s="194"/>
      <c r="L280" s="194"/>
      <c r="V280" s="184"/>
      <c r="W280" s="184"/>
    </row>
    <row r="281">
      <c r="D281" s="19"/>
      <c r="G281" s="19"/>
      <c r="I281" s="19"/>
      <c r="J281" s="194"/>
      <c r="L281" s="194"/>
      <c r="V281" s="184"/>
      <c r="W281" s="184"/>
    </row>
    <row r="282">
      <c r="D282" s="19"/>
      <c r="G282" s="19"/>
      <c r="I282" s="19"/>
      <c r="J282" s="194"/>
      <c r="L282" s="194"/>
      <c r="V282" s="184"/>
      <c r="W282" s="184"/>
    </row>
    <row r="283">
      <c r="D283" s="19"/>
      <c r="G283" s="19"/>
      <c r="I283" s="19"/>
      <c r="J283" s="194"/>
      <c r="L283" s="194"/>
      <c r="V283" s="184"/>
      <c r="W283" s="184"/>
    </row>
    <row r="284">
      <c r="D284" s="19"/>
      <c r="G284" s="19"/>
      <c r="I284" s="19"/>
      <c r="J284" s="194"/>
      <c r="L284" s="194"/>
      <c r="V284" s="184"/>
      <c r="W284" s="184"/>
    </row>
    <row r="285">
      <c r="D285" s="19"/>
      <c r="G285" s="19"/>
      <c r="I285" s="19"/>
      <c r="J285" s="194"/>
      <c r="L285" s="194"/>
      <c r="V285" s="184"/>
      <c r="W285" s="184"/>
    </row>
    <row r="286">
      <c r="D286" s="19"/>
      <c r="G286" s="19"/>
      <c r="I286" s="19"/>
      <c r="J286" s="194"/>
      <c r="L286" s="194"/>
      <c r="V286" s="184"/>
      <c r="W286" s="184"/>
    </row>
    <row r="287">
      <c r="D287" s="19"/>
      <c r="G287" s="19"/>
      <c r="I287" s="19"/>
      <c r="J287" s="194"/>
      <c r="L287" s="194"/>
      <c r="V287" s="184"/>
      <c r="W287" s="184"/>
    </row>
    <row r="288">
      <c r="D288" s="19"/>
      <c r="G288" s="19"/>
      <c r="I288" s="19"/>
      <c r="J288" s="194"/>
      <c r="L288" s="194"/>
      <c r="V288" s="184"/>
      <c r="W288" s="184"/>
    </row>
    <row r="289">
      <c r="D289" s="19"/>
      <c r="G289" s="19"/>
      <c r="I289" s="19"/>
      <c r="J289" s="194"/>
      <c r="L289" s="194"/>
      <c r="V289" s="184"/>
      <c r="W289" s="184"/>
    </row>
    <row r="290">
      <c r="D290" s="19"/>
      <c r="G290" s="19"/>
      <c r="I290" s="19"/>
      <c r="J290" s="194"/>
      <c r="L290" s="194"/>
      <c r="V290" s="184"/>
      <c r="W290" s="184"/>
    </row>
    <row r="291">
      <c r="D291" s="19"/>
      <c r="G291" s="19"/>
      <c r="I291" s="19"/>
      <c r="J291" s="194"/>
      <c r="L291" s="194"/>
      <c r="V291" s="184"/>
      <c r="W291" s="184"/>
    </row>
    <row r="292">
      <c r="D292" s="19"/>
      <c r="G292" s="19"/>
      <c r="I292" s="19"/>
      <c r="J292" s="194"/>
      <c r="L292" s="194"/>
      <c r="V292" s="184"/>
      <c r="W292" s="184"/>
    </row>
    <row r="293">
      <c r="D293" s="19"/>
      <c r="G293" s="19"/>
      <c r="I293" s="19"/>
      <c r="J293" s="194"/>
      <c r="L293" s="194"/>
      <c r="V293" s="184"/>
      <c r="W293" s="184"/>
    </row>
    <row r="294">
      <c r="D294" s="19"/>
      <c r="G294" s="19"/>
      <c r="I294" s="19"/>
      <c r="J294" s="194"/>
      <c r="L294" s="194"/>
      <c r="V294" s="184"/>
      <c r="W294" s="184"/>
    </row>
    <row r="295">
      <c r="D295" s="19"/>
      <c r="G295" s="19"/>
      <c r="I295" s="19"/>
      <c r="J295" s="194"/>
      <c r="L295" s="194"/>
      <c r="V295" s="184"/>
      <c r="W295" s="184"/>
    </row>
    <row r="296">
      <c r="D296" s="19"/>
      <c r="G296" s="19"/>
      <c r="I296" s="19"/>
      <c r="J296" s="194"/>
      <c r="L296" s="194"/>
      <c r="V296" s="184"/>
      <c r="W296" s="184"/>
    </row>
    <row r="297">
      <c r="D297" s="19"/>
      <c r="G297" s="19"/>
      <c r="I297" s="19"/>
      <c r="J297" s="194"/>
      <c r="L297" s="194"/>
      <c r="V297" s="184"/>
      <c r="W297" s="184"/>
    </row>
    <row r="298">
      <c r="D298" s="19"/>
      <c r="G298" s="19"/>
      <c r="I298" s="19"/>
      <c r="J298" s="194"/>
      <c r="L298" s="194"/>
      <c r="V298" s="184"/>
      <c r="W298" s="184"/>
    </row>
    <row r="299">
      <c r="D299" s="19"/>
      <c r="G299" s="19"/>
      <c r="I299" s="19"/>
      <c r="J299" s="194"/>
      <c r="L299" s="194"/>
      <c r="V299" s="184"/>
      <c r="W299" s="184"/>
    </row>
    <row r="300">
      <c r="D300" s="19"/>
      <c r="G300" s="19"/>
      <c r="I300" s="19"/>
      <c r="J300" s="194"/>
      <c r="L300" s="194"/>
      <c r="V300" s="184"/>
      <c r="W300" s="184"/>
    </row>
    <row r="301">
      <c r="D301" s="19"/>
      <c r="G301" s="19"/>
      <c r="I301" s="19"/>
      <c r="J301" s="194"/>
      <c r="L301" s="194"/>
      <c r="V301" s="184"/>
      <c r="W301" s="184"/>
    </row>
    <row r="302">
      <c r="D302" s="19"/>
      <c r="G302" s="19"/>
      <c r="I302" s="19"/>
      <c r="J302" s="194"/>
      <c r="L302" s="194"/>
      <c r="V302" s="184"/>
      <c r="W302" s="184"/>
    </row>
    <row r="303">
      <c r="D303" s="19"/>
      <c r="G303" s="19"/>
      <c r="I303" s="19"/>
      <c r="J303" s="194"/>
      <c r="L303" s="194"/>
      <c r="V303" s="184"/>
      <c r="W303" s="184"/>
    </row>
    <row r="304">
      <c r="D304" s="19"/>
      <c r="G304" s="19"/>
      <c r="I304" s="19"/>
      <c r="J304" s="194"/>
      <c r="L304" s="194"/>
      <c r="V304" s="184"/>
      <c r="W304" s="184"/>
    </row>
    <row r="305">
      <c r="D305" s="19"/>
      <c r="G305" s="19"/>
      <c r="I305" s="19"/>
      <c r="J305" s="194"/>
      <c r="L305" s="194"/>
      <c r="V305" s="184"/>
      <c r="W305" s="184"/>
    </row>
    <row r="306">
      <c r="D306" s="19"/>
      <c r="G306" s="19"/>
      <c r="I306" s="19"/>
      <c r="J306" s="194"/>
      <c r="L306" s="194"/>
      <c r="V306" s="184"/>
      <c r="W306" s="184"/>
    </row>
    <row r="307">
      <c r="D307" s="19"/>
      <c r="G307" s="19"/>
      <c r="I307" s="19"/>
      <c r="J307" s="194"/>
      <c r="L307" s="194"/>
      <c r="V307" s="184"/>
      <c r="W307" s="184"/>
    </row>
    <row r="308">
      <c r="D308" s="19"/>
      <c r="G308" s="19"/>
      <c r="I308" s="19"/>
      <c r="J308" s="194"/>
      <c r="L308" s="194"/>
      <c r="V308" s="184"/>
      <c r="W308" s="184"/>
    </row>
    <row r="309">
      <c r="D309" s="19"/>
      <c r="G309" s="19"/>
      <c r="I309" s="19"/>
      <c r="J309" s="194"/>
      <c r="L309" s="194"/>
      <c r="V309" s="184"/>
      <c r="W309" s="184"/>
    </row>
    <row r="310">
      <c r="D310" s="19"/>
      <c r="G310" s="19"/>
      <c r="I310" s="19"/>
      <c r="J310" s="194"/>
      <c r="L310" s="194"/>
      <c r="V310" s="184"/>
      <c r="W310" s="184"/>
    </row>
    <row r="311">
      <c r="D311" s="19"/>
      <c r="G311" s="19"/>
      <c r="I311" s="19"/>
      <c r="J311" s="194"/>
      <c r="L311" s="194"/>
      <c r="V311" s="184"/>
      <c r="W311" s="184"/>
    </row>
    <row r="312">
      <c r="D312" s="19"/>
      <c r="G312" s="19"/>
      <c r="I312" s="19"/>
      <c r="J312" s="194"/>
      <c r="L312" s="194"/>
      <c r="V312" s="184"/>
      <c r="W312" s="184"/>
    </row>
    <row r="313">
      <c r="D313" s="19"/>
      <c r="G313" s="19"/>
      <c r="I313" s="19"/>
      <c r="J313" s="194"/>
      <c r="L313" s="194"/>
      <c r="V313" s="184"/>
      <c r="W313" s="184"/>
    </row>
    <row r="314">
      <c r="D314" s="19"/>
      <c r="G314" s="19"/>
      <c r="I314" s="19"/>
      <c r="J314" s="194"/>
      <c r="L314" s="194"/>
      <c r="V314" s="184"/>
      <c r="W314" s="184"/>
    </row>
    <row r="315">
      <c r="D315" s="19"/>
      <c r="G315" s="19"/>
      <c r="I315" s="19"/>
      <c r="J315" s="194"/>
      <c r="L315" s="194"/>
      <c r="V315" s="184"/>
      <c r="W315" s="184"/>
    </row>
    <row r="316">
      <c r="D316" s="19"/>
      <c r="G316" s="19"/>
      <c r="I316" s="19"/>
      <c r="J316" s="194"/>
      <c r="L316" s="194"/>
      <c r="V316" s="184"/>
      <c r="W316" s="184"/>
    </row>
    <row r="317">
      <c r="D317" s="19"/>
      <c r="G317" s="19"/>
      <c r="I317" s="19"/>
      <c r="J317" s="194"/>
      <c r="L317" s="194"/>
      <c r="V317" s="184"/>
      <c r="W317" s="184"/>
    </row>
    <row r="318">
      <c r="D318" s="19"/>
      <c r="G318" s="19"/>
      <c r="I318" s="19"/>
      <c r="J318" s="194"/>
      <c r="L318" s="194"/>
      <c r="V318" s="184"/>
      <c r="W318" s="184"/>
    </row>
    <row r="319">
      <c r="D319" s="19"/>
      <c r="G319" s="19"/>
      <c r="I319" s="19"/>
      <c r="J319" s="194"/>
      <c r="L319" s="194"/>
      <c r="V319" s="184"/>
      <c r="W319" s="184"/>
    </row>
    <row r="320">
      <c r="D320" s="19"/>
      <c r="G320" s="19"/>
      <c r="I320" s="19"/>
      <c r="J320" s="194"/>
      <c r="L320" s="194"/>
      <c r="V320" s="184"/>
      <c r="W320" s="184"/>
    </row>
    <row r="321">
      <c r="D321" s="19"/>
      <c r="G321" s="19"/>
      <c r="I321" s="19"/>
      <c r="J321" s="194"/>
      <c r="L321" s="194"/>
      <c r="V321" s="184"/>
      <c r="W321" s="184"/>
    </row>
    <row r="322">
      <c r="D322" s="19"/>
      <c r="G322" s="19"/>
      <c r="I322" s="19"/>
      <c r="J322" s="194"/>
      <c r="L322" s="194"/>
      <c r="V322" s="184"/>
      <c r="W322" s="184"/>
    </row>
    <row r="323">
      <c r="D323" s="19"/>
      <c r="G323" s="19"/>
      <c r="I323" s="19"/>
      <c r="J323" s="194"/>
      <c r="L323" s="194"/>
      <c r="V323" s="184"/>
      <c r="W323" s="184"/>
    </row>
    <row r="324">
      <c r="D324" s="19"/>
      <c r="G324" s="19"/>
      <c r="I324" s="19"/>
      <c r="J324" s="194"/>
      <c r="L324" s="194"/>
      <c r="V324" s="184"/>
      <c r="W324" s="184"/>
    </row>
    <row r="325">
      <c r="D325" s="19"/>
      <c r="G325" s="19"/>
      <c r="I325" s="19"/>
      <c r="J325" s="194"/>
      <c r="L325" s="194"/>
      <c r="V325" s="184"/>
      <c r="W325" s="184"/>
    </row>
    <row r="326">
      <c r="D326" s="19"/>
      <c r="G326" s="19"/>
      <c r="I326" s="19"/>
      <c r="J326" s="194"/>
      <c r="L326" s="194"/>
      <c r="V326" s="184"/>
      <c r="W326" s="184"/>
    </row>
    <row r="327">
      <c r="D327" s="19"/>
      <c r="G327" s="19"/>
      <c r="I327" s="19"/>
      <c r="J327" s="194"/>
      <c r="L327" s="194"/>
      <c r="V327" s="184"/>
      <c r="W327" s="184"/>
    </row>
    <row r="328">
      <c r="D328" s="19"/>
      <c r="G328" s="19"/>
      <c r="I328" s="19"/>
      <c r="J328" s="194"/>
      <c r="L328" s="194"/>
      <c r="V328" s="184"/>
      <c r="W328" s="184"/>
    </row>
    <row r="329">
      <c r="D329" s="19"/>
      <c r="G329" s="19"/>
      <c r="I329" s="19"/>
      <c r="J329" s="194"/>
      <c r="L329" s="194"/>
      <c r="V329" s="184"/>
      <c r="W329" s="184"/>
    </row>
    <row r="330">
      <c r="D330" s="19"/>
      <c r="G330" s="19"/>
      <c r="I330" s="19"/>
      <c r="J330" s="194"/>
      <c r="L330" s="194"/>
      <c r="V330" s="184"/>
      <c r="W330" s="184"/>
    </row>
    <row r="331">
      <c r="D331" s="19"/>
      <c r="G331" s="19"/>
      <c r="I331" s="19"/>
      <c r="J331" s="194"/>
      <c r="L331" s="194"/>
      <c r="V331" s="184"/>
      <c r="W331" s="184"/>
    </row>
    <row r="332">
      <c r="D332" s="19"/>
      <c r="G332" s="19"/>
      <c r="I332" s="19"/>
      <c r="J332" s="194"/>
      <c r="L332" s="194"/>
      <c r="V332" s="184"/>
      <c r="W332" s="184"/>
    </row>
    <row r="333">
      <c r="D333" s="19"/>
      <c r="G333" s="19"/>
      <c r="I333" s="19"/>
      <c r="J333" s="194"/>
      <c r="L333" s="194"/>
      <c r="V333" s="184"/>
      <c r="W333" s="184"/>
    </row>
    <row r="334">
      <c r="D334" s="19"/>
      <c r="G334" s="19"/>
      <c r="I334" s="19"/>
      <c r="J334" s="194"/>
      <c r="L334" s="194"/>
      <c r="V334" s="184"/>
      <c r="W334" s="184"/>
    </row>
    <row r="335">
      <c r="D335" s="19"/>
      <c r="G335" s="19"/>
      <c r="I335" s="19"/>
      <c r="J335" s="194"/>
      <c r="L335" s="194"/>
      <c r="V335" s="184"/>
      <c r="W335" s="184"/>
    </row>
    <row r="336">
      <c r="D336" s="19"/>
      <c r="G336" s="19"/>
      <c r="I336" s="19"/>
      <c r="J336" s="194"/>
      <c r="L336" s="194"/>
      <c r="V336" s="184"/>
      <c r="W336" s="184"/>
    </row>
    <row r="337">
      <c r="D337" s="19"/>
      <c r="G337" s="19"/>
      <c r="I337" s="19"/>
      <c r="J337" s="194"/>
      <c r="L337" s="194"/>
      <c r="V337" s="184"/>
      <c r="W337" s="184"/>
    </row>
    <row r="338">
      <c r="D338" s="19"/>
      <c r="G338" s="19"/>
      <c r="I338" s="19"/>
      <c r="J338" s="194"/>
      <c r="L338" s="194"/>
      <c r="V338" s="184"/>
      <c r="W338" s="184"/>
    </row>
    <row r="339">
      <c r="D339" s="19"/>
      <c r="G339" s="19"/>
      <c r="I339" s="19"/>
      <c r="J339" s="194"/>
      <c r="L339" s="194"/>
      <c r="V339" s="184"/>
      <c r="W339" s="184"/>
    </row>
    <row r="340">
      <c r="D340" s="19"/>
      <c r="G340" s="19"/>
      <c r="I340" s="19"/>
      <c r="J340" s="194"/>
      <c r="L340" s="194"/>
      <c r="V340" s="184"/>
      <c r="W340" s="184"/>
    </row>
    <row r="341">
      <c r="D341" s="19"/>
      <c r="G341" s="19"/>
      <c r="I341" s="19"/>
      <c r="J341" s="194"/>
      <c r="L341" s="194"/>
      <c r="V341" s="184"/>
      <c r="W341" s="184"/>
    </row>
    <row r="342">
      <c r="D342" s="19"/>
      <c r="G342" s="19"/>
      <c r="I342" s="19"/>
      <c r="J342" s="194"/>
      <c r="L342" s="194"/>
      <c r="V342" s="184"/>
      <c r="W342" s="184"/>
    </row>
    <row r="343">
      <c r="D343" s="19"/>
      <c r="G343" s="19"/>
      <c r="I343" s="19"/>
      <c r="J343" s="194"/>
      <c r="L343" s="194"/>
      <c r="V343" s="184"/>
      <c r="W343" s="184"/>
    </row>
    <row r="344">
      <c r="D344" s="19"/>
      <c r="G344" s="19"/>
      <c r="I344" s="19"/>
      <c r="J344" s="194"/>
      <c r="L344" s="194"/>
      <c r="V344" s="184"/>
      <c r="W344" s="184"/>
    </row>
    <row r="345">
      <c r="D345" s="19"/>
      <c r="G345" s="19"/>
      <c r="I345" s="19"/>
      <c r="J345" s="194"/>
      <c r="L345" s="194"/>
      <c r="V345" s="184"/>
      <c r="W345" s="184"/>
    </row>
    <row r="346">
      <c r="D346" s="19"/>
      <c r="G346" s="19"/>
      <c r="I346" s="19"/>
      <c r="J346" s="194"/>
      <c r="L346" s="194"/>
      <c r="V346" s="184"/>
      <c r="W346" s="184"/>
    </row>
    <row r="347">
      <c r="D347" s="19"/>
      <c r="G347" s="19"/>
      <c r="I347" s="19"/>
      <c r="J347" s="194"/>
      <c r="L347" s="194"/>
      <c r="V347" s="184"/>
      <c r="W347" s="184"/>
    </row>
    <row r="348">
      <c r="D348" s="19"/>
      <c r="G348" s="19"/>
      <c r="I348" s="19"/>
      <c r="J348" s="194"/>
      <c r="L348" s="194"/>
      <c r="V348" s="184"/>
      <c r="W348" s="184"/>
    </row>
    <row r="349">
      <c r="D349" s="19"/>
      <c r="G349" s="19"/>
      <c r="I349" s="19"/>
      <c r="J349" s="194"/>
      <c r="L349" s="194"/>
      <c r="V349" s="184"/>
      <c r="W349" s="184"/>
    </row>
    <row r="350">
      <c r="D350" s="19"/>
      <c r="G350" s="19"/>
      <c r="I350" s="19"/>
      <c r="J350" s="194"/>
      <c r="L350" s="194"/>
      <c r="V350" s="184"/>
      <c r="W350" s="184"/>
    </row>
    <row r="351">
      <c r="D351" s="19"/>
      <c r="G351" s="19"/>
      <c r="I351" s="19"/>
      <c r="J351" s="194"/>
      <c r="L351" s="194"/>
      <c r="V351" s="184"/>
      <c r="W351" s="184"/>
    </row>
    <row r="352">
      <c r="D352" s="19"/>
      <c r="G352" s="19"/>
      <c r="I352" s="19"/>
      <c r="J352" s="194"/>
      <c r="L352" s="194"/>
      <c r="V352" s="184"/>
      <c r="W352" s="184"/>
    </row>
    <row r="353">
      <c r="D353" s="19"/>
      <c r="G353" s="19"/>
      <c r="I353" s="19"/>
      <c r="J353" s="194"/>
      <c r="L353" s="194"/>
      <c r="V353" s="184"/>
      <c r="W353" s="184"/>
    </row>
    <row r="354">
      <c r="D354" s="19"/>
      <c r="G354" s="19"/>
      <c r="I354" s="19"/>
      <c r="J354" s="194"/>
      <c r="L354" s="194"/>
      <c r="V354" s="184"/>
      <c r="W354" s="184"/>
    </row>
    <row r="355">
      <c r="D355" s="19"/>
      <c r="G355" s="19"/>
      <c r="I355" s="19"/>
      <c r="J355" s="194"/>
      <c r="L355" s="194"/>
      <c r="V355" s="184"/>
      <c r="W355" s="184"/>
    </row>
    <row r="356">
      <c r="D356" s="19"/>
      <c r="G356" s="19"/>
      <c r="I356" s="19"/>
      <c r="J356" s="194"/>
      <c r="L356" s="194"/>
      <c r="V356" s="184"/>
      <c r="W356" s="184"/>
    </row>
    <row r="357">
      <c r="D357" s="19"/>
      <c r="G357" s="19"/>
      <c r="I357" s="19"/>
      <c r="J357" s="194"/>
      <c r="L357" s="194"/>
      <c r="V357" s="184"/>
      <c r="W357" s="184"/>
    </row>
    <row r="358">
      <c r="D358" s="19"/>
      <c r="G358" s="19"/>
      <c r="I358" s="19"/>
      <c r="J358" s="194"/>
      <c r="L358" s="194"/>
      <c r="V358" s="184"/>
      <c r="W358" s="184"/>
    </row>
    <row r="359">
      <c r="D359" s="19"/>
      <c r="G359" s="19"/>
      <c r="I359" s="19"/>
      <c r="J359" s="194"/>
      <c r="L359" s="194"/>
      <c r="V359" s="184"/>
      <c r="W359" s="184"/>
    </row>
    <row r="360">
      <c r="D360" s="19"/>
      <c r="G360" s="19"/>
      <c r="I360" s="19"/>
      <c r="J360" s="194"/>
      <c r="L360" s="194"/>
      <c r="V360" s="184"/>
      <c r="W360" s="184"/>
    </row>
    <row r="361">
      <c r="D361" s="19"/>
      <c r="G361" s="19"/>
      <c r="I361" s="19"/>
      <c r="J361" s="194"/>
      <c r="L361" s="194"/>
      <c r="V361" s="184"/>
      <c r="W361" s="184"/>
    </row>
    <row r="362">
      <c r="D362" s="19"/>
      <c r="G362" s="19"/>
      <c r="I362" s="19"/>
      <c r="J362" s="194"/>
      <c r="L362" s="194"/>
      <c r="V362" s="184"/>
      <c r="W362" s="184"/>
    </row>
    <row r="363">
      <c r="D363" s="19"/>
      <c r="G363" s="19"/>
      <c r="I363" s="19"/>
      <c r="J363" s="194"/>
      <c r="L363" s="194"/>
      <c r="V363" s="184"/>
      <c r="W363" s="184"/>
    </row>
    <row r="364">
      <c r="D364" s="19"/>
      <c r="G364" s="19"/>
      <c r="I364" s="19"/>
      <c r="J364" s="194"/>
      <c r="L364" s="194"/>
      <c r="V364" s="184"/>
      <c r="W364" s="184"/>
    </row>
    <row r="365">
      <c r="D365" s="19"/>
      <c r="G365" s="19"/>
      <c r="I365" s="19"/>
      <c r="J365" s="194"/>
      <c r="L365" s="194"/>
      <c r="V365" s="184"/>
      <c r="W365" s="184"/>
    </row>
    <row r="366">
      <c r="D366" s="19"/>
      <c r="G366" s="19"/>
      <c r="I366" s="19"/>
      <c r="J366" s="194"/>
      <c r="L366" s="194"/>
      <c r="V366" s="184"/>
      <c r="W366" s="184"/>
    </row>
    <row r="367">
      <c r="D367" s="19"/>
      <c r="G367" s="19"/>
      <c r="I367" s="19"/>
      <c r="J367" s="194"/>
      <c r="L367" s="194"/>
      <c r="V367" s="184"/>
      <c r="W367" s="184"/>
    </row>
    <row r="368">
      <c r="D368" s="19"/>
      <c r="G368" s="19"/>
      <c r="I368" s="19"/>
      <c r="J368" s="194"/>
      <c r="L368" s="194"/>
      <c r="V368" s="184"/>
      <c r="W368" s="184"/>
    </row>
    <row r="369">
      <c r="D369" s="19"/>
      <c r="G369" s="19"/>
      <c r="I369" s="19"/>
      <c r="J369" s="194"/>
      <c r="L369" s="194"/>
      <c r="V369" s="184"/>
      <c r="W369" s="184"/>
    </row>
    <row r="370">
      <c r="D370" s="19"/>
      <c r="G370" s="19"/>
      <c r="I370" s="19"/>
      <c r="J370" s="194"/>
      <c r="L370" s="194"/>
      <c r="V370" s="184"/>
      <c r="W370" s="184"/>
    </row>
    <row r="371">
      <c r="D371" s="19"/>
      <c r="G371" s="19"/>
      <c r="I371" s="19"/>
      <c r="J371" s="194"/>
      <c r="L371" s="194"/>
      <c r="V371" s="184"/>
      <c r="W371" s="184"/>
    </row>
    <row r="372">
      <c r="D372" s="19"/>
      <c r="G372" s="19"/>
      <c r="I372" s="19"/>
      <c r="J372" s="194"/>
      <c r="L372" s="194"/>
      <c r="V372" s="184"/>
      <c r="W372" s="184"/>
    </row>
    <row r="373">
      <c r="D373" s="19"/>
      <c r="G373" s="19"/>
      <c r="I373" s="19"/>
      <c r="J373" s="194"/>
      <c r="L373" s="194"/>
      <c r="V373" s="184"/>
      <c r="W373" s="184"/>
    </row>
    <row r="374">
      <c r="D374" s="19"/>
      <c r="G374" s="19"/>
      <c r="I374" s="19"/>
      <c r="J374" s="194"/>
      <c r="L374" s="194"/>
      <c r="V374" s="184"/>
      <c r="W374" s="184"/>
    </row>
    <row r="375">
      <c r="D375" s="19"/>
      <c r="G375" s="19"/>
      <c r="I375" s="19"/>
      <c r="J375" s="194"/>
      <c r="L375" s="194"/>
      <c r="V375" s="184"/>
      <c r="W375" s="184"/>
    </row>
    <row r="376">
      <c r="D376" s="19"/>
      <c r="G376" s="19"/>
      <c r="I376" s="19"/>
      <c r="J376" s="194"/>
      <c r="L376" s="194"/>
      <c r="V376" s="184"/>
      <c r="W376" s="184"/>
    </row>
    <row r="377">
      <c r="D377" s="19"/>
      <c r="G377" s="19"/>
      <c r="I377" s="19"/>
      <c r="J377" s="194"/>
      <c r="L377" s="194"/>
      <c r="V377" s="184"/>
      <c r="W377" s="184"/>
    </row>
    <row r="378">
      <c r="D378" s="19"/>
      <c r="G378" s="19"/>
      <c r="I378" s="19"/>
      <c r="J378" s="194"/>
      <c r="L378" s="194"/>
      <c r="V378" s="184"/>
      <c r="W378" s="184"/>
    </row>
    <row r="379">
      <c r="D379" s="19"/>
      <c r="G379" s="19"/>
      <c r="I379" s="19"/>
      <c r="J379" s="194"/>
      <c r="L379" s="194"/>
      <c r="V379" s="184"/>
      <c r="W379" s="184"/>
    </row>
    <row r="380">
      <c r="D380" s="19"/>
      <c r="G380" s="19"/>
      <c r="I380" s="19"/>
      <c r="J380" s="194"/>
      <c r="L380" s="194"/>
      <c r="V380" s="184"/>
      <c r="W380" s="184"/>
    </row>
    <row r="381">
      <c r="D381" s="19"/>
      <c r="G381" s="19"/>
      <c r="I381" s="19"/>
      <c r="J381" s="194"/>
      <c r="L381" s="194"/>
      <c r="V381" s="184"/>
      <c r="W381" s="184"/>
    </row>
    <row r="382">
      <c r="D382" s="19"/>
      <c r="G382" s="19"/>
      <c r="I382" s="19"/>
      <c r="J382" s="194"/>
      <c r="L382" s="194"/>
      <c r="V382" s="184"/>
      <c r="W382" s="184"/>
    </row>
    <row r="383">
      <c r="D383" s="19"/>
      <c r="G383" s="19"/>
      <c r="I383" s="19"/>
      <c r="J383" s="194"/>
      <c r="L383" s="194"/>
      <c r="V383" s="184"/>
      <c r="W383" s="184"/>
    </row>
    <row r="384">
      <c r="D384" s="19"/>
      <c r="G384" s="19"/>
      <c r="I384" s="19"/>
      <c r="J384" s="194"/>
      <c r="L384" s="194"/>
      <c r="V384" s="184"/>
      <c r="W384" s="184"/>
    </row>
    <row r="385">
      <c r="D385" s="19"/>
      <c r="G385" s="19"/>
      <c r="I385" s="19"/>
      <c r="J385" s="194"/>
      <c r="L385" s="194"/>
      <c r="V385" s="184"/>
      <c r="W385" s="184"/>
    </row>
    <row r="386">
      <c r="D386" s="19"/>
      <c r="G386" s="19"/>
      <c r="I386" s="19"/>
      <c r="J386" s="194"/>
      <c r="L386" s="194"/>
      <c r="V386" s="184"/>
      <c r="W386" s="184"/>
    </row>
    <row r="387">
      <c r="D387" s="19"/>
      <c r="G387" s="19"/>
      <c r="I387" s="19"/>
      <c r="J387" s="194"/>
      <c r="L387" s="194"/>
      <c r="V387" s="184"/>
      <c r="W387" s="184"/>
    </row>
    <row r="388">
      <c r="D388" s="19"/>
      <c r="G388" s="19"/>
      <c r="I388" s="19"/>
      <c r="J388" s="194"/>
      <c r="L388" s="194"/>
      <c r="V388" s="184"/>
      <c r="W388" s="184"/>
    </row>
    <row r="389">
      <c r="D389" s="19"/>
      <c r="G389" s="19"/>
      <c r="I389" s="19"/>
      <c r="J389" s="194"/>
      <c r="L389" s="194"/>
      <c r="V389" s="184"/>
      <c r="W389" s="184"/>
    </row>
    <row r="390">
      <c r="D390" s="19"/>
      <c r="G390" s="19"/>
      <c r="I390" s="19"/>
      <c r="J390" s="194"/>
      <c r="L390" s="194"/>
      <c r="V390" s="184"/>
      <c r="W390" s="184"/>
    </row>
    <row r="391">
      <c r="D391" s="19"/>
      <c r="G391" s="19"/>
      <c r="I391" s="19"/>
      <c r="J391" s="194"/>
      <c r="L391" s="194"/>
      <c r="V391" s="184"/>
      <c r="W391" s="184"/>
    </row>
    <row r="392">
      <c r="D392" s="19"/>
      <c r="G392" s="19"/>
      <c r="I392" s="19"/>
      <c r="J392" s="194"/>
      <c r="L392" s="194"/>
      <c r="V392" s="184"/>
      <c r="W392" s="184"/>
    </row>
    <row r="393">
      <c r="D393" s="19"/>
      <c r="G393" s="19"/>
      <c r="I393" s="19"/>
      <c r="J393" s="194"/>
      <c r="L393" s="194"/>
      <c r="V393" s="184"/>
      <c r="W393" s="184"/>
    </row>
    <row r="394">
      <c r="D394" s="19"/>
      <c r="G394" s="19"/>
      <c r="I394" s="19"/>
      <c r="J394" s="194"/>
      <c r="L394" s="194"/>
      <c r="V394" s="184"/>
      <c r="W394" s="184"/>
    </row>
    <row r="395">
      <c r="D395" s="19"/>
      <c r="G395" s="19"/>
      <c r="I395" s="19"/>
      <c r="J395" s="194"/>
      <c r="L395" s="194"/>
      <c r="V395" s="184"/>
      <c r="W395" s="184"/>
    </row>
    <row r="396">
      <c r="D396" s="19"/>
      <c r="G396" s="19"/>
      <c r="I396" s="19"/>
      <c r="J396" s="194"/>
      <c r="L396" s="194"/>
      <c r="V396" s="184"/>
      <c r="W396" s="184"/>
    </row>
    <row r="397">
      <c r="D397" s="19"/>
      <c r="G397" s="19"/>
      <c r="I397" s="19"/>
      <c r="J397" s="194"/>
      <c r="L397" s="194"/>
      <c r="V397" s="184"/>
      <c r="W397" s="184"/>
    </row>
    <row r="398">
      <c r="D398" s="19"/>
      <c r="G398" s="19"/>
      <c r="I398" s="19"/>
      <c r="J398" s="194"/>
      <c r="L398" s="194"/>
      <c r="V398" s="184"/>
      <c r="W398" s="184"/>
    </row>
    <row r="399">
      <c r="D399" s="19"/>
      <c r="G399" s="19"/>
      <c r="I399" s="19"/>
      <c r="J399" s="194"/>
      <c r="L399" s="194"/>
      <c r="V399" s="184"/>
      <c r="W399" s="184"/>
    </row>
    <row r="400">
      <c r="D400" s="19"/>
      <c r="G400" s="19"/>
      <c r="I400" s="19"/>
      <c r="J400" s="194"/>
      <c r="L400" s="194"/>
      <c r="V400" s="184"/>
      <c r="W400" s="184"/>
    </row>
    <row r="401">
      <c r="D401" s="19"/>
      <c r="G401" s="19"/>
      <c r="I401" s="19"/>
      <c r="J401" s="194"/>
      <c r="L401" s="194"/>
      <c r="V401" s="184"/>
      <c r="W401" s="184"/>
    </row>
    <row r="402">
      <c r="D402" s="19"/>
      <c r="G402" s="19"/>
      <c r="I402" s="19"/>
      <c r="J402" s="194"/>
      <c r="L402" s="194"/>
      <c r="V402" s="184"/>
      <c r="W402" s="184"/>
    </row>
    <row r="403">
      <c r="D403" s="19"/>
      <c r="G403" s="19"/>
      <c r="I403" s="19"/>
      <c r="J403" s="194"/>
      <c r="L403" s="194"/>
      <c r="V403" s="184"/>
      <c r="W403" s="184"/>
    </row>
    <row r="404">
      <c r="D404" s="19"/>
      <c r="G404" s="19"/>
      <c r="I404" s="19"/>
      <c r="J404" s="194"/>
      <c r="L404" s="194"/>
      <c r="V404" s="184"/>
      <c r="W404" s="184"/>
    </row>
    <row r="405">
      <c r="D405" s="19"/>
      <c r="G405" s="19"/>
      <c r="I405" s="19"/>
      <c r="J405" s="194"/>
      <c r="L405" s="194"/>
      <c r="V405" s="184"/>
      <c r="W405" s="184"/>
    </row>
    <row r="406">
      <c r="D406" s="19"/>
      <c r="G406" s="19"/>
      <c r="I406" s="19"/>
      <c r="J406" s="194"/>
      <c r="L406" s="194"/>
      <c r="V406" s="184"/>
      <c r="W406" s="184"/>
    </row>
    <row r="407">
      <c r="D407" s="19"/>
      <c r="G407" s="19"/>
      <c r="I407" s="19"/>
      <c r="J407" s="194"/>
      <c r="L407" s="194"/>
      <c r="V407" s="184"/>
      <c r="W407" s="184"/>
    </row>
    <row r="408">
      <c r="D408" s="19"/>
      <c r="G408" s="19"/>
      <c r="I408" s="19"/>
      <c r="J408" s="194"/>
      <c r="L408" s="194"/>
      <c r="V408" s="184"/>
      <c r="W408" s="184"/>
    </row>
    <row r="409">
      <c r="D409" s="19"/>
      <c r="G409" s="19"/>
      <c r="I409" s="19"/>
      <c r="J409" s="194"/>
      <c r="L409" s="194"/>
      <c r="V409" s="184"/>
      <c r="W409" s="184"/>
    </row>
    <row r="410">
      <c r="D410" s="19"/>
      <c r="G410" s="19"/>
      <c r="I410" s="19"/>
      <c r="J410" s="194"/>
      <c r="L410" s="194"/>
      <c r="V410" s="184"/>
      <c r="W410" s="184"/>
    </row>
    <row r="411">
      <c r="D411" s="19"/>
      <c r="G411" s="19"/>
      <c r="I411" s="19"/>
      <c r="J411" s="194"/>
      <c r="L411" s="194"/>
      <c r="V411" s="184"/>
      <c r="W411" s="184"/>
    </row>
    <row r="412">
      <c r="D412" s="19"/>
      <c r="G412" s="19"/>
      <c r="I412" s="19"/>
      <c r="J412" s="194"/>
      <c r="L412" s="194"/>
      <c r="V412" s="184"/>
      <c r="W412" s="184"/>
    </row>
    <row r="413">
      <c r="D413" s="19"/>
      <c r="G413" s="19"/>
      <c r="I413" s="19"/>
      <c r="J413" s="194"/>
      <c r="L413" s="194"/>
      <c r="V413" s="184"/>
      <c r="W413" s="184"/>
    </row>
    <row r="414">
      <c r="D414" s="19"/>
      <c r="G414" s="19"/>
      <c r="I414" s="19"/>
      <c r="J414" s="194"/>
      <c r="L414" s="194"/>
      <c r="V414" s="184"/>
      <c r="W414" s="184"/>
    </row>
    <row r="415">
      <c r="D415" s="19"/>
      <c r="G415" s="19"/>
      <c r="I415" s="19"/>
      <c r="J415" s="194"/>
      <c r="L415" s="194"/>
      <c r="V415" s="184"/>
      <c r="W415" s="184"/>
    </row>
    <row r="416">
      <c r="D416" s="19"/>
      <c r="G416" s="19"/>
      <c r="I416" s="19"/>
      <c r="J416" s="194"/>
      <c r="L416" s="194"/>
      <c r="V416" s="184"/>
      <c r="W416" s="184"/>
    </row>
    <row r="417">
      <c r="D417" s="19"/>
      <c r="G417" s="19"/>
      <c r="I417" s="19"/>
      <c r="J417" s="194"/>
      <c r="L417" s="194"/>
      <c r="V417" s="184"/>
      <c r="W417" s="184"/>
    </row>
    <row r="418">
      <c r="D418" s="19"/>
      <c r="G418" s="19"/>
      <c r="I418" s="19"/>
      <c r="J418" s="194"/>
      <c r="L418" s="194"/>
      <c r="V418" s="184"/>
      <c r="W418" s="184"/>
    </row>
    <row r="419">
      <c r="D419" s="19"/>
      <c r="G419" s="19"/>
      <c r="I419" s="19"/>
      <c r="J419" s="194"/>
      <c r="L419" s="194"/>
      <c r="V419" s="184"/>
      <c r="W419" s="184"/>
    </row>
    <row r="420">
      <c r="D420" s="19"/>
      <c r="G420" s="19"/>
      <c r="I420" s="19"/>
      <c r="J420" s="194"/>
      <c r="L420" s="194"/>
      <c r="V420" s="184"/>
      <c r="W420" s="184"/>
    </row>
    <row r="421">
      <c r="D421" s="19"/>
      <c r="G421" s="19"/>
      <c r="I421" s="19"/>
      <c r="J421" s="194"/>
      <c r="L421" s="194"/>
      <c r="V421" s="184"/>
      <c r="W421" s="184"/>
    </row>
    <row r="422">
      <c r="D422" s="19"/>
      <c r="G422" s="19"/>
      <c r="I422" s="19"/>
      <c r="J422" s="194"/>
      <c r="L422" s="194"/>
      <c r="V422" s="184"/>
      <c r="W422" s="184"/>
    </row>
    <row r="423">
      <c r="D423" s="19"/>
      <c r="G423" s="19"/>
      <c r="I423" s="19"/>
      <c r="J423" s="194"/>
      <c r="L423" s="194"/>
      <c r="V423" s="184"/>
      <c r="W423" s="184"/>
    </row>
    <row r="424">
      <c r="D424" s="19"/>
      <c r="G424" s="19"/>
      <c r="I424" s="19"/>
      <c r="J424" s="194"/>
      <c r="L424" s="194"/>
      <c r="V424" s="184"/>
      <c r="W424" s="184"/>
    </row>
    <row r="425">
      <c r="D425" s="19"/>
      <c r="G425" s="19"/>
      <c r="I425" s="19"/>
      <c r="J425" s="194"/>
      <c r="L425" s="194"/>
      <c r="V425" s="184"/>
      <c r="W425" s="184"/>
    </row>
    <row r="426">
      <c r="D426" s="19"/>
      <c r="G426" s="19"/>
      <c r="I426" s="19"/>
      <c r="J426" s="194"/>
      <c r="L426" s="194"/>
      <c r="V426" s="184"/>
      <c r="W426" s="184"/>
    </row>
    <row r="427">
      <c r="D427" s="19"/>
      <c r="G427" s="19"/>
      <c r="I427" s="19"/>
      <c r="J427" s="194"/>
      <c r="L427" s="194"/>
      <c r="V427" s="184"/>
      <c r="W427" s="184"/>
    </row>
    <row r="428">
      <c r="D428" s="19"/>
      <c r="G428" s="19"/>
      <c r="I428" s="19"/>
      <c r="J428" s="194"/>
      <c r="L428" s="194"/>
      <c r="V428" s="184"/>
      <c r="W428" s="184"/>
    </row>
    <row r="429">
      <c r="D429" s="19"/>
      <c r="G429" s="19"/>
      <c r="I429" s="19"/>
      <c r="J429" s="194"/>
      <c r="L429" s="194"/>
      <c r="V429" s="184"/>
      <c r="W429" s="184"/>
    </row>
    <row r="430">
      <c r="D430" s="19"/>
      <c r="G430" s="19"/>
      <c r="I430" s="19"/>
      <c r="J430" s="194"/>
      <c r="L430" s="194"/>
      <c r="V430" s="184"/>
      <c r="W430" s="184"/>
    </row>
    <row r="431">
      <c r="D431" s="19"/>
      <c r="G431" s="19"/>
      <c r="I431" s="19"/>
      <c r="J431" s="194"/>
      <c r="L431" s="194"/>
      <c r="V431" s="184"/>
      <c r="W431" s="184"/>
    </row>
    <row r="432">
      <c r="D432" s="19"/>
      <c r="G432" s="19"/>
      <c r="I432" s="19"/>
      <c r="J432" s="194"/>
      <c r="L432" s="194"/>
      <c r="V432" s="184"/>
      <c r="W432" s="184"/>
    </row>
    <row r="433">
      <c r="D433" s="19"/>
      <c r="G433" s="19"/>
      <c r="I433" s="19"/>
      <c r="J433" s="194"/>
      <c r="L433" s="194"/>
      <c r="V433" s="184"/>
      <c r="W433" s="184"/>
    </row>
    <row r="434">
      <c r="D434" s="19"/>
      <c r="G434" s="19"/>
      <c r="I434" s="19"/>
      <c r="J434" s="194"/>
      <c r="L434" s="194"/>
      <c r="V434" s="184"/>
      <c r="W434" s="184"/>
    </row>
    <row r="435">
      <c r="D435" s="19"/>
      <c r="G435" s="19"/>
      <c r="I435" s="19"/>
      <c r="J435" s="194"/>
      <c r="L435" s="194"/>
      <c r="V435" s="184"/>
      <c r="W435" s="184"/>
    </row>
    <row r="436">
      <c r="D436" s="19"/>
      <c r="G436" s="19"/>
      <c r="I436" s="19"/>
      <c r="J436" s="194"/>
      <c r="L436" s="194"/>
      <c r="V436" s="184"/>
      <c r="W436" s="184"/>
    </row>
    <row r="437">
      <c r="D437" s="19"/>
      <c r="G437" s="19"/>
      <c r="I437" s="19"/>
      <c r="J437" s="194"/>
      <c r="L437" s="194"/>
      <c r="V437" s="184"/>
      <c r="W437" s="184"/>
    </row>
    <row r="438">
      <c r="D438" s="19"/>
      <c r="G438" s="19"/>
      <c r="I438" s="19"/>
      <c r="J438" s="194"/>
      <c r="L438" s="194"/>
      <c r="V438" s="184"/>
      <c r="W438" s="184"/>
    </row>
    <row r="439">
      <c r="D439" s="19"/>
      <c r="G439" s="19"/>
      <c r="I439" s="19"/>
      <c r="J439" s="194"/>
      <c r="L439" s="194"/>
      <c r="V439" s="184"/>
      <c r="W439" s="184"/>
    </row>
    <row r="440">
      <c r="D440" s="19"/>
      <c r="G440" s="19"/>
      <c r="I440" s="19"/>
      <c r="J440" s="194"/>
      <c r="L440" s="194"/>
      <c r="V440" s="184"/>
      <c r="W440" s="184"/>
    </row>
    <row r="441">
      <c r="D441" s="19"/>
      <c r="G441" s="19"/>
      <c r="I441" s="19"/>
      <c r="J441" s="194"/>
      <c r="L441" s="194"/>
      <c r="V441" s="184"/>
      <c r="W441" s="184"/>
    </row>
    <row r="442">
      <c r="D442" s="19"/>
      <c r="G442" s="19"/>
      <c r="I442" s="19"/>
      <c r="J442" s="194"/>
      <c r="L442" s="194"/>
      <c r="V442" s="184"/>
      <c r="W442" s="184"/>
    </row>
    <row r="443">
      <c r="D443" s="19"/>
      <c r="G443" s="19"/>
      <c r="I443" s="19"/>
      <c r="J443" s="194"/>
      <c r="L443" s="194"/>
      <c r="V443" s="184"/>
      <c r="W443" s="184"/>
    </row>
    <row r="444">
      <c r="D444" s="19"/>
      <c r="G444" s="19"/>
      <c r="I444" s="19"/>
      <c r="J444" s="194"/>
      <c r="L444" s="194"/>
      <c r="V444" s="184"/>
      <c r="W444" s="184"/>
    </row>
    <row r="445">
      <c r="D445" s="19"/>
      <c r="G445" s="19"/>
      <c r="I445" s="19"/>
      <c r="J445" s="194"/>
      <c r="L445" s="194"/>
      <c r="V445" s="184"/>
      <c r="W445" s="184"/>
    </row>
    <row r="446">
      <c r="D446" s="19"/>
      <c r="G446" s="19"/>
      <c r="I446" s="19"/>
      <c r="J446" s="194"/>
      <c r="L446" s="194"/>
      <c r="V446" s="184"/>
      <c r="W446" s="184"/>
    </row>
    <row r="447">
      <c r="D447" s="19"/>
      <c r="G447" s="19"/>
      <c r="I447" s="19"/>
      <c r="J447" s="194"/>
      <c r="L447" s="194"/>
      <c r="V447" s="184"/>
      <c r="W447" s="184"/>
    </row>
    <row r="448">
      <c r="D448" s="19"/>
      <c r="G448" s="19"/>
      <c r="I448" s="19"/>
      <c r="J448" s="194"/>
      <c r="L448" s="194"/>
      <c r="V448" s="184"/>
      <c r="W448" s="184"/>
    </row>
    <row r="449">
      <c r="D449" s="19"/>
      <c r="G449" s="19"/>
      <c r="I449" s="19"/>
      <c r="J449" s="194"/>
      <c r="L449" s="194"/>
      <c r="V449" s="184"/>
      <c r="W449" s="184"/>
    </row>
    <row r="450">
      <c r="D450" s="19"/>
      <c r="G450" s="19"/>
      <c r="I450" s="19"/>
      <c r="J450" s="194"/>
      <c r="L450" s="194"/>
      <c r="V450" s="184"/>
      <c r="W450" s="184"/>
    </row>
    <row r="451">
      <c r="D451" s="19"/>
      <c r="G451" s="19"/>
      <c r="I451" s="19"/>
      <c r="J451" s="194"/>
      <c r="L451" s="194"/>
      <c r="V451" s="184"/>
      <c r="W451" s="184"/>
    </row>
    <row r="452">
      <c r="D452" s="19"/>
      <c r="G452" s="19"/>
      <c r="I452" s="19"/>
      <c r="J452" s="194"/>
      <c r="L452" s="194"/>
      <c r="V452" s="184"/>
      <c r="W452" s="184"/>
    </row>
    <row r="453">
      <c r="D453" s="19"/>
      <c r="G453" s="19"/>
      <c r="I453" s="19"/>
      <c r="J453" s="194"/>
      <c r="L453" s="194"/>
      <c r="V453" s="184"/>
      <c r="W453" s="184"/>
    </row>
    <row r="454">
      <c r="D454" s="19"/>
      <c r="G454" s="19"/>
      <c r="I454" s="19"/>
      <c r="J454" s="194"/>
      <c r="L454" s="194"/>
      <c r="V454" s="184"/>
      <c r="W454" s="184"/>
    </row>
    <row r="455">
      <c r="D455" s="19"/>
      <c r="G455" s="19"/>
      <c r="I455" s="19"/>
      <c r="J455" s="194"/>
      <c r="L455" s="194"/>
      <c r="V455" s="184"/>
      <c r="W455" s="184"/>
    </row>
    <row r="456">
      <c r="D456" s="19"/>
      <c r="G456" s="19"/>
      <c r="I456" s="19"/>
      <c r="J456" s="194"/>
      <c r="L456" s="194"/>
      <c r="V456" s="184"/>
      <c r="W456" s="184"/>
    </row>
    <row r="457">
      <c r="D457" s="19"/>
      <c r="G457" s="19"/>
      <c r="I457" s="19"/>
      <c r="J457" s="194"/>
      <c r="L457" s="194"/>
      <c r="V457" s="184"/>
      <c r="W457" s="184"/>
    </row>
    <row r="458">
      <c r="D458" s="19"/>
      <c r="G458" s="19"/>
      <c r="I458" s="19"/>
      <c r="J458" s="194"/>
      <c r="L458" s="194"/>
      <c r="V458" s="184"/>
      <c r="W458" s="184"/>
    </row>
    <row r="459">
      <c r="D459" s="19"/>
      <c r="G459" s="19"/>
      <c r="I459" s="19"/>
      <c r="J459" s="194"/>
      <c r="L459" s="194"/>
      <c r="V459" s="184"/>
      <c r="W459" s="184"/>
    </row>
    <row r="460">
      <c r="D460" s="19"/>
      <c r="G460" s="19"/>
      <c r="I460" s="19"/>
      <c r="J460" s="194"/>
      <c r="L460" s="194"/>
      <c r="V460" s="184"/>
      <c r="W460" s="184"/>
    </row>
    <row r="461">
      <c r="D461" s="19"/>
      <c r="G461" s="19"/>
      <c r="I461" s="19"/>
      <c r="J461" s="194"/>
      <c r="L461" s="194"/>
      <c r="V461" s="184"/>
      <c r="W461" s="184"/>
    </row>
    <row r="462">
      <c r="D462" s="19"/>
      <c r="G462" s="19"/>
      <c r="I462" s="19"/>
      <c r="J462" s="194"/>
      <c r="L462" s="194"/>
      <c r="V462" s="184"/>
      <c r="W462" s="184"/>
    </row>
    <row r="463">
      <c r="D463" s="19"/>
      <c r="G463" s="19"/>
      <c r="I463" s="19"/>
      <c r="J463" s="194"/>
      <c r="L463" s="194"/>
      <c r="V463" s="184"/>
      <c r="W463" s="184"/>
    </row>
    <row r="464">
      <c r="D464" s="19"/>
      <c r="G464" s="19"/>
      <c r="I464" s="19"/>
      <c r="J464" s="194"/>
      <c r="L464" s="194"/>
      <c r="V464" s="184"/>
      <c r="W464" s="184"/>
    </row>
    <row r="465">
      <c r="D465" s="19"/>
      <c r="G465" s="19"/>
      <c r="I465" s="19"/>
      <c r="J465" s="194"/>
      <c r="L465" s="194"/>
      <c r="V465" s="184"/>
      <c r="W465" s="184"/>
    </row>
    <row r="466">
      <c r="D466" s="19"/>
      <c r="G466" s="19"/>
      <c r="I466" s="19"/>
      <c r="J466" s="194"/>
      <c r="L466" s="194"/>
      <c r="V466" s="184"/>
      <c r="W466" s="184"/>
    </row>
    <row r="467">
      <c r="D467" s="19"/>
      <c r="G467" s="19"/>
      <c r="I467" s="19"/>
      <c r="J467" s="194"/>
      <c r="L467" s="194"/>
      <c r="V467" s="184"/>
      <c r="W467" s="184"/>
    </row>
    <row r="468">
      <c r="D468" s="19"/>
      <c r="G468" s="19"/>
      <c r="I468" s="19"/>
      <c r="J468" s="194"/>
      <c r="L468" s="194"/>
      <c r="V468" s="184"/>
      <c r="W468" s="184"/>
    </row>
    <row r="469">
      <c r="D469" s="19"/>
      <c r="G469" s="19"/>
      <c r="I469" s="19"/>
      <c r="J469" s="194"/>
      <c r="L469" s="194"/>
      <c r="V469" s="184"/>
      <c r="W469" s="184"/>
    </row>
    <row r="470">
      <c r="D470" s="19"/>
      <c r="G470" s="19"/>
      <c r="I470" s="19"/>
      <c r="J470" s="194"/>
      <c r="L470" s="194"/>
      <c r="V470" s="184"/>
      <c r="W470" s="184"/>
    </row>
    <row r="471">
      <c r="D471" s="19"/>
      <c r="G471" s="19"/>
      <c r="I471" s="19"/>
      <c r="J471" s="194"/>
      <c r="L471" s="194"/>
      <c r="V471" s="184"/>
      <c r="W471" s="184"/>
    </row>
    <row r="472">
      <c r="D472" s="19"/>
      <c r="G472" s="19"/>
      <c r="I472" s="19"/>
      <c r="J472" s="194"/>
      <c r="L472" s="194"/>
      <c r="V472" s="184"/>
      <c r="W472" s="184"/>
    </row>
    <row r="473">
      <c r="D473" s="19"/>
      <c r="G473" s="19"/>
      <c r="I473" s="19"/>
      <c r="J473" s="194"/>
      <c r="L473" s="194"/>
      <c r="V473" s="184"/>
      <c r="W473" s="184"/>
    </row>
    <row r="474">
      <c r="D474" s="19"/>
      <c r="G474" s="19"/>
      <c r="I474" s="19"/>
      <c r="J474" s="194"/>
      <c r="L474" s="194"/>
      <c r="V474" s="184"/>
      <c r="W474" s="184"/>
    </row>
    <row r="475">
      <c r="D475" s="19"/>
      <c r="G475" s="19"/>
      <c r="I475" s="19"/>
      <c r="J475" s="194"/>
      <c r="L475" s="194"/>
      <c r="V475" s="184"/>
      <c r="W475" s="184"/>
    </row>
    <row r="476">
      <c r="D476" s="19"/>
      <c r="G476" s="19"/>
      <c r="I476" s="19"/>
      <c r="J476" s="194"/>
      <c r="L476" s="194"/>
      <c r="V476" s="184"/>
      <c r="W476" s="184"/>
    </row>
    <row r="477">
      <c r="D477" s="19"/>
      <c r="G477" s="19"/>
      <c r="I477" s="19"/>
      <c r="J477" s="194"/>
      <c r="L477" s="194"/>
      <c r="V477" s="184"/>
      <c r="W477" s="184"/>
    </row>
    <row r="478">
      <c r="D478" s="19"/>
      <c r="G478" s="19"/>
      <c r="I478" s="19"/>
      <c r="J478" s="194"/>
      <c r="L478" s="194"/>
      <c r="V478" s="184"/>
      <c r="W478" s="184"/>
    </row>
    <row r="479">
      <c r="D479" s="19"/>
      <c r="G479" s="19"/>
      <c r="I479" s="19"/>
      <c r="J479" s="194"/>
      <c r="L479" s="194"/>
      <c r="V479" s="184"/>
      <c r="W479" s="184"/>
    </row>
    <row r="480">
      <c r="D480" s="19"/>
      <c r="G480" s="19"/>
      <c r="I480" s="19"/>
      <c r="J480" s="194"/>
      <c r="L480" s="194"/>
      <c r="V480" s="184"/>
      <c r="W480" s="184"/>
    </row>
    <row r="481">
      <c r="D481" s="19"/>
      <c r="G481" s="19"/>
      <c r="I481" s="19"/>
      <c r="J481" s="194"/>
      <c r="L481" s="194"/>
      <c r="V481" s="184"/>
      <c r="W481" s="184"/>
    </row>
    <row r="482">
      <c r="D482" s="19"/>
      <c r="G482" s="19"/>
      <c r="I482" s="19"/>
      <c r="J482" s="194"/>
      <c r="L482" s="194"/>
      <c r="V482" s="184"/>
      <c r="W482" s="184"/>
    </row>
    <row r="483">
      <c r="D483" s="19"/>
      <c r="G483" s="19"/>
      <c r="I483" s="19"/>
      <c r="J483" s="194"/>
      <c r="L483" s="194"/>
      <c r="V483" s="184"/>
      <c r="W483" s="184"/>
    </row>
    <row r="484">
      <c r="D484" s="19"/>
      <c r="G484" s="19"/>
      <c r="I484" s="19"/>
      <c r="J484" s="194"/>
      <c r="L484" s="194"/>
      <c r="V484" s="184"/>
      <c r="W484" s="184"/>
    </row>
    <row r="485">
      <c r="D485" s="19"/>
      <c r="G485" s="19"/>
      <c r="I485" s="19"/>
      <c r="J485" s="194"/>
      <c r="L485" s="194"/>
      <c r="V485" s="184"/>
      <c r="W485" s="184"/>
    </row>
    <row r="486">
      <c r="D486" s="19"/>
      <c r="G486" s="19"/>
      <c r="I486" s="19"/>
      <c r="J486" s="194"/>
      <c r="L486" s="194"/>
      <c r="V486" s="184"/>
      <c r="W486" s="184"/>
    </row>
    <row r="487">
      <c r="D487" s="19"/>
      <c r="G487" s="19"/>
      <c r="I487" s="19"/>
      <c r="J487" s="194"/>
      <c r="L487" s="194"/>
      <c r="V487" s="184"/>
      <c r="W487" s="184"/>
    </row>
    <row r="488">
      <c r="D488" s="19"/>
      <c r="G488" s="19"/>
      <c r="I488" s="19"/>
      <c r="J488" s="194"/>
      <c r="L488" s="194"/>
      <c r="V488" s="184"/>
      <c r="W488" s="184"/>
    </row>
    <row r="489">
      <c r="D489" s="19"/>
      <c r="G489" s="19"/>
      <c r="I489" s="19"/>
      <c r="J489" s="194"/>
      <c r="L489" s="194"/>
      <c r="V489" s="184"/>
      <c r="W489" s="184"/>
    </row>
    <row r="490">
      <c r="D490" s="19"/>
      <c r="G490" s="19"/>
      <c r="I490" s="19"/>
      <c r="J490" s="194"/>
      <c r="L490" s="194"/>
      <c r="V490" s="184"/>
      <c r="W490" s="184"/>
    </row>
    <row r="491">
      <c r="D491" s="19"/>
      <c r="G491" s="19"/>
      <c r="I491" s="19"/>
      <c r="J491" s="194"/>
      <c r="L491" s="194"/>
      <c r="V491" s="184"/>
      <c r="W491" s="184"/>
    </row>
    <row r="492">
      <c r="D492" s="19"/>
      <c r="G492" s="19"/>
      <c r="I492" s="19"/>
      <c r="J492" s="194"/>
      <c r="L492" s="194"/>
      <c r="V492" s="184"/>
      <c r="W492" s="184"/>
    </row>
    <row r="493">
      <c r="D493" s="19"/>
      <c r="G493" s="19"/>
      <c r="I493" s="19"/>
      <c r="J493" s="194"/>
      <c r="L493" s="194"/>
      <c r="V493" s="184"/>
      <c r="W493" s="184"/>
    </row>
    <row r="494">
      <c r="D494" s="19"/>
      <c r="G494" s="19"/>
      <c r="I494" s="19"/>
      <c r="J494" s="194"/>
      <c r="L494" s="194"/>
      <c r="V494" s="184"/>
      <c r="W494" s="184"/>
    </row>
    <row r="495">
      <c r="D495" s="19"/>
      <c r="G495" s="19"/>
      <c r="I495" s="19"/>
      <c r="J495" s="194"/>
      <c r="L495" s="194"/>
      <c r="V495" s="184"/>
      <c r="W495" s="184"/>
    </row>
    <row r="496">
      <c r="D496" s="19"/>
      <c r="G496" s="19"/>
      <c r="I496" s="19"/>
      <c r="J496" s="194"/>
      <c r="L496" s="194"/>
      <c r="V496" s="184"/>
      <c r="W496" s="184"/>
    </row>
    <row r="497">
      <c r="D497" s="19"/>
      <c r="G497" s="19"/>
      <c r="I497" s="19"/>
      <c r="J497" s="194"/>
      <c r="L497" s="194"/>
      <c r="V497" s="184"/>
      <c r="W497" s="184"/>
    </row>
    <row r="498">
      <c r="D498" s="19"/>
      <c r="G498" s="19"/>
      <c r="I498" s="19"/>
      <c r="J498" s="194"/>
      <c r="L498" s="194"/>
      <c r="V498" s="184"/>
      <c r="W498" s="184"/>
    </row>
    <row r="499">
      <c r="D499" s="19"/>
      <c r="G499" s="19"/>
      <c r="I499" s="19"/>
      <c r="J499" s="194"/>
      <c r="L499" s="194"/>
      <c r="V499" s="184"/>
      <c r="W499" s="184"/>
    </row>
    <row r="500">
      <c r="D500" s="19"/>
      <c r="G500" s="19"/>
      <c r="I500" s="19"/>
      <c r="J500" s="194"/>
      <c r="L500" s="194"/>
      <c r="V500" s="184"/>
      <c r="W500" s="184"/>
    </row>
    <row r="501">
      <c r="D501" s="19"/>
      <c r="G501" s="19"/>
      <c r="I501" s="19"/>
      <c r="J501" s="194"/>
      <c r="L501" s="194"/>
      <c r="V501" s="184"/>
      <c r="W501" s="184"/>
    </row>
    <row r="502">
      <c r="D502" s="19"/>
      <c r="G502" s="19"/>
      <c r="I502" s="19"/>
      <c r="J502" s="194"/>
      <c r="L502" s="194"/>
      <c r="V502" s="184"/>
      <c r="W502" s="184"/>
    </row>
    <row r="503">
      <c r="D503" s="19"/>
      <c r="G503" s="19"/>
      <c r="I503" s="19"/>
      <c r="J503" s="194"/>
      <c r="L503" s="194"/>
      <c r="V503" s="184"/>
      <c r="W503" s="184"/>
    </row>
    <row r="504">
      <c r="D504" s="19"/>
      <c r="G504" s="19"/>
      <c r="I504" s="19"/>
      <c r="J504" s="194"/>
      <c r="L504" s="194"/>
      <c r="V504" s="184"/>
      <c r="W504" s="184"/>
    </row>
    <row r="505">
      <c r="D505" s="19"/>
      <c r="G505" s="19"/>
      <c r="I505" s="19"/>
      <c r="J505" s="194"/>
      <c r="L505" s="194"/>
      <c r="V505" s="184"/>
      <c r="W505" s="184"/>
    </row>
    <row r="506">
      <c r="D506" s="19"/>
      <c r="G506" s="19"/>
      <c r="I506" s="19"/>
      <c r="J506" s="194"/>
      <c r="L506" s="194"/>
      <c r="V506" s="184"/>
      <c r="W506" s="184"/>
    </row>
    <row r="507">
      <c r="D507" s="19"/>
      <c r="G507" s="19"/>
      <c r="I507" s="19"/>
      <c r="J507" s="194"/>
      <c r="L507" s="194"/>
      <c r="V507" s="184"/>
      <c r="W507" s="184"/>
    </row>
    <row r="508">
      <c r="D508" s="19"/>
      <c r="G508" s="19"/>
      <c r="I508" s="19"/>
      <c r="J508" s="194"/>
      <c r="L508" s="194"/>
      <c r="V508" s="184"/>
      <c r="W508" s="184"/>
    </row>
    <row r="509">
      <c r="D509" s="19"/>
      <c r="G509" s="19"/>
      <c r="I509" s="19"/>
      <c r="J509" s="194"/>
      <c r="L509" s="194"/>
      <c r="V509" s="184"/>
      <c r="W509" s="184"/>
    </row>
    <row r="510">
      <c r="D510" s="19"/>
      <c r="G510" s="19"/>
      <c r="I510" s="19"/>
      <c r="J510" s="194"/>
      <c r="L510" s="194"/>
      <c r="V510" s="184"/>
      <c r="W510" s="184"/>
    </row>
    <row r="511">
      <c r="D511" s="19"/>
      <c r="G511" s="19"/>
      <c r="I511" s="19"/>
      <c r="J511" s="194"/>
      <c r="L511" s="194"/>
      <c r="V511" s="184"/>
      <c r="W511" s="184"/>
    </row>
    <row r="512">
      <c r="D512" s="19"/>
      <c r="G512" s="19"/>
      <c r="I512" s="19"/>
      <c r="J512" s="194"/>
      <c r="L512" s="194"/>
      <c r="V512" s="184"/>
      <c r="W512" s="184"/>
    </row>
    <row r="513">
      <c r="D513" s="19"/>
      <c r="G513" s="19"/>
      <c r="I513" s="19"/>
      <c r="J513" s="194"/>
      <c r="L513" s="194"/>
      <c r="V513" s="184"/>
      <c r="W513" s="184"/>
    </row>
    <row r="514">
      <c r="D514" s="19"/>
      <c r="G514" s="19"/>
      <c r="I514" s="19"/>
      <c r="J514" s="194"/>
      <c r="L514" s="194"/>
      <c r="V514" s="184"/>
      <c r="W514" s="184"/>
    </row>
    <row r="515">
      <c r="D515" s="19"/>
      <c r="G515" s="19"/>
      <c r="I515" s="19"/>
      <c r="J515" s="194"/>
      <c r="L515" s="194"/>
      <c r="V515" s="184"/>
      <c r="W515" s="184"/>
    </row>
    <row r="516">
      <c r="D516" s="19"/>
      <c r="G516" s="19"/>
      <c r="I516" s="19"/>
      <c r="J516" s="194"/>
      <c r="L516" s="194"/>
      <c r="V516" s="184"/>
      <c r="W516" s="184"/>
    </row>
    <row r="517">
      <c r="D517" s="19"/>
      <c r="G517" s="19"/>
      <c r="I517" s="19"/>
      <c r="J517" s="194"/>
      <c r="L517" s="194"/>
      <c r="V517" s="184"/>
      <c r="W517" s="184"/>
    </row>
    <row r="518">
      <c r="D518" s="19"/>
      <c r="G518" s="19"/>
      <c r="I518" s="19"/>
      <c r="J518" s="194"/>
      <c r="L518" s="194"/>
      <c r="V518" s="184"/>
      <c r="W518" s="184"/>
    </row>
    <row r="519">
      <c r="D519" s="19"/>
      <c r="G519" s="19"/>
      <c r="I519" s="19"/>
      <c r="J519" s="194"/>
      <c r="L519" s="194"/>
      <c r="V519" s="184"/>
      <c r="W519" s="184"/>
    </row>
    <row r="520">
      <c r="D520" s="19"/>
      <c r="G520" s="19"/>
      <c r="I520" s="19"/>
      <c r="J520" s="194"/>
      <c r="L520" s="194"/>
      <c r="V520" s="184"/>
      <c r="W520" s="184"/>
    </row>
    <row r="521">
      <c r="D521" s="19"/>
      <c r="G521" s="19"/>
      <c r="I521" s="19"/>
      <c r="J521" s="194"/>
      <c r="L521" s="194"/>
      <c r="V521" s="184"/>
      <c r="W521" s="184"/>
    </row>
    <row r="522">
      <c r="D522" s="19"/>
      <c r="G522" s="19"/>
      <c r="I522" s="19"/>
      <c r="J522" s="194"/>
      <c r="L522" s="194"/>
      <c r="V522" s="184"/>
      <c r="W522" s="184"/>
    </row>
    <row r="523">
      <c r="D523" s="19"/>
      <c r="G523" s="19"/>
      <c r="I523" s="19"/>
      <c r="J523" s="194"/>
      <c r="L523" s="194"/>
      <c r="V523" s="184"/>
      <c r="W523" s="184"/>
    </row>
    <row r="524">
      <c r="D524" s="19"/>
      <c r="G524" s="19"/>
      <c r="I524" s="19"/>
      <c r="J524" s="194"/>
      <c r="L524" s="194"/>
      <c r="V524" s="184"/>
      <c r="W524" s="184"/>
    </row>
    <row r="525">
      <c r="D525" s="19"/>
      <c r="G525" s="19"/>
      <c r="I525" s="19"/>
      <c r="J525" s="194"/>
      <c r="L525" s="194"/>
      <c r="V525" s="184"/>
      <c r="W525" s="184"/>
    </row>
    <row r="526">
      <c r="D526" s="19"/>
      <c r="G526" s="19"/>
      <c r="I526" s="19"/>
      <c r="J526" s="194"/>
      <c r="L526" s="194"/>
      <c r="V526" s="184"/>
      <c r="W526" s="184"/>
    </row>
    <row r="527">
      <c r="D527" s="19"/>
      <c r="G527" s="19"/>
      <c r="I527" s="19"/>
      <c r="J527" s="194"/>
      <c r="L527" s="194"/>
      <c r="V527" s="184"/>
      <c r="W527" s="184"/>
    </row>
    <row r="528">
      <c r="D528" s="19"/>
      <c r="G528" s="19"/>
      <c r="I528" s="19"/>
      <c r="J528" s="194"/>
      <c r="L528" s="194"/>
      <c r="V528" s="184"/>
      <c r="W528" s="184"/>
    </row>
    <row r="529">
      <c r="D529" s="19"/>
      <c r="G529" s="19"/>
      <c r="I529" s="19"/>
      <c r="J529" s="194"/>
      <c r="L529" s="194"/>
      <c r="V529" s="184"/>
      <c r="W529" s="184"/>
    </row>
    <row r="530">
      <c r="D530" s="19"/>
      <c r="G530" s="19"/>
      <c r="I530" s="19"/>
      <c r="J530" s="194"/>
      <c r="L530" s="194"/>
      <c r="V530" s="184"/>
      <c r="W530" s="184"/>
    </row>
    <row r="531">
      <c r="D531" s="19"/>
      <c r="G531" s="19"/>
      <c r="I531" s="19"/>
      <c r="J531" s="194"/>
      <c r="L531" s="194"/>
      <c r="V531" s="184"/>
      <c r="W531" s="184"/>
    </row>
    <row r="532">
      <c r="D532" s="19"/>
      <c r="G532" s="19"/>
      <c r="I532" s="19"/>
      <c r="J532" s="194"/>
      <c r="L532" s="194"/>
      <c r="V532" s="184"/>
      <c r="W532" s="184"/>
    </row>
    <row r="533">
      <c r="D533" s="19"/>
      <c r="G533" s="19"/>
      <c r="I533" s="19"/>
      <c r="J533" s="194"/>
      <c r="L533" s="194"/>
      <c r="V533" s="184"/>
      <c r="W533" s="184"/>
    </row>
    <row r="534">
      <c r="D534" s="19"/>
      <c r="G534" s="19"/>
      <c r="I534" s="19"/>
      <c r="J534" s="194"/>
      <c r="L534" s="194"/>
      <c r="V534" s="184"/>
      <c r="W534" s="184"/>
    </row>
    <row r="535">
      <c r="D535" s="19"/>
      <c r="G535" s="19"/>
      <c r="I535" s="19"/>
      <c r="J535" s="194"/>
      <c r="L535" s="194"/>
      <c r="V535" s="184"/>
      <c r="W535" s="184"/>
    </row>
    <row r="536">
      <c r="D536" s="19"/>
      <c r="G536" s="19"/>
      <c r="I536" s="19"/>
      <c r="J536" s="194"/>
      <c r="L536" s="194"/>
      <c r="V536" s="184"/>
      <c r="W536" s="184"/>
    </row>
    <row r="537">
      <c r="D537" s="19"/>
      <c r="G537" s="19"/>
      <c r="I537" s="19"/>
      <c r="J537" s="194"/>
      <c r="L537" s="194"/>
      <c r="V537" s="184"/>
      <c r="W537" s="184"/>
    </row>
    <row r="538">
      <c r="D538" s="19"/>
      <c r="G538" s="19"/>
      <c r="I538" s="19"/>
      <c r="J538" s="194"/>
      <c r="L538" s="194"/>
      <c r="V538" s="184"/>
      <c r="W538" s="184"/>
    </row>
    <row r="539">
      <c r="D539" s="19"/>
      <c r="G539" s="19"/>
      <c r="I539" s="19"/>
      <c r="J539" s="194"/>
      <c r="L539" s="194"/>
      <c r="V539" s="184"/>
      <c r="W539" s="184"/>
    </row>
    <row r="540">
      <c r="D540" s="19"/>
      <c r="G540" s="19"/>
      <c r="I540" s="19"/>
      <c r="J540" s="194"/>
      <c r="L540" s="194"/>
      <c r="V540" s="184"/>
      <c r="W540" s="184"/>
    </row>
    <row r="541">
      <c r="D541" s="19"/>
      <c r="G541" s="19"/>
      <c r="I541" s="19"/>
      <c r="J541" s="194"/>
      <c r="L541" s="194"/>
      <c r="V541" s="184"/>
      <c r="W541" s="184"/>
    </row>
    <row r="542">
      <c r="D542" s="19"/>
      <c r="G542" s="19"/>
      <c r="I542" s="19"/>
      <c r="J542" s="194"/>
      <c r="L542" s="194"/>
      <c r="V542" s="184"/>
      <c r="W542" s="184"/>
    </row>
    <row r="543">
      <c r="D543" s="19"/>
      <c r="G543" s="19"/>
      <c r="I543" s="19"/>
      <c r="J543" s="194"/>
      <c r="L543" s="194"/>
      <c r="V543" s="184"/>
      <c r="W543" s="184"/>
    </row>
    <row r="544">
      <c r="D544" s="19"/>
      <c r="G544" s="19"/>
      <c r="I544" s="19"/>
      <c r="J544" s="194"/>
      <c r="L544" s="194"/>
      <c r="V544" s="184"/>
      <c r="W544" s="184"/>
    </row>
    <row r="545">
      <c r="D545" s="19"/>
      <c r="G545" s="19"/>
      <c r="I545" s="19"/>
      <c r="J545" s="194"/>
      <c r="L545" s="194"/>
      <c r="V545" s="184"/>
      <c r="W545" s="184"/>
    </row>
    <row r="546">
      <c r="D546" s="19"/>
      <c r="G546" s="19"/>
      <c r="I546" s="19"/>
      <c r="J546" s="194"/>
      <c r="L546" s="194"/>
      <c r="V546" s="184"/>
      <c r="W546" s="184"/>
    </row>
    <row r="547">
      <c r="D547" s="19"/>
      <c r="G547" s="19"/>
      <c r="I547" s="19"/>
      <c r="J547" s="194"/>
      <c r="L547" s="194"/>
      <c r="V547" s="184"/>
      <c r="W547" s="184"/>
    </row>
    <row r="548">
      <c r="D548" s="19"/>
      <c r="G548" s="19"/>
      <c r="I548" s="19"/>
      <c r="J548" s="194"/>
      <c r="L548" s="194"/>
      <c r="V548" s="184"/>
      <c r="W548" s="184"/>
    </row>
    <row r="549">
      <c r="D549" s="19"/>
      <c r="G549" s="19"/>
      <c r="I549" s="19"/>
      <c r="J549" s="194"/>
      <c r="L549" s="194"/>
      <c r="V549" s="184"/>
      <c r="W549" s="184"/>
    </row>
    <row r="550">
      <c r="D550" s="19"/>
      <c r="G550" s="19"/>
      <c r="I550" s="19"/>
      <c r="J550" s="194"/>
      <c r="L550" s="194"/>
      <c r="V550" s="184"/>
      <c r="W550" s="184"/>
    </row>
    <row r="551">
      <c r="D551" s="19"/>
      <c r="G551" s="19"/>
      <c r="I551" s="19"/>
      <c r="J551" s="194"/>
      <c r="L551" s="194"/>
      <c r="V551" s="184"/>
      <c r="W551" s="184"/>
    </row>
    <row r="552">
      <c r="D552" s="19"/>
      <c r="G552" s="19"/>
      <c r="I552" s="19"/>
      <c r="J552" s="194"/>
      <c r="L552" s="194"/>
      <c r="V552" s="184"/>
      <c r="W552" s="184"/>
    </row>
    <row r="553">
      <c r="D553" s="19"/>
      <c r="G553" s="19"/>
      <c r="I553" s="19"/>
      <c r="J553" s="194"/>
      <c r="L553" s="194"/>
      <c r="V553" s="184"/>
      <c r="W553" s="184"/>
    </row>
    <row r="554">
      <c r="D554" s="19"/>
      <c r="G554" s="19"/>
      <c r="I554" s="19"/>
      <c r="J554" s="194"/>
      <c r="L554" s="194"/>
      <c r="V554" s="184"/>
      <c r="W554" s="184"/>
    </row>
    <row r="555">
      <c r="D555" s="19"/>
      <c r="G555" s="19"/>
      <c r="I555" s="19"/>
      <c r="J555" s="194"/>
      <c r="L555" s="194"/>
      <c r="V555" s="184"/>
      <c r="W555" s="184"/>
    </row>
    <row r="556">
      <c r="D556" s="19"/>
      <c r="G556" s="19"/>
      <c r="I556" s="19"/>
      <c r="J556" s="194"/>
      <c r="L556" s="194"/>
      <c r="V556" s="184"/>
      <c r="W556" s="184"/>
    </row>
    <row r="557">
      <c r="D557" s="19"/>
      <c r="G557" s="19"/>
      <c r="I557" s="19"/>
      <c r="J557" s="194"/>
      <c r="L557" s="194"/>
      <c r="V557" s="184"/>
      <c r="W557" s="184"/>
    </row>
    <row r="558">
      <c r="D558" s="19"/>
      <c r="G558" s="19"/>
      <c r="I558" s="19"/>
      <c r="J558" s="194"/>
      <c r="L558" s="194"/>
      <c r="V558" s="184"/>
      <c r="W558" s="184"/>
    </row>
    <row r="559">
      <c r="D559" s="19"/>
      <c r="G559" s="19"/>
      <c r="I559" s="19"/>
      <c r="J559" s="194"/>
      <c r="L559" s="194"/>
      <c r="V559" s="184"/>
      <c r="W559" s="184"/>
    </row>
    <row r="560">
      <c r="D560" s="19"/>
      <c r="G560" s="19"/>
      <c r="I560" s="19"/>
      <c r="J560" s="194"/>
      <c r="L560" s="194"/>
      <c r="V560" s="184"/>
      <c r="W560" s="184"/>
    </row>
    <row r="561">
      <c r="D561" s="19"/>
      <c r="G561" s="19"/>
      <c r="I561" s="19"/>
      <c r="J561" s="194"/>
      <c r="L561" s="194"/>
      <c r="V561" s="184"/>
      <c r="W561" s="184"/>
    </row>
    <row r="562">
      <c r="D562" s="19"/>
      <c r="G562" s="19"/>
      <c r="I562" s="19"/>
      <c r="J562" s="194"/>
      <c r="L562" s="194"/>
      <c r="V562" s="184"/>
      <c r="W562" s="184"/>
    </row>
    <row r="563">
      <c r="D563" s="19"/>
      <c r="G563" s="19"/>
      <c r="I563" s="19"/>
      <c r="J563" s="194"/>
      <c r="L563" s="194"/>
      <c r="V563" s="184"/>
      <c r="W563" s="184"/>
    </row>
    <row r="564">
      <c r="D564" s="19"/>
      <c r="G564" s="19"/>
      <c r="I564" s="19"/>
      <c r="J564" s="194"/>
      <c r="L564" s="194"/>
      <c r="V564" s="184"/>
      <c r="W564" s="184"/>
    </row>
    <row r="565">
      <c r="D565" s="19"/>
      <c r="G565" s="19"/>
      <c r="I565" s="19"/>
      <c r="J565" s="194"/>
      <c r="L565" s="194"/>
      <c r="V565" s="184"/>
      <c r="W565" s="184"/>
    </row>
    <row r="566">
      <c r="D566" s="19"/>
      <c r="G566" s="19"/>
      <c r="I566" s="19"/>
      <c r="J566" s="194"/>
      <c r="L566" s="194"/>
      <c r="V566" s="184"/>
      <c r="W566" s="184"/>
    </row>
    <row r="567">
      <c r="D567" s="19"/>
      <c r="G567" s="19"/>
      <c r="I567" s="19"/>
      <c r="J567" s="194"/>
      <c r="L567" s="194"/>
      <c r="V567" s="184"/>
      <c r="W567" s="184"/>
    </row>
    <row r="568">
      <c r="D568" s="19"/>
      <c r="G568" s="19"/>
      <c r="I568" s="19"/>
      <c r="J568" s="194"/>
      <c r="L568" s="194"/>
      <c r="V568" s="184"/>
      <c r="W568" s="184"/>
    </row>
    <row r="569">
      <c r="D569" s="19"/>
      <c r="G569" s="19"/>
      <c r="I569" s="19"/>
      <c r="J569" s="194"/>
      <c r="L569" s="194"/>
      <c r="V569" s="184"/>
      <c r="W569" s="184"/>
    </row>
    <row r="570">
      <c r="D570" s="19"/>
      <c r="G570" s="19"/>
      <c r="I570" s="19"/>
      <c r="J570" s="194"/>
      <c r="L570" s="194"/>
      <c r="V570" s="184"/>
      <c r="W570" s="184"/>
    </row>
    <row r="571">
      <c r="D571" s="19"/>
      <c r="G571" s="19"/>
      <c r="I571" s="19"/>
      <c r="J571" s="194"/>
      <c r="L571" s="194"/>
      <c r="V571" s="184"/>
      <c r="W571" s="184"/>
    </row>
    <row r="572">
      <c r="D572" s="19"/>
      <c r="G572" s="19"/>
      <c r="I572" s="19"/>
      <c r="J572" s="194"/>
      <c r="L572" s="194"/>
      <c r="V572" s="184"/>
      <c r="W572" s="184"/>
    </row>
    <row r="573">
      <c r="D573" s="19"/>
      <c r="G573" s="19"/>
      <c r="I573" s="19"/>
      <c r="J573" s="194"/>
      <c r="L573" s="194"/>
      <c r="V573" s="184"/>
      <c r="W573" s="184"/>
    </row>
    <row r="574">
      <c r="D574" s="19"/>
      <c r="G574" s="19"/>
      <c r="I574" s="19"/>
      <c r="J574" s="194"/>
      <c r="L574" s="194"/>
      <c r="V574" s="184"/>
      <c r="W574" s="184"/>
    </row>
    <row r="575">
      <c r="D575" s="19"/>
      <c r="G575" s="19"/>
      <c r="I575" s="19"/>
      <c r="J575" s="194"/>
      <c r="L575" s="194"/>
      <c r="V575" s="184"/>
      <c r="W575" s="184"/>
    </row>
    <row r="576">
      <c r="D576" s="19"/>
      <c r="G576" s="19"/>
      <c r="I576" s="19"/>
      <c r="J576" s="194"/>
      <c r="L576" s="194"/>
      <c r="V576" s="184"/>
      <c r="W576" s="184"/>
    </row>
    <row r="577">
      <c r="D577" s="19"/>
      <c r="G577" s="19"/>
      <c r="I577" s="19"/>
      <c r="J577" s="194"/>
      <c r="L577" s="194"/>
      <c r="V577" s="184"/>
      <c r="W577" s="184"/>
    </row>
    <row r="578">
      <c r="D578" s="19"/>
      <c r="G578" s="19"/>
      <c r="I578" s="19"/>
      <c r="J578" s="194"/>
      <c r="L578" s="194"/>
      <c r="V578" s="184"/>
      <c r="W578" s="184"/>
    </row>
    <row r="579">
      <c r="D579" s="19"/>
      <c r="G579" s="19"/>
      <c r="I579" s="19"/>
      <c r="J579" s="194"/>
      <c r="L579" s="194"/>
      <c r="V579" s="184"/>
      <c r="W579" s="184"/>
    </row>
    <row r="580">
      <c r="D580" s="19"/>
      <c r="G580" s="19"/>
      <c r="I580" s="19"/>
      <c r="J580" s="194"/>
      <c r="L580" s="194"/>
      <c r="V580" s="184"/>
      <c r="W580" s="184"/>
    </row>
    <row r="581">
      <c r="D581" s="19"/>
      <c r="G581" s="19"/>
      <c r="I581" s="19"/>
      <c r="J581" s="194"/>
      <c r="L581" s="194"/>
      <c r="V581" s="184"/>
      <c r="W581" s="184"/>
    </row>
    <row r="582">
      <c r="D582" s="19"/>
      <c r="G582" s="19"/>
      <c r="I582" s="19"/>
      <c r="J582" s="194"/>
      <c r="L582" s="194"/>
      <c r="V582" s="184"/>
      <c r="W582" s="184"/>
    </row>
    <row r="583">
      <c r="D583" s="19"/>
      <c r="G583" s="19"/>
      <c r="I583" s="19"/>
      <c r="J583" s="194"/>
      <c r="L583" s="194"/>
      <c r="V583" s="184"/>
      <c r="W583" s="184"/>
    </row>
    <row r="584">
      <c r="D584" s="19"/>
      <c r="G584" s="19"/>
      <c r="I584" s="19"/>
      <c r="J584" s="194"/>
      <c r="L584" s="194"/>
      <c r="V584" s="184"/>
      <c r="W584" s="184"/>
    </row>
    <row r="585">
      <c r="D585" s="19"/>
      <c r="G585" s="19"/>
      <c r="I585" s="19"/>
      <c r="J585" s="194"/>
      <c r="L585" s="194"/>
      <c r="V585" s="184"/>
      <c r="W585" s="184"/>
    </row>
    <row r="586">
      <c r="D586" s="19"/>
      <c r="G586" s="19"/>
      <c r="I586" s="19"/>
      <c r="J586" s="194"/>
      <c r="L586" s="194"/>
      <c r="V586" s="184"/>
      <c r="W586" s="184"/>
    </row>
    <row r="587">
      <c r="D587" s="19"/>
      <c r="G587" s="19"/>
      <c r="I587" s="19"/>
      <c r="J587" s="194"/>
      <c r="L587" s="194"/>
      <c r="V587" s="184"/>
      <c r="W587" s="184"/>
    </row>
    <row r="588">
      <c r="D588" s="19"/>
      <c r="G588" s="19"/>
      <c r="I588" s="19"/>
      <c r="J588" s="194"/>
      <c r="L588" s="194"/>
      <c r="V588" s="184"/>
      <c r="W588" s="184"/>
    </row>
    <row r="589">
      <c r="D589" s="19"/>
      <c r="G589" s="19"/>
      <c r="I589" s="19"/>
      <c r="J589" s="194"/>
      <c r="L589" s="194"/>
      <c r="V589" s="184"/>
      <c r="W589" s="184"/>
    </row>
    <row r="590">
      <c r="D590" s="19"/>
      <c r="G590" s="19"/>
      <c r="I590" s="19"/>
      <c r="J590" s="194"/>
      <c r="L590" s="194"/>
      <c r="V590" s="184"/>
      <c r="W590" s="184"/>
    </row>
    <row r="591">
      <c r="D591" s="19"/>
      <c r="G591" s="19"/>
      <c r="I591" s="19"/>
      <c r="J591" s="194"/>
      <c r="L591" s="194"/>
      <c r="V591" s="184"/>
      <c r="W591" s="184"/>
    </row>
    <row r="592">
      <c r="D592" s="19"/>
      <c r="G592" s="19"/>
      <c r="I592" s="19"/>
      <c r="J592" s="194"/>
      <c r="L592" s="194"/>
      <c r="V592" s="184"/>
      <c r="W592" s="184"/>
    </row>
    <row r="593">
      <c r="D593" s="19"/>
      <c r="G593" s="19"/>
      <c r="I593" s="19"/>
      <c r="J593" s="194"/>
      <c r="L593" s="194"/>
      <c r="V593" s="184"/>
      <c r="W593" s="184"/>
    </row>
    <row r="594">
      <c r="D594" s="19"/>
      <c r="G594" s="19"/>
      <c r="I594" s="19"/>
      <c r="J594" s="194"/>
      <c r="L594" s="194"/>
      <c r="V594" s="184"/>
      <c r="W594" s="184"/>
    </row>
    <row r="595">
      <c r="D595" s="19"/>
      <c r="G595" s="19"/>
      <c r="I595" s="19"/>
      <c r="J595" s="194"/>
      <c r="L595" s="194"/>
      <c r="V595" s="184"/>
      <c r="W595" s="184"/>
    </row>
    <row r="596">
      <c r="D596" s="19"/>
      <c r="G596" s="19"/>
      <c r="I596" s="19"/>
      <c r="J596" s="194"/>
      <c r="L596" s="194"/>
      <c r="V596" s="184"/>
      <c r="W596" s="184"/>
    </row>
    <row r="597">
      <c r="D597" s="19"/>
      <c r="G597" s="19"/>
      <c r="I597" s="19"/>
      <c r="J597" s="194"/>
      <c r="L597" s="194"/>
      <c r="V597" s="184"/>
      <c r="W597" s="184"/>
    </row>
    <row r="598">
      <c r="D598" s="19"/>
      <c r="G598" s="19"/>
      <c r="I598" s="19"/>
      <c r="J598" s="194"/>
      <c r="L598" s="194"/>
      <c r="V598" s="184"/>
      <c r="W598" s="184"/>
    </row>
    <row r="599">
      <c r="D599" s="19"/>
      <c r="G599" s="19"/>
      <c r="I599" s="19"/>
      <c r="J599" s="194"/>
      <c r="L599" s="194"/>
      <c r="V599" s="184"/>
      <c r="W599" s="184"/>
    </row>
    <row r="600">
      <c r="D600" s="19"/>
      <c r="G600" s="19"/>
      <c r="I600" s="19"/>
      <c r="J600" s="194"/>
      <c r="L600" s="194"/>
      <c r="V600" s="184"/>
      <c r="W600" s="184"/>
    </row>
    <row r="601">
      <c r="D601" s="19"/>
      <c r="G601" s="19"/>
      <c r="I601" s="19"/>
      <c r="J601" s="194"/>
      <c r="L601" s="194"/>
      <c r="V601" s="184"/>
      <c r="W601" s="184"/>
    </row>
    <row r="602">
      <c r="D602" s="19"/>
      <c r="G602" s="19"/>
      <c r="I602" s="19"/>
      <c r="J602" s="194"/>
      <c r="L602" s="194"/>
      <c r="V602" s="184"/>
      <c r="W602" s="184"/>
    </row>
    <row r="603">
      <c r="D603" s="19"/>
      <c r="G603" s="19"/>
      <c r="I603" s="19"/>
      <c r="J603" s="194"/>
      <c r="L603" s="194"/>
      <c r="V603" s="184"/>
      <c r="W603" s="184"/>
    </row>
    <row r="604">
      <c r="D604" s="19"/>
      <c r="G604" s="19"/>
      <c r="I604" s="19"/>
      <c r="J604" s="194"/>
      <c r="L604" s="194"/>
      <c r="V604" s="184"/>
      <c r="W604" s="184"/>
    </row>
    <row r="605">
      <c r="D605" s="19"/>
      <c r="G605" s="19"/>
      <c r="I605" s="19"/>
      <c r="J605" s="194"/>
      <c r="L605" s="194"/>
      <c r="V605" s="184"/>
      <c r="W605" s="184"/>
    </row>
    <row r="606">
      <c r="D606" s="19"/>
      <c r="G606" s="19"/>
      <c r="I606" s="19"/>
      <c r="J606" s="194"/>
      <c r="L606" s="194"/>
      <c r="V606" s="184"/>
      <c r="W606" s="184"/>
    </row>
    <row r="607">
      <c r="D607" s="19"/>
      <c r="G607" s="19"/>
      <c r="I607" s="19"/>
      <c r="J607" s="194"/>
      <c r="L607" s="194"/>
      <c r="V607" s="184"/>
      <c r="W607" s="184"/>
    </row>
    <row r="608">
      <c r="D608" s="19"/>
      <c r="G608" s="19"/>
      <c r="I608" s="19"/>
      <c r="J608" s="194"/>
      <c r="L608" s="194"/>
      <c r="V608" s="184"/>
      <c r="W608" s="184"/>
    </row>
    <row r="609">
      <c r="D609" s="19"/>
      <c r="G609" s="19"/>
      <c r="I609" s="19"/>
      <c r="J609" s="194"/>
      <c r="L609" s="194"/>
      <c r="V609" s="184"/>
      <c r="W609" s="184"/>
    </row>
    <row r="610">
      <c r="D610" s="19"/>
      <c r="G610" s="19"/>
      <c r="I610" s="19"/>
      <c r="J610" s="194"/>
      <c r="L610" s="194"/>
      <c r="V610" s="184"/>
      <c r="W610" s="184"/>
    </row>
    <row r="611">
      <c r="D611" s="19"/>
      <c r="G611" s="19"/>
      <c r="I611" s="19"/>
      <c r="J611" s="194"/>
      <c r="L611" s="194"/>
      <c r="V611" s="184"/>
      <c r="W611" s="184"/>
    </row>
    <row r="612">
      <c r="D612" s="19"/>
      <c r="G612" s="19"/>
      <c r="I612" s="19"/>
      <c r="J612" s="194"/>
      <c r="L612" s="194"/>
      <c r="V612" s="184"/>
      <c r="W612" s="184"/>
    </row>
    <row r="613">
      <c r="D613" s="19"/>
      <c r="G613" s="19"/>
      <c r="I613" s="19"/>
      <c r="J613" s="194"/>
      <c r="L613" s="194"/>
      <c r="V613" s="184"/>
      <c r="W613" s="184"/>
    </row>
    <row r="614">
      <c r="D614" s="19"/>
      <c r="G614" s="19"/>
      <c r="I614" s="19"/>
      <c r="J614" s="194"/>
      <c r="L614" s="194"/>
      <c r="V614" s="184"/>
      <c r="W614" s="184"/>
    </row>
    <row r="615">
      <c r="D615" s="19"/>
      <c r="G615" s="19"/>
      <c r="I615" s="19"/>
      <c r="J615" s="194"/>
      <c r="L615" s="194"/>
      <c r="V615" s="184"/>
      <c r="W615" s="184"/>
    </row>
    <row r="616">
      <c r="D616" s="19"/>
      <c r="G616" s="19"/>
      <c r="I616" s="19"/>
      <c r="J616" s="194"/>
      <c r="L616" s="194"/>
      <c r="V616" s="184"/>
      <c r="W616" s="184"/>
    </row>
    <row r="617">
      <c r="D617" s="19"/>
      <c r="G617" s="19"/>
      <c r="I617" s="19"/>
      <c r="J617" s="194"/>
      <c r="L617" s="194"/>
      <c r="V617" s="184"/>
      <c r="W617" s="184"/>
    </row>
    <row r="618">
      <c r="D618" s="19"/>
      <c r="G618" s="19"/>
      <c r="I618" s="19"/>
      <c r="J618" s="194"/>
      <c r="L618" s="194"/>
      <c r="V618" s="184"/>
      <c r="W618" s="184"/>
    </row>
    <row r="619">
      <c r="D619" s="19"/>
      <c r="G619" s="19"/>
      <c r="I619" s="19"/>
      <c r="J619" s="194"/>
      <c r="L619" s="194"/>
      <c r="V619" s="184"/>
      <c r="W619" s="184"/>
    </row>
    <row r="620">
      <c r="D620" s="19"/>
      <c r="G620" s="19"/>
      <c r="I620" s="19"/>
      <c r="J620" s="194"/>
      <c r="L620" s="194"/>
      <c r="V620" s="184"/>
      <c r="W620" s="184"/>
    </row>
    <row r="621">
      <c r="D621" s="19"/>
      <c r="G621" s="19"/>
      <c r="I621" s="19"/>
      <c r="J621" s="194"/>
      <c r="L621" s="194"/>
      <c r="V621" s="184"/>
      <c r="W621" s="184"/>
    </row>
    <row r="622">
      <c r="D622" s="19"/>
      <c r="G622" s="19"/>
      <c r="I622" s="19"/>
      <c r="J622" s="194"/>
      <c r="L622" s="194"/>
      <c r="V622" s="184"/>
      <c r="W622" s="184"/>
    </row>
    <row r="623">
      <c r="D623" s="19"/>
      <c r="G623" s="19"/>
      <c r="I623" s="19"/>
      <c r="J623" s="194"/>
      <c r="L623" s="194"/>
      <c r="V623" s="184"/>
      <c r="W623" s="184"/>
    </row>
    <row r="624">
      <c r="D624" s="19"/>
      <c r="G624" s="19"/>
      <c r="I624" s="19"/>
      <c r="J624" s="194"/>
      <c r="L624" s="194"/>
      <c r="V624" s="184"/>
      <c r="W624" s="184"/>
    </row>
    <row r="625">
      <c r="D625" s="19"/>
      <c r="G625" s="19"/>
      <c r="I625" s="19"/>
      <c r="J625" s="194"/>
      <c r="L625" s="194"/>
      <c r="V625" s="184"/>
      <c r="W625" s="184"/>
    </row>
    <row r="626">
      <c r="D626" s="19"/>
      <c r="G626" s="19"/>
      <c r="I626" s="19"/>
      <c r="J626" s="194"/>
      <c r="L626" s="194"/>
      <c r="V626" s="184"/>
      <c r="W626" s="184"/>
    </row>
    <row r="627">
      <c r="D627" s="19"/>
      <c r="G627" s="19"/>
      <c r="I627" s="19"/>
      <c r="J627" s="194"/>
      <c r="L627" s="194"/>
      <c r="V627" s="184"/>
      <c r="W627" s="184"/>
    </row>
    <row r="628">
      <c r="D628" s="19"/>
      <c r="G628" s="19"/>
      <c r="I628" s="19"/>
      <c r="J628" s="194"/>
      <c r="L628" s="194"/>
      <c r="V628" s="184"/>
      <c r="W628" s="184"/>
    </row>
    <row r="629">
      <c r="D629" s="19"/>
      <c r="G629" s="19"/>
      <c r="I629" s="19"/>
      <c r="J629" s="194"/>
      <c r="L629" s="194"/>
      <c r="V629" s="184"/>
      <c r="W629" s="184"/>
    </row>
    <row r="630">
      <c r="D630" s="19"/>
      <c r="G630" s="19"/>
      <c r="I630" s="19"/>
      <c r="J630" s="194"/>
      <c r="L630" s="194"/>
      <c r="V630" s="184"/>
      <c r="W630" s="184"/>
    </row>
    <row r="631">
      <c r="D631" s="19"/>
      <c r="G631" s="19"/>
      <c r="I631" s="19"/>
      <c r="J631" s="194"/>
      <c r="L631" s="194"/>
      <c r="V631" s="184"/>
      <c r="W631" s="184"/>
    </row>
    <row r="632">
      <c r="D632" s="19"/>
      <c r="G632" s="19"/>
      <c r="I632" s="19"/>
      <c r="J632" s="194"/>
      <c r="L632" s="194"/>
      <c r="V632" s="184"/>
      <c r="W632" s="184"/>
    </row>
    <row r="633">
      <c r="D633" s="19"/>
      <c r="G633" s="19"/>
      <c r="I633" s="19"/>
      <c r="J633" s="194"/>
      <c r="L633" s="194"/>
      <c r="V633" s="184"/>
      <c r="W633" s="184"/>
    </row>
    <row r="634">
      <c r="D634" s="19"/>
      <c r="G634" s="19"/>
      <c r="I634" s="19"/>
      <c r="J634" s="194"/>
      <c r="L634" s="194"/>
      <c r="V634" s="184"/>
      <c r="W634" s="184"/>
    </row>
    <row r="635">
      <c r="D635" s="19"/>
      <c r="G635" s="19"/>
      <c r="I635" s="19"/>
      <c r="J635" s="194"/>
      <c r="L635" s="194"/>
      <c r="V635" s="184"/>
      <c r="W635" s="184"/>
    </row>
    <row r="636">
      <c r="D636" s="19"/>
      <c r="G636" s="19"/>
      <c r="I636" s="19"/>
      <c r="J636" s="194"/>
      <c r="L636" s="194"/>
      <c r="V636" s="184"/>
      <c r="W636" s="184"/>
    </row>
    <row r="637">
      <c r="D637" s="19"/>
      <c r="G637" s="19"/>
      <c r="I637" s="19"/>
      <c r="J637" s="194"/>
      <c r="L637" s="194"/>
      <c r="V637" s="184"/>
      <c r="W637" s="184"/>
    </row>
    <row r="638">
      <c r="D638" s="19"/>
      <c r="G638" s="19"/>
      <c r="I638" s="19"/>
      <c r="J638" s="194"/>
      <c r="L638" s="194"/>
      <c r="V638" s="184"/>
      <c r="W638" s="184"/>
    </row>
    <row r="639">
      <c r="D639" s="19"/>
      <c r="G639" s="19"/>
      <c r="I639" s="19"/>
      <c r="J639" s="194"/>
      <c r="L639" s="194"/>
      <c r="V639" s="184"/>
      <c r="W639" s="184"/>
    </row>
    <row r="640">
      <c r="D640" s="19"/>
      <c r="G640" s="19"/>
      <c r="I640" s="19"/>
      <c r="J640" s="194"/>
      <c r="L640" s="194"/>
      <c r="V640" s="184"/>
      <c r="W640" s="184"/>
    </row>
    <row r="641">
      <c r="D641" s="19"/>
      <c r="G641" s="19"/>
      <c r="I641" s="19"/>
      <c r="J641" s="194"/>
      <c r="L641" s="194"/>
      <c r="V641" s="184"/>
      <c r="W641" s="184"/>
    </row>
    <row r="642">
      <c r="D642" s="19"/>
      <c r="G642" s="19"/>
      <c r="I642" s="19"/>
      <c r="J642" s="194"/>
      <c r="L642" s="194"/>
      <c r="V642" s="184"/>
      <c r="W642" s="184"/>
    </row>
    <row r="643">
      <c r="D643" s="19"/>
      <c r="G643" s="19"/>
      <c r="I643" s="19"/>
      <c r="J643" s="194"/>
      <c r="L643" s="194"/>
      <c r="V643" s="184"/>
      <c r="W643" s="184"/>
    </row>
    <row r="644">
      <c r="D644" s="19"/>
      <c r="G644" s="19"/>
      <c r="I644" s="19"/>
      <c r="J644" s="194"/>
      <c r="L644" s="194"/>
      <c r="V644" s="184"/>
      <c r="W644" s="184"/>
    </row>
    <row r="645">
      <c r="D645" s="19"/>
      <c r="G645" s="19"/>
      <c r="I645" s="19"/>
      <c r="J645" s="194"/>
      <c r="L645" s="194"/>
      <c r="V645" s="184"/>
      <c r="W645" s="184"/>
    </row>
    <row r="646">
      <c r="D646" s="19"/>
      <c r="G646" s="19"/>
      <c r="I646" s="19"/>
      <c r="J646" s="194"/>
      <c r="L646" s="194"/>
      <c r="V646" s="184"/>
      <c r="W646" s="184"/>
    </row>
    <row r="647">
      <c r="D647" s="19"/>
      <c r="G647" s="19"/>
      <c r="I647" s="19"/>
      <c r="J647" s="194"/>
      <c r="L647" s="194"/>
      <c r="V647" s="184"/>
      <c r="W647" s="184"/>
    </row>
    <row r="648">
      <c r="D648" s="19"/>
      <c r="G648" s="19"/>
      <c r="I648" s="19"/>
      <c r="J648" s="194"/>
      <c r="L648" s="194"/>
      <c r="V648" s="184"/>
      <c r="W648" s="184"/>
    </row>
    <row r="649">
      <c r="D649" s="19"/>
      <c r="G649" s="19"/>
      <c r="I649" s="19"/>
      <c r="J649" s="194"/>
      <c r="L649" s="194"/>
      <c r="V649" s="184"/>
      <c r="W649" s="184"/>
    </row>
    <row r="650">
      <c r="D650" s="19"/>
      <c r="G650" s="19"/>
      <c r="I650" s="19"/>
      <c r="J650" s="194"/>
      <c r="L650" s="194"/>
      <c r="V650" s="184"/>
      <c r="W650" s="184"/>
    </row>
    <row r="651">
      <c r="D651" s="19"/>
      <c r="G651" s="19"/>
      <c r="I651" s="19"/>
      <c r="J651" s="194"/>
      <c r="L651" s="194"/>
      <c r="V651" s="184"/>
      <c r="W651" s="184"/>
    </row>
    <row r="652">
      <c r="D652" s="19"/>
      <c r="G652" s="19"/>
      <c r="I652" s="19"/>
      <c r="J652" s="194"/>
      <c r="L652" s="194"/>
      <c r="V652" s="184"/>
      <c r="W652" s="184"/>
    </row>
    <row r="653">
      <c r="D653" s="19"/>
      <c r="G653" s="19"/>
      <c r="I653" s="19"/>
      <c r="J653" s="194"/>
      <c r="L653" s="194"/>
      <c r="V653" s="184"/>
      <c r="W653" s="184"/>
    </row>
    <row r="654">
      <c r="D654" s="19"/>
      <c r="G654" s="19"/>
      <c r="I654" s="19"/>
      <c r="J654" s="194"/>
      <c r="L654" s="194"/>
      <c r="V654" s="184"/>
      <c r="W654" s="184"/>
    </row>
    <row r="655">
      <c r="D655" s="19"/>
      <c r="G655" s="19"/>
      <c r="I655" s="19"/>
      <c r="J655" s="194"/>
      <c r="L655" s="194"/>
      <c r="V655" s="184"/>
      <c r="W655" s="184"/>
    </row>
    <row r="656">
      <c r="D656" s="19"/>
      <c r="G656" s="19"/>
      <c r="I656" s="19"/>
      <c r="J656" s="194"/>
      <c r="L656" s="194"/>
      <c r="V656" s="184"/>
      <c r="W656" s="184"/>
    </row>
    <row r="657">
      <c r="D657" s="19"/>
      <c r="G657" s="19"/>
      <c r="I657" s="19"/>
      <c r="J657" s="194"/>
      <c r="L657" s="194"/>
      <c r="V657" s="184"/>
      <c r="W657" s="184"/>
    </row>
    <row r="658">
      <c r="D658" s="19"/>
      <c r="G658" s="19"/>
      <c r="I658" s="19"/>
      <c r="J658" s="194"/>
      <c r="L658" s="194"/>
      <c r="V658" s="184"/>
      <c r="W658" s="184"/>
    </row>
    <row r="659">
      <c r="D659" s="19"/>
      <c r="G659" s="19"/>
      <c r="I659" s="19"/>
      <c r="J659" s="194"/>
      <c r="L659" s="194"/>
      <c r="V659" s="184"/>
      <c r="W659" s="184"/>
    </row>
    <row r="660">
      <c r="D660" s="19"/>
      <c r="G660" s="19"/>
      <c r="I660" s="19"/>
      <c r="J660" s="194"/>
      <c r="L660" s="194"/>
      <c r="V660" s="184"/>
      <c r="W660" s="184"/>
    </row>
    <row r="661">
      <c r="D661" s="19"/>
      <c r="G661" s="19"/>
      <c r="I661" s="19"/>
      <c r="J661" s="194"/>
      <c r="L661" s="194"/>
      <c r="V661" s="184"/>
      <c r="W661" s="184"/>
    </row>
    <row r="662">
      <c r="D662" s="19"/>
      <c r="G662" s="19"/>
      <c r="I662" s="19"/>
      <c r="J662" s="194"/>
      <c r="L662" s="194"/>
      <c r="V662" s="184"/>
      <c r="W662" s="184"/>
    </row>
    <row r="663">
      <c r="D663" s="19"/>
      <c r="G663" s="19"/>
      <c r="I663" s="19"/>
      <c r="J663" s="194"/>
      <c r="L663" s="194"/>
      <c r="V663" s="184"/>
      <c r="W663" s="184"/>
    </row>
    <row r="664">
      <c r="D664" s="19"/>
      <c r="G664" s="19"/>
      <c r="I664" s="19"/>
      <c r="J664" s="194"/>
      <c r="L664" s="194"/>
      <c r="V664" s="184"/>
      <c r="W664" s="184"/>
    </row>
    <row r="665">
      <c r="D665" s="19"/>
      <c r="G665" s="19"/>
      <c r="I665" s="19"/>
      <c r="J665" s="194"/>
      <c r="L665" s="194"/>
      <c r="V665" s="184"/>
      <c r="W665" s="184"/>
    </row>
    <row r="666">
      <c r="D666" s="19"/>
      <c r="G666" s="19"/>
      <c r="I666" s="19"/>
      <c r="J666" s="194"/>
      <c r="L666" s="194"/>
      <c r="V666" s="184"/>
      <c r="W666" s="184"/>
    </row>
    <row r="667">
      <c r="D667" s="19"/>
      <c r="G667" s="19"/>
      <c r="I667" s="19"/>
      <c r="J667" s="194"/>
      <c r="L667" s="194"/>
      <c r="V667" s="184"/>
      <c r="W667" s="184"/>
    </row>
    <row r="668">
      <c r="D668" s="19"/>
      <c r="G668" s="19"/>
      <c r="I668" s="19"/>
      <c r="J668" s="194"/>
      <c r="L668" s="194"/>
      <c r="V668" s="184"/>
      <c r="W668" s="184"/>
    </row>
    <row r="669">
      <c r="D669" s="19"/>
      <c r="G669" s="19"/>
      <c r="I669" s="19"/>
      <c r="J669" s="194"/>
      <c r="L669" s="194"/>
      <c r="V669" s="184"/>
      <c r="W669" s="184"/>
    </row>
    <row r="670">
      <c r="D670" s="19"/>
      <c r="G670" s="19"/>
      <c r="I670" s="19"/>
      <c r="J670" s="194"/>
      <c r="L670" s="194"/>
      <c r="V670" s="184"/>
      <c r="W670" s="184"/>
    </row>
    <row r="671">
      <c r="D671" s="19"/>
      <c r="G671" s="19"/>
      <c r="I671" s="19"/>
      <c r="J671" s="194"/>
      <c r="L671" s="194"/>
      <c r="V671" s="184"/>
      <c r="W671" s="184"/>
    </row>
    <row r="672">
      <c r="D672" s="19"/>
      <c r="G672" s="19"/>
      <c r="I672" s="19"/>
      <c r="J672" s="194"/>
      <c r="L672" s="194"/>
      <c r="V672" s="184"/>
      <c r="W672" s="184"/>
    </row>
    <row r="673">
      <c r="D673" s="19"/>
      <c r="G673" s="19"/>
      <c r="I673" s="19"/>
      <c r="J673" s="194"/>
      <c r="L673" s="194"/>
      <c r="V673" s="184"/>
      <c r="W673" s="184"/>
    </row>
    <row r="674">
      <c r="D674" s="19"/>
      <c r="G674" s="19"/>
      <c r="I674" s="19"/>
      <c r="J674" s="194"/>
      <c r="L674" s="194"/>
      <c r="V674" s="184"/>
      <c r="W674" s="184"/>
    </row>
    <row r="675">
      <c r="D675" s="19"/>
      <c r="G675" s="19"/>
      <c r="I675" s="19"/>
      <c r="J675" s="194"/>
      <c r="L675" s="194"/>
      <c r="V675" s="184"/>
      <c r="W675" s="184"/>
    </row>
    <row r="676">
      <c r="D676" s="19"/>
      <c r="G676" s="19"/>
      <c r="I676" s="19"/>
      <c r="J676" s="194"/>
      <c r="L676" s="194"/>
      <c r="V676" s="184"/>
      <c r="W676" s="184"/>
    </row>
    <row r="677">
      <c r="D677" s="19"/>
      <c r="G677" s="19"/>
      <c r="I677" s="19"/>
      <c r="J677" s="194"/>
      <c r="L677" s="194"/>
      <c r="V677" s="184"/>
      <c r="W677" s="184"/>
    </row>
    <row r="678">
      <c r="D678" s="19"/>
      <c r="G678" s="19"/>
      <c r="I678" s="19"/>
      <c r="J678" s="194"/>
      <c r="L678" s="194"/>
      <c r="V678" s="184"/>
      <c r="W678" s="184"/>
    </row>
    <row r="679">
      <c r="D679" s="19"/>
      <c r="G679" s="19"/>
      <c r="I679" s="19"/>
      <c r="J679" s="194"/>
      <c r="L679" s="194"/>
      <c r="V679" s="184"/>
      <c r="W679" s="184"/>
    </row>
    <row r="680">
      <c r="D680" s="19"/>
      <c r="G680" s="19"/>
      <c r="I680" s="19"/>
      <c r="J680" s="194"/>
      <c r="L680" s="194"/>
      <c r="V680" s="184"/>
      <c r="W680" s="184"/>
    </row>
    <row r="681">
      <c r="D681" s="19"/>
      <c r="G681" s="19"/>
      <c r="I681" s="19"/>
      <c r="J681" s="194"/>
      <c r="L681" s="194"/>
      <c r="V681" s="184"/>
      <c r="W681" s="184"/>
    </row>
    <row r="682">
      <c r="D682" s="19"/>
      <c r="G682" s="19"/>
      <c r="I682" s="19"/>
      <c r="J682" s="194"/>
      <c r="L682" s="194"/>
      <c r="V682" s="184"/>
      <c r="W682" s="184"/>
    </row>
    <row r="683">
      <c r="D683" s="19"/>
      <c r="G683" s="19"/>
      <c r="I683" s="19"/>
      <c r="J683" s="194"/>
      <c r="L683" s="194"/>
      <c r="V683" s="184"/>
      <c r="W683" s="184"/>
    </row>
    <row r="684">
      <c r="D684" s="19"/>
      <c r="G684" s="19"/>
      <c r="I684" s="19"/>
      <c r="J684" s="194"/>
      <c r="L684" s="194"/>
      <c r="V684" s="184"/>
      <c r="W684" s="184"/>
    </row>
    <row r="685">
      <c r="D685" s="19"/>
      <c r="G685" s="19"/>
      <c r="I685" s="19"/>
      <c r="J685" s="194"/>
      <c r="L685" s="194"/>
      <c r="V685" s="184"/>
      <c r="W685" s="184"/>
    </row>
    <row r="686">
      <c r="D686" s="19"/>
      <c r="G686" s="19"/>
      <c r="I686" s="19"/>
      <c r="J686" s="194"/>
      <c r="L686" s="194"/>
      <c r="V686" s="184"/>
      <c r="W686" s="184"/>
    </row>
    <row r="687">
      <c r="D687" s="19"/>
      <c r="G687" s="19"/>
      <c r="I687" s="19"/>
      <c r="J687" s="194"/>
      <c r="L687" s="194"/>
      <c r="V687" s="184"/>
      <c r="W687" s="184"/>
    </row>
    <row r="688">
      <c r="D688" s="19"/>
      <c r="G688" s="19"/>
      <c r="I688" s="19"/>
      <c r="J688" s="194"/>
      <c r="L688" s="194"/>
      <c r="V688" s="184"/>
      <c r="W688" s="184"/>
    </row>
    <row r="689">
      <c r="D689" s="19"/>
      <c r="G689" s="19"/>
      <c r="I689" s="19"/>
      <c r="J689" s="194"/>
      <c r="L689" s="194"/>
      <c r="V689" s="184"/>
      <c r="W689" s="184"/>
    </row>
    <row r="690">
      <c r="D690" s="19"/>
      <c r="G690" s="19"/>
      <c r="I690" s="19"/>
      <c r="J690" s="194"/>
      <c r="L690" s="194"/>
      <c r="V690" s="184"/>
      <c r="W690" s="184"/>
    </row>
    <row r="691">
      <c r="D691" s="19"/>
      <c r="G691" s="19"/>
      <c r="I691" s="19"/>
      <c r="J691" s="194"/>
      <c r="L691" s="194"/>
      <c r="V691" s="184"/>
      <c r="W691" s="184"/>
    </row>
    <row r="692">
      <c r="D692" s="19"/>
      <c r="G692" s="19"/>
      <c r="I692" s="19"/>
      <c r="J692" s="194"/>
      <c r="L692" s="194"/>
      <c r="V692" s="184"/>
      <c r="W692" s="184"/>
    </row>
    <row r="693">
      <c r="D693" s="19"/>
      <c r="G693" s="19"/>
      <c r="I693" s="19"/>
      <c r="J693" s="194"/>
      <c r="L693" s="194"/>
      <c r="V693" s="184"/>
      <c r="W693" s="184"/>
    </row>
    <row r="694">
      <c r="D694" s="19"/>
      <c r="G694" s="19"/>
      <c r="I694" s="19"/>
      <c r="J694" s="194"/>
      <c r="L694" s="194"/>
      <c r="V694" s="184"/>
      <c r="W694" s="184"/>
    </row>
    <row r="695">
      <c r="D695" s="19"/>
      <c r="G695" s="19"/>
      <c r="I695" s="19"/>
      <c r="J695" s="194"/>
      <c r="L695" s="194"/>
      <c r="V695" s="184"/>
      <c r="W695" s="184"/>
    </row>
    <row r="696">
      <c r="D696" s="19"/>
      <c r="G696" s="19"/>
      <c r="I696" s="19"/>
      <c r="J696" s="194"/>
      <c r="L696" s="194"/>
      <c r="V696" s="184"/>
      <c r="W696" s="184"/>
    </row>
    <row r="697">
      <c r="D697" s="19"/>
      <c r="G697" s="19"/>
      <c r="I697" s="19"/>
      <c r="J697" s="194"/>
      <c r="L697" s="194"/>
      <c r="V697" s="184"/>
      <c r="W697" s="184"/>
    </row>
    <row r="698">
      <c r="D698" s="19"/>
      <c r="G698" s="19"/>
      <c r="I698" s="19"/>
      <c r="J698" s="194"/>
      <c r="L698" s="194"/>
      <c r="V698" s="184"/>
      <c r="W698" s="184"/>
    </row>
    <row r="699">
      <c r="D699" s="19"/>
      <c r="G699" s="19"/>
      <c r="I699" s="19"/>
      <c r="J699" s="194"/>
      <c r="L699" s="194"/>
      <c r="V699" s="184"/>
      <c r="W699" s="184"/>
    </row>
    <row r="700">
      <c r="D700" s="19"/>
      <c r="G700" s="19"/>
      <c r="I700" s="19"/>
      <c r="J700" s="194"/>
      <c r="L700" s="194"/>
      <c r="V700" s="184"/>
      <c r="W700" s="184"/>
    </row>
    <row r="701">
      <c r="D701" s="19"/>
      <c r="G701" s="19"/>
      <c r="I701" s="19"/>
      <c r="J701" s="194"/>
      <c r="L701" s="194"/>
      <c r="V701" s="184"/>
      <c r="W701" s="184"/>
    </row>
    <row r="702">
      <c r="D702" s="19"/>
      <c r="G702" s="19"/>
      <c r="I702" s="19"/>
      <c r="J702" s="194"/>
      <c r="L702" s="194"/>
      <c r="V702" s="184"/>
      <c r="W702" s="184"/>
    </row>
    <row r="703">
      <c r="D703" s="19"/>
      <c r="G703" s="19"/>
      <c r="I703" s="19"/>
      <c r="J703" s="194"/>
      <c r="L703" s="194"/>
      <c r="V703" s="184"/>
      <c r="W703" s="184"/>
    </row>
    <row r="704">
      <c r="D704" s="19"/>
      <c r="G704" s="19"/>
      <c r="I704" s="19"/>
      <c r="J704" s="194"/>
      <c r="L704" s="194"/>
      <c r="V704" s="184"/>
      <c r="W704" s="184"/>
    </row>
    <row r="705">
      <c r="D705" s="19"/>
      <c r="G705" s="19"/>
      <c r="I705" s="19"/>
      <c r="J705" s="194"/>
      <c r="L705" s="194"/>
      <c r="V705" s="184"/>
      <c r="W705" s="184"/>
    </row>
    <row r="706">
      <c r="D706" s="19"/>
      <c r="G706" s="19"/>
      <c r="I706" s="19"/>
      <c r="J706" s="194"/>
      <c r="L706" s="194"/>
      <c r="V706" s="184"/>
      <c r="W706" s="184"/>
    </row>
    <row r="707">
      <c r="D707" s="19"/>
      <c r="G707" s="19"/>
      <c r="I707" s="19"/>
      <c r="J707" s="194"/>
      <c r="L707" s="194"/>
      <c r="V707" s="184"/>
      <c r="W707" s="184"/>
    </row>
    <row r="708">
      <c r="D708" s="19"/>
      <c r="G708" s="19"/>
      <c r="I708" s="19"/>
      <c r="J708" s="194"/>
      <c r="L708" s="194"/>
      <c r="V708" s="184"/>
      <c r="W708" s="184"/>
    </row>
    <row r="709">
      <c r="D709" s="19"/>
      <c r="G709" s="19"/>
      <c r="I709" s="19"/>
      <c r="J709" s="194"/>
      <c r="L709" s="194"/>
      <c r="V709" s="184"/>
      <c r="W709" s="184"/>
    </row>
    <row r="710">
      <c r="D710" s="19"/>
      <c r="G710" s="19"/>
      <c r="I710" s="19"/>
      <c r="J710" s="194"/>
      <c r="L710" s="194"/>
      <c r="V710" s="184"/>
      <c r="W710" s="184"/>
    </row>
    <row r="711">
      <c r="D711" s="19"/>
      <c r="G711" s="19"/>
      <c r="I711" s="19"/>
      <c r="J711" s="194"/>
      <c r="L711" s="194"/>
      <c r="V711" s="184"/>
      <c r="W711" s="184"/>
    </row>
    <row r="712">
      <c r="D712" s="19"/>
      <c r="G712" s="19"/>
      <c r="I712" s="19"/>
      <c r="J712" s="194"/>
      <c r="L712" s="194"/>
      <c r="V712" s="184"/>
      <c r="W712" s="184"/>
    </row>
    <row r="713">
      <c r="D713" s="19"/>
      <c r="G713" s="19"/>
      <c r="I713" s="19"/>
      <c r="J713" s="194"/>
      <c r="L713" s="194"/>
      <c r="V713" s="184"/>
      <c r="W713" s="184"/>
    </row>
    <row r="714">
      <c r="D714" s="19"/>
      <c r="G714" s="19"/>
      <c r="I714" s="19"/>
      <c r="J714" s="194"/>
      <c r="L714" s="194"/>
      <c r="V714" s="184"/>
      <c r="W714" s="184"/>
    </row>
    <row r="715">
      <c r="D715" s="19"/>
      <c r="G715" s="19"/>
      <c r="I715" s="19"/>
      <c r="J715" s="194"/>
      <c r="L715" s="194"/>
      <c r="V715" s="184"/>
      <c r="W715" s="184"/>
    </row>
    <row r="716">
      <c r="D716" s="19"/>
      <c r="G716" s="19"/>
      <c r="I716" s="19"/>
      <c r="J716" s="194"/>
      <c r="L716" s="194"/>
      <c r="V716" s="184"/>
      <c r="W716" s="184"/>
    </row>
    <row r="717">
      <c r="D717" s="19"/>
      <c r="G717" s="19"/>
      <c r="I717" s="19"/>
      <c r="J717" s="194"/>
      <c r="L717" s="194"/>
      <c r="V717" s="184"/>
      <c r="W717" s="184"/>
    </row>
    <row r="718">
      <c r="D718" s="19"/>
      <c r="G718" s="19"/>
      <c r="I718" s="19"/>
      <c r="J718" s="194"/>
      <c r="L718" s="194"/>
      <c r="V718" s="184"/>
      <c r="W718" s="184"/>
    </row>
    <row r="719">
      <c r="D719" s="19"/>
      <c r="G719" s="19"/>
      <c r="I719" s="19"/>
      <c r="J719" s="194"/>
      <c r="L719" s="194"/>
      <c r="V719" s="184"/>
      <c r="W719" s="184"/>
    </row>
    <row r="720">
      <c r="D720" s="19"/>
      <c r="G720" s="19"/>
      <c r="I720" s="19"/>
      <c r="J720" s="194"/>
      <c r="L720" s="194"/>
      <c r="V720" s="184"/>
      <c r="W720" s="184"/>
    </row>
    <row r="721">
      <c r="D721" s="19"/>
      <c r="G721" s="19"/>
      <c r="I721" s="19"/>
      <c r="J721" s="194"/>
      <c r="L721" s="194"/>
      <c r="V721" s="184"/>
      <c r="W721" s="184"/>
    </row>
    <row r="722">
      <c r="D722" s="19"/>
      <c r="G722" s="19"/>
      <c r="I722" s="19"/>
      <c r="J722" s="194"/>
      <c r="L722" s="194"/>
      <c r="V722" s="184"/>
      <c r="W722" s="184"/>
    </row>
    <row r="723">
      <c r="D723" s="19"/>
      <c r="G723" s="19"/>
      <c r="I723" s="19"/>
      <c r="J723" s="194"/>
      <c r="L723" s="194"/>
      <c r="V723" s="184"/>
      <c r="W723" s="184"/>
    </row>
    <row r="724">
      <c r="D724" s="19"/>
      <c r="G724" s="19"/>
      <c r="I724" s="19"/>
      <c r="J724" s="194"/>
      <c r="L724" s="194"/>
      <c r="V724" s="184"/>
      <c r="W724" s="184"/>
    </row>
    <row r="725">
      <c r="D725" s="19"/>
      <c r="G725" s="19"/>
      <c r="I725" s="19"/>
      <c r="J725" s="194"/>
      <c r="L725" s="194"/>
      <c r="V725" s="184"/>
      <c r="W725" s="184"/>
    </row>
    <row r="726">
      <c r="D726" s="19"/>
      <c r="G726" s="19"/>
      <c r="I726" s="19"/>
      <c r="J726" s="194"/>
      <c r="L726" s="194"/>
      <c r="V726" s="184"/>
      <c r="W726" s="184"/>
    </row>
    <row r="727">
      <c r="D727" s="19"/>
      <c r="G727" s="19"/>
      <c r="I727" s="19"/>
      <c r="J727" s="194"/>
      <c r="L727" s="194"/>
      <c r="V727" s="184"/>
      <c r="W727" s="184"/>
    </row>
    <row r="728">
      <c r="D728" s="19"/>
      <c r="G728" s="19"/>
      <c r="I728" s="19"/>
      <c r="J728" s="194"/>
      <c r="L728" s="194"/>
      <c r="V728" s="184"/>
      <c r="W728" s="184"/>
    </row>
    <row r="729">
      <c r="D729" s="19"/>
      <c r="G729" s="19"/>
      <c r="I729" s="19"/>
      <c r="J729" s="194"/>
      <c r="L729" s="194"/>
      <c r="V729" s="184"/>
      <c r="W729" s="184"/>
    </row>
    <row r="730">
      <c r="D730" s="19"/>
      <c r="G730" s="19"/>
      <c r="I730" s="19"/>
      <c r="J730" s="194"/>
      <c r="L730" s="194"/>
      <c r="V730" s="184"/>
      <c r="W730" s="184"/>
    </row>
    <row r="731">
      <c r="D731" s="19"/>
      <c r="G731" s="19"/>
      <c r="I731" s="19"/>
      <c r="J731" s="194"/>
      <c r="L731" s="194"/>
      <c r="V731" s="184"/>
      <c r="W731" s="184"/>
    </row>
    <row r="732">
      <c r="D732" s="19"/>
      <c r="G732" s="19"/>
      <c r="I732" s="19"/>
      <c r="J732" s="194"/>
      <c r="L732" s="194"/>
      <c r="V732" s="184"/>
      <c r="W732" s="184"/>
    </row>
    <row r="733">
      <c r="D733" s="19"/>
      <c r="G733" s="19"/>
      <c r="I733" s="19"/>
      <c r="J733" s="194"/>
      <c r="L733" s="194"/>
      <c r="V733" s="184"/>
      <c r="W733" s="184"/>
    </row>
    <row r="734">
      <c r="D734" s="19"/>
      <c r="G734" s="19"/>
      <c r="I734" s="19"/>
      <c r="J734" s="194"/>
      <c r="L734" s="194"/>
      <c r="V734" s="184"/>
      <c r="W734" s="184"/>
    </row>
    <row r="735">
      <c r="D735" s="19"/>
      <c r="G735" s="19"/>
      <c r="I735" s="19"/>
      <c r="J735" s="194"/>
      <c r="L735" s="194"/>
      <c r="V735" s="184"/>
      <c r="W735" s="184"/>
    </row>
    <row r="736">
      <c r="D736" s="19"/>
      <c r="G736" s="19"/>
      <c r="I736" s="19"/>
      <c r="J736" s="194"/>
      <c r="L736" s="194"/>
      <c r="V736" s="184"/>
      <c r="W736" s="184"/>
    </row>
    <row r="737">
      <c r="D737" s="19"/>
      <c r="G737" s="19"/>
      <c r="I737" s="19"/>
      <c r="J737" s="194"/>
      <c r="L737" s="194"/>
      <c r="V737" s="184"/>
      <c r="W737" s="184"/>
    </row>
    <row r="738">
      <c r="D738" s="19"/>
      <c r="G738" s="19"/>
      <c r="I738" s="19"/>
      <c r="J738" s="194"/>
      <c r="L738" s="194"/>
      <c r="V738" s="184"/>
      <c r="W738" s="184"/>
    </row>
    <row r="739">
      <c r="D739" s="19"/>
      <c r="G739" s="19"/>
      <c r="I739" s="19"/>
      <c r="J739" s="194"/>
      <c r="L739" s="194"/>
      <c r="V739" s="184"/>
      <c r="W739" s="184"/>
    </row>
    <row r="740">
      <c r="D740" s="19"/>
      <c r="G740" s="19"/>
      <c r="I740" s="19"/>
      <c r="J740" s="194"/>
      <c r="L740" s="194"/>
      <c r="V740" s="184"/>
      <c r="W740" s="184"/>
    </row>
    <row r="741">
      <c r="D741" s="19"/>
      <c r="G741" s="19"/>
      <c r="I741" s="19"/>
      <c r="J741" s="194"/>
      <c r="L741" s="194"/>
      <c r="V741" s="184"/>
      <c r="W741" s="184"/>
    </row>
    <row r="742">
      <c r="D742" s="19"/>
      <c r="G742" s="19"/>
      <c r="I742" s="19"/>
      <c r="J742" s="194"/>
      <c r="L742" s="194"/>
      <c r="V742" s="184"/>
      <c r="W742" s="184"/>
    </row>
    <row r="743">
      <c r="D743" s="19"/>
      <c r="G743" s="19"/>
      <c r="I743" s="19"/>
      <c r="J743" s="194"/>
      <c r="L743" s="194"/>
      <c r="V743" s="184"/>
      <c r="W743" s="184"/>
    </row>
    <row r="744">
      <c r="D744" s="19"/>
      <c r="G744" s="19"/>
      <c r="I744" s="19"/>
      <c r="J744" s="194"/>
      <c r="L744" s="194"/>
      <c r="V744" s="184"/>
      <c r="W744" s="184"/>
    </row>
    <row r="745">
      <c r="D745" s="19"/>
      <c r="G745" s="19"/>
      <c r="I745" s="19"/>
      <c r="J745" s="194"/>
      <c r="L745" s="194"/>
      <c r="V745" s="184"/>
      <c r="W745" s="184"/>
    </row>
    <row r="746">
      <c r="D746" s="19"/>
      <c r="G746" s="19"/>
      <c r="I746" s="19"/>
      <c r="J746" s="194"/>
      <c r="L746" s="194"/>
      <c r="V746" s="184"/>
      <c r="W746" s="184"/>
    </row>
    <row r="747">
      <c r="D747" s="19"/>
      <c r="G747" s="19"/>
      <c r="I747" s="19"/>
      <c r="J747" s="194"/>
      <c r="L747" s="194"/>
      <c r="V747" s="184"/>
      <c r="W747" s="184"/>
    </row>
    <row r="748">
      <c r="D748" s="19"/>
      <c r="G748" s="19"/>
      <c r="I748" s="19"/>
      <c r="J748" s="194"/>
      <c r="L748" s="194"/>
      <c r="V748" s="184"/>
      <c r="W748" s="184"/>
    </row>
    <row r="749">
      <c r="D749" s="19"/>
      <c r="G749" s="19"/>
      <c r="I749" s="19"/>
      <c r="J749" s="194"/>
      <c r="L749" s="194"/>
      <c r="V749" s="184"/>
      <c r="W749" s="184"/>
    </row>
    <row r="750">
      <c r="D750" s="19"/>
      <c r="G750" s="19"/>
      <c r="I750" s="19"/>
      <c r="J750" s="194"/>
      <c r="L750" s="194"/>
      <c r="V750" s="184"/>
      <c r="W750" s="184"/>
    </row>
    <row r="751">
      <c r="D751" s="19"/>
      <c r="G751" s="19"/>
      <c r="I751" s="19"/>
      <c r="J751" s="194"/>
      <c r="L751" s="194"/>
      <c r="V751" s="184"/>
      <c r="W751" s="184"/>
    </row>
    <row r="752">
      <c r="D752" s="19"/>
      <c r="G752" s="19"/>
      <c r="I752" s="19"/>
      <c r="J752" s="194"/>
      <c r="L752" s="194"/>
      <c r="V752" s="184"/>
      <c r="W752" s="184"/>
    </row>
    <row r="753">
      <c r="D753" s="19"/>
      <c r="G753" s="19"/>
      <c r="I753" s="19"/>
      <c r="J753" s="194"/>
      <c r="L753" s="194"/>
      <c r="V753" s="184"/>
      <c r="W753" s="184"/>
    </row>
    <row r="754">
      <c r="D754" s="19"/>
      <c r="G754" s="19"/>
      <c r="I754" s="19"/>
      <c r="J754" s="194"/>
      <c r="L754" s="194"/>
      <c r="V754" s="184"/>
      <c r="W754" s="184"/>
    </row>
    <row r="755">
      <c r="D755" s="19"/>
      <c r="G755" s="19"/>
      <c r="I755" s="19"/>
      <c r="J755" s="194"/>
      <c r="L755" s="194"/>
      <c r="V755" s="184"/>
      <c r="W755" s="184"/>
    </row>
    <row r="756">
      <c r="D756" s="19"/>
      <c r="G756" s="19"/>
      <c r="I756" s="19"/>
      <c r="J756" s="194"/>
      <c r="L756" s="194"/>
      <c r="V756" s="184"/>
      <c r="W756" s="184"/>
    </row>
    <row r="757">
      <c r="D757" s="19"/>
      <c r="G757" s="19"/>
      <c r="I757" s="19"/>
      <c r="J757" s="194"/>
      <c r="L757" s="194"/>
      <c r="V757" s="184"/>
      <c r="W757" s="184"/>
    </row>
    <row r="758">
      <c r="D758" s="19"/>
      <c r="G758" s="19"/>
      <c r="I758" s="19"/>
      <c r="J758" s="194"/>
      <c r="L758" s="194"/>
      <c r="V758" s="184"/>
      <c r="W758" s="184"/>
    </row>
    <row r="759">
      <c r="D759" s="19"/>
      <c r="G759" s="19"/>
      <c r="I759" s="19"/>
      <c r="J759" s="194"/>
      <c r="L759" s="194"/>
      <c r="V759" s="184"/>
      <c r="W759" s="184"/>
    </row>
    <row r="760">
      <c r="D760" s="19"/>
      <c r="G760" s="19"/>
      <c r="I760" s="19"/>
      <c r="J760" s="194"/>
      <c r="L760" s="194"/>
      <c r="V760" s="184"/>
      <c r="W760" s="184"/>
    </row>
    <row r="761">
      <c r="D761" s="19"/>
      <c r="G761" s="19"/>
      <c r="I761" s="19"/>
      <c r="J761" s="194"/>
      <c r="L761" s="194"/>
      <c r="V761" s="184"/>
      <c r="W761" s="184"/>
    </row>
    <row r="762">
      <c r="D762" s="19"/>
      <c r="G762" s="19"/>
      <c r="I762" s="19"/>
      <c r="J762" s="194"/>
      <c r="L762" s="194"/>
      <c r="V762" s="184"/>
      <c r="W762" s="184"/>
    </row>
    <row r="763">
      <c r="D763" s="19"/>
      <c r="G763" s="19"/>
      <c r="I763" s="19"/>
      <c r="J763" s="194"/>
      <c r="L763" s="194"/>
      <c r="V763" s="184"/>
      <c r="W763" s="184"/>
    </row>
    <row r="764">
      <c r="D764" s="19"/>
      <c r="G764" s="19"/>
      <c r="I764" s="19"/>
      <c r="J764" s="194"/>
      <c r="L764" s="194"/>
      <c r="V764" s="184"/>
      <c r="W764" s="184"/>
    </row>
    <row r="765">
      <c r="D765" s="19"/>
      <c r="G765" s="19"/>
      <c r="I765" s="19"/>
      <c r="J765" s="194"/>
      <c r="L765" s="194"/>
      <c r="V765" s="184"/>
      <c r="W765" s="184"/>
    </row>
    <row r="766">
      <c r="D766" s="19"/>
      <c r="G766" s="19"/>
      <c r="I766" s="19"/>
      <c r="J766" s="194"/>
      <c r="L766" s="194"/>
      <c r="V766" s="184"/>
      <c r="W766" s="184"/>
    </row>
    <row r="767">
      <c r="D767" s="19"/>
      <c r="G767" s="19"/>
      <c r="I767" s="19"/>
      <c r="J767" s="194"/>
      <c r="L767" s="194"/>
      <c r="V767" s="184"/>
      <c r="W767" s="184"/>
    </row>
    <row r="768">
      <c r="D768" s="19"/>
      <c r="G768" s="19"/>
      <c r="I768" s="19"/>
      <c r="J768" s="194"/>
      <c r="L768" s="194"/>
      <c r="V768" s="184"/>
      <c r="W768" s="184"/>
    </row>
    <row r="769">
      <c r="D769" s="19"/>
      <c r="G769" s="19"/>
      <c r="I769" s="19"/>
      <c r="J769" s="194"/>
      <c r="L769" s="194"/>
      <c r="V769" s="184"/>
      <c r="W769" s="184"/>
    </row>
    <row r="770">
      <c r="D770" s="19"/>
      <c r="G770" s="19"/>
      <c r="I770" s="19"/>
      <c r="J770" s="194"/>
      <c r="L770" s="194"/>
      <c r="V770" s="184"/>
      <c r="W770" s="184"/>
    </row>
    <row r="771">
      <c r="D771" s="19"/>
      <c r="G771" s="19"/>
      <c r="I771" s="19"/>
      <c r="J771" s="194"/>
      <c r="L771" s="194"/>
      <c r="V771" s="184"/>
      <c r="W771" s="184"/>
    </row>
    <row r="772">
      <c r="D772" s="19"/>
      <c r="G772" s="19"/>
      <c r="I772" s="19"/>
      <c r="J772" s="194"/>
      <c r="L772" s="194"/>
      <c r="V772" s="184"/>
      <c r="W772" s="184"/>
    </row>
    <row r="773">
      <c r="D773" s="19"/>
      <c r="G773" s="19"/>
      <c r="I773" s="19"/>
      <c r="J773" s="194"/>
      <c r="L773" s="194"/>
      <c r="V773" s="184"/>
      <c r="W773" s="184"/>
    </row>
    <row r="774">
      <c r="D774" s="19"/>
      <c r="G774" s="19"/>
      <c r="I774" s="19"/>
      <c r="J774" s="194"/>
      <c r="L774" s="194"/>
      <c r="V774" s="184"/>
      <c r="W774" s="184"/>
    </row>
    <row r="775">
      <c r="D775" s="19"/>
      <c r="G775" s="19"/>
      <c r="I775" s="19"/>
      <c r="J775" s="194"/>
      <c r="L775" s="194"/>
      <c r="V775" s="184"/>
      <c r="W775" s="184"/>
    </row>
    <row r="776">
      <c r="D776" s="19"/>
      <c r="G776" s="19"/>
      <c r="I776" s="19"/>
      <c r="J776" s="194"/>
      <c r="L776" s="194"/>
      <c r="V776" s="184"/>
      <c r="W776" s="184"/>
    </row>
    <row r="777">
      <c r="D777" s="19"/>
      <c r="G777" s="19"/>
      <c r="I777" s="19"/>
      <c r="J777" s="194"/>
      <c r="L777" s="194"/>
      <c r="V777" s="184"/>
      <c r="W777" s="184"/>
    </row>
    <row r="778">
      <c r="D778" s="19"/>
      <c r="G778" s="19"/>
      <c r="I778" s="19"/>
      <c r="J778" s="194"/>
      <c r="L778" s="194"/>
      <c r="V778" s="184"/>
      <c r="W778" s="184"/>
    </row>
    <row r="779">
      <c r="D779" s="19"/>
      <c r="G779" s="19"/>
      <c r="I779" s="19"/>
      <c r="J779" s="194"/>
      <c r="L779" s="194"/>
      <c r="V779" s="184"/>
      <c r="W779" s="184"/>
    </row>
    <row r="780">
      <c r="D780" s="19"/>
      <c r="G780" s="19"/>
      <c r="I780" s="19"/>
      <c r="J780" s="194"/>
      <c r="L780" s="194"/>
      <c r="V780" s="184"/>
      <c r="W780" s="184"/>
    </row>
    <row r="781">
      <c r="D781" s="19"/>
      <c r="G781" s="19"/>
      <c r="I781" s="19"/>
      <c r="J781" s="194"/>
      <c r="L781" s="194"/>
      <c r="V781" s="184"/>
      <c r="W781" s="184"/>
    </row>
    <row r="782">
      <c r="D782" s="19"/>
      <c r="G782" s="19"/>
      <c r="I782" s="19"/>
      <c r="J782" s="194"/>
      <c r="L782" s="194"/>
      <c r="V782" s="184"/>
      <c r="W782" s="184"/>
    </row>
    <row r="783">
      <c r="D783" s="19"/>
      <c r="G783" s="19"/>
      <c r="I783" s="19"/>
      <c r="J783" s="194"/>
      <c r="L783" s="194"/>
      <c r="V783" s="184"/>
      <c r="W783" s="184"/>
    </row>
    <row r="784">
      <c r="D784" s="19"/>
      <c r="G784" s="19"/>
      <c r="I784" s="19"/>
      <c r="J784" s="194"/>
      <c r="L784" s="194"/>
      <c r="V784" s="184"/>
      <c r="W784" s="184"/>
    </row>
    <row r="785">
      <c r="D785" s="19"/>
      <c r="G785" s="19"/>
      <c r="I785" s="19"/>
      <c r="J785" s="194"/>
      <c r="L785" s="194"/>
      <c r="V785" s="184"/>
      <c r="W785" s="184"/>
    </row>
    <row r="786">
      <c r="D786" s="19"/>
      <c r="G786" s="19"/>
      <c r="I786" s="19"/>
      <c r="J786" s="194"/>
      <c r="L786" s="194"/>
      <c r="V786" s="184"/>
      <c r="W786" s="184"/>
    </row>
    <row r="787">
      <c r="D787" s="19"/>
      <c r="G787" s="19"/>
      <c r="I787" s="19"/>
      <c r="J787" s="194"/>
      <c r="L787" s="194"/>
      <c r="V787" s="184"/>
      <c r="W787" s="184"/>
    </row>
    <row r="788">
      <c r="D788" s="19"/>
      <c r="G788" s="19"/>
      <c r="I788" s="19"/>
      <c r="J788" s="194"/>
      <c r="L788" s="194"/>
      <c r="V788" s="184"/>
      <c r="W788" s="184"/>
    </row>
    <row r="789">
      <c r="D789" s="19"/>
      <c r="G789" s="19"/>
      <c r="I789" s="19"/>
      <c r="J789" s="194"/>
      <c r="L789" s="194"/>
      <c r="V789" s="184"/>
      <c r="W789" s="184"/>
    </row>
    <row r="790">
      <c r="D790" s="19"/>
      <c r="G790" s="19"/>
      <c r="I790" s="19"/>
      <c r="J790" s="194"/>
      <c r="L790" s="194"/>
      <c r="V790" s="184"/>
      <c r="W790" s="184"/>
    </row>
    <row r="791">
      <c r="D791" s="19"/>
      <c r="G791" s="19"/>
      <c r="I791" s="19"/>
      <c r="J791" s="194"/>
      <c r="L791" s="194"/>
      <c r="V791" s="184"/>
      <c r="W791" s="184"/>
    </row>
    <row r="792">
      <c r="D792" s="19"/>
      <c r="G792" s="19"/>
      <c r="I792" s="19"/>
      <c r="J792" s="194"/>
      <c r="L792" s="194"/>
      <c r="V792" s="184"/>
      <c r="W792" s="184"/>
    </row>
    <row r="793">
      <c r="D793" s="19"/>
      <c r="G793" s="19"/>
      <c r="I793" s="19"/>
      <c r="J793" s="194"/>
      <c r="L793" s="194"/>
      <c r="V793" s="184"/>
      <c r="W793" s="184"/>
    </row>
    <row r="794">
      <c r="D794" s="19"/>
      <c r="G794" s="19"/>
      <c r="I794" s="19"/>
      <c r="J794" s="194"/>
      <c r="L794" s="194"/>
      <c r="V794" s="184"/>
      <c r="W794" s="184"/>
    </row>
    <row r="795">
      <c r="D795" s="19"/>
      <c r="G795" s="19"/>
      <c r="I795" s="19"/>
      <c r="J795" s="194"/>
      <c r="L795" s="194"/>
      <c r="V795" s="184"/>
      <c r="W795" s="184"/>
    </row>
    <row r="796">
      <c r="D796" s="19"/>
      <c r="G796" s="19"/>
      <c r="I796" s="19"/>
      <c r="J796" s="194"/>
      <c r="L796" s="194"/>
      <c r="V796" s="184"/>
      <c r="W796" s="184"/>
    </row>
    <row r="797">
      <c r="D797" s="19"/>
      <c r="G797" s="19"/>
      <c r="I797" s="19"/>
      <c r="J797" s="194"/>
      <c r="L797" s="194"/>
      <c r="V797" s="184"/>
      <c r="W797" s="184"/>
    </row>
    <row r="798">
      <c r="D798" s="19"/>
      <c r="G798" s="19"/>
      <c r="I798" s="19"/>
      <c r="J798" s="194"/>
      <c r="L798" s="194"/>
      <c r="V798" s="184"/>
      <c r="W798" s="184"/>
    </row>
    <row r="799">
      <c r="D799" s="19"/>
      <c r="G799" s="19"/>
      <c r="I799" s="19"/>
      <c r="J799" s="194"/>
      <c r="L799" s="194"/>
      <c r="V799" s="184"/>
      <c r="W799" s="184"/>
    </row>
    <row r="800">
      <c r="D800" s="19"/>
      <c r="G800" s="19"/>
      <c r="I800" s="19"/>
      <c r="J800" s="194"/>
      <c r="L800" s="194"/>
      <c r="V800" s="184"/>
      <c r="W800" s="184"/>
    </row>
    <row r="801">
      <c r="D801" s="19"/>
      <c r="G801" s="19"/>
      <c r="I801" s="19"/>
      <c r="J801" s="194"/>
      <c r="L801" s="194"/>
      <c r="V801" s="184"/>
      <c r="W801" s="184"/>
    </row>
    <row r="802">
      <c r="D802" s="19"/>
      <c r="G802" s="19"/>
      <c r="I802" s="19"/>
      <c r="J802" s="194"/>
      <c r="L802" s="194"/>
      <c r="V802" s="184"/>
      <c r="W802" s="184"/>
    </row>
    <row r="803">
      <c r="D803" s="19"/>
      <c r="G803" s="19"/>
      <c r="I803" s="19"/>
      <c r="J803" s="194"/>
      <c r="L803" s="194"/>
      <c r="V803" s="184"/>
      <c r="W803" s="184"/>
    </row>
    <row r="804">
      <c r="D804" s="19"/>
      <c r="G804" s="19"/>
      <c r="I804" s="19"/>
      <c r="J804" s="194"/>
      <c r="L804" s="194"/>
      <c r="V804" s="184"/>
      <c r="W804" s="184"/>
    </row>
    <row r="805">
      <c r="D805" s="19"/>
      <c r="G805" s="19"/>
      <c r="I805" s="19"/>
      <c r="J805" s="194"/>
      <c r="L805" s="194"/>
      <c r="V805" s="184"/>
      <c r="W805" s="184"/>
    </row>
    <row r="806">
      <c r="D806" s="19"/>
      <c r="G806" s="19"/>
      <c r="I806" s="19"/>
      <c r="J806" s="194"/>
      <c r="L806" s="194"/>
      <c r="V806" s="184"/>
      <c r="W806" s="184"/>
    </row>
    <row r="807">
      <c r="D807" s="19"/>
      <c r="G807" s="19"/>
      <c r="I807" s="19"/>
      <c r="J807" s="194"/>
      <c r="L807" s="194"/>
      <c r="V807" s="184"/>
      <c r="W807" s="184"/>
    </row>
    <row r="808">
      <c r="D808" s="19"/>
      <c r="G808" s="19"/>
      <c r="I808" s="19"/>
      <c r="J808" s="194"/>
      <c r="L808" s="194"/>
      <c r="V808" s="184"/>
      <c r="W808" s="184"/>
    </row>
    <row r="809">
      <c r="D809" s="19"/>
      <c r="G809" s="19"/>
      <c r="I809" s="19"/>
      <c r="J809" s="194"/>
      <c r="L809" s="194"/>
      <c r="V809" s="184"/>
      <c r="W809" s="184"/>
    </row>
    <row r="810">
      <c r="D810" s="19"/>
      <c r="G810" s="19"/>
      <c r="I810" s="19"/>
      <c r="J810" s="194"/>
      <c r="L810" s="194"/>
      <c r="V810" s="184"/>
      <c r="W810" s="184"/>
    </row>
    <row r="811">
      <c r="D811" s="19"/>
      <c r="G811" s="19"/>
      <c r="I811" s="19"/>
      <c r="J811" s="194"/>
      <c r="L811" s="194"/>
      <c r="V811" s="184"/>
      <c r="W811" s="184"/>
    </row>
    <row r="812">
      <c r="D812" s="19"/>
      <c r="G812" s="19"/>
      <c r="I812" s="19"/>
      <c r="J812" s="194"/>
      <c r="L812" s="194"/>
      <c r="V812" s="184"/>
      <c r="W812" s="184"/>
    </row>
    <row r="813">
      <c r="D813" s="19"/>
      <c r="G813" s="19"/>
      <c r="I813" s="19"/>
      <c r="J813" s="194"/>
      <c r="L813" s="194"/>
      <c r="V813" s="184"/>
      <c r="W813" s="184"/>
    </row>
    <row r="814">
      <c r="D814" s="19"/>
      <c r="G814" s="19"/>
      <c r="I814" s="19"/>
      <c r="J814" s="194"/>
      <c r="L814" s="194"/>
      <c r="V814" s="184"/>
      <c r="W814" s="184"/>
    </row>
    <row r="815">
      <c r="D815" s="19"/>
      <c r="G815" s="19"/>
      <c r="I815" s="19"/>
      <c r="J815" s="194"/>
      <c r="L815" s="194"/>
      <c r="V815" s="184"/>
      <c r="W815" s="184"/>
    </row>
    <row r="816">
      <c r="D816" s="19"/>
      <c r="G816" s="19"/>
      <c r="I816" s="19"/>
      <c r="J816" s="194"/>
      <c r="L816" s="194"/>
      <c r="V816" s="184"/>
      <c r="W816" s="184"/>
    </row>
    <row r="817">
      <c r="D817" s="19"/>
      <c r="G817" s="19"/>
      <c r="I817" s="19"/>
      <c r="J817" s="194"/>
      <c r="L817" s="194"/>
      <c r="V817" s="184"/>
      <c r="W817" s="184"/>
    </row>
    <row r="818">
      <c r="D818" s="19"/>
      <c r="G818" s="19"/>
      <c r="I818" s="19"/>
      <c r="J818" s="194"/>
      <c r="L818" s="194"/>
      <c r="V818" s="184"/>
      <c r="W818" s="184"/>
    </row>
    <row r="819">
      <c r="D819" s="19"/>
      <c r="G819" s="19"/>
      <c r="I819" s="19"/>
      <c r="J819" s="194"/>
      <c r="L819" s="194"/>
      <c r="V819" s="184"/>
      <c r="W819" s="184"/>
    </row>
    <row r="820">
      <c r="D820" s="19"/>
      <c r="G820" s="19"/>
      <c r="I820" s="19"/>
      <c r="J820" s="194"/>
      <c r="L820" s="194"/>
      <c r="V820" s="184"/>
      <c r="W820" s="184"/>
    </row>
    <row r="821">
      <c r="D821" s="19"/>
      <c r="G821" s="19"/>
      <c r="I821" s="19"/>
      <c r="J821" s="194"/>
      <c r="L821" s="194"/>
      <c r="V821" s="184"/>
      <c r="W821" s="184"/>
    </row>
    <row r="822">
      <c r="D822" s="19"/>
      <c r="G822" s="19"/>
      <c r="I822" s="19"/>
      <c r="J822" s="194"/>
      <c r="L822" s="194"/>
      <c r="V822" s="184"/>
      <c r="W822" s="184"/>
    </row>
    <row r="823">
      <c r="D823" s="19"/>
      <c r="G823" s="19"/>
      <c r="I823" s="19"/>
      <c r="J823" s="194"/>
      <c r="L823" s="194"/>
      <c r="V823" s="184"/>
      <c r="W823" s="184"/>
    </row>
    <row r="824">
      <c r="D824" s="19"/>
      <c r="G824" s="19"/>
      <c r="I824" s="19"/>
      <c r="J824" s="194"/>
      <c r="L824" s="194"/>
      <c r="V824" s="184"/>
      <c r="W824" s="184"/>
    </row>
    <row r="825">
      <c r="D825" s="19"/>
      <c r="G825" s="19"/>
      <c r="I825" s="19"/>
      <c r="J825" s="194"/>
      <c r="L825" s="194"/>
      <c r="V825" s="184"/>
      <c r="W825" s="184"/>
    </row>
    <row r="826">
      <c r="D826" s="19"/>
      <c r="G826" s="19"/>
      <c r="I826" s="19"/>
      <c r="J826" s="194"/>
      <c r="L826" s="194"/>
      <c r="V826" s="184"/>
      <c r="W826" s="184"/>
    </row>
    <row r="827">
      <c r="D827" s="19"/>
      <c r="G827" s="19"/>
      <c r="I827" s="19"/>
      <c r="J827" s="194"/>
      <c r="L827" s="194"/>
      <c r="V827" s="184"/>
      <c r="W827" s="184"/>
    </row>
    <row r="828">
      <c r="D828" s="19"/>
      <c r="G828" s="19"/>
      <c r="I828" s="19"/>
      <c r="J828" s="194"/>
      <c r="L828" s="194"/>
      <c r="V828" s="184"/>
      <c r="W828" s="184"/>
    </row>
    <row r="829">
      <c r="D829" s="19"/>
      <c r="G829" s="19"/>
      <c r="I829" s="19"/>
      <c r="J829" s="194"/>
      <c r="L829" s="194"/>
      <c r="V829" s="184"/>
      <c r="W829" s="184"/>
    </row>
    <row r="830">
      <c r="D830" s="19"/>
      <c r="G830" s="19"/>
      <c r="I830" s="19"/>
      <c r="J830" s="194"/>
      <c r="L830" s="194"/>
      <c r="V830" s="184"/>
      <c r="W830" s="184"/>
    </row>
    <row r="831">
      <c r="D831" s="19"/>
      <c r="G831" s="19"/>
      <c r="I831" s="19"/>
      <c r="J831" s="194"/>
      <c r="L831" s="194"/>
      <c r="V831" s="184"/>
      <c r="W831" s="184"/>
    </row>
    <row r="832">
      <c r="D832" s="19"/>
      <c r="G832" s="19"/>
      <c r="I832" s="19"/>
      <c r="J832" s="194"/>
      <c r="L832" s="194"/>
      <c r="V832" s="184"/>
      <c r="W832" s="184"/>
    </row>
    <row r="833">
      <c r="D833" s="19"/>
      <c r="G833" s="19"/>
      <c r="I833" s="19"/>
      <c r="J833" s="194"/>
      <c r="L833" s="194"/>
      <c r="V833" s="184"/>
      <c r="W833" s="184"/>
    </row>
    <row r="834">
      <c r="D834" s="19"/>
      <c r="G834" s="19"/>
      <c r="I834" s="19"/>
      <c r="J834" s="194"/>
      <c r="L834" s="194"/>
      <c r="V834" s="184"/>
      <c r="W834" s="184"/>
    </row>
    <row r="835">
      <c r="D835" s="19"/>
      <c r="G835" s="19"/>
      <c r="I835" s="19"/>
      <c r="J835" s="194"/>
      <c r="L835" s="194"/>
      <c r="V835" s="184"/>
      <c r="W835" s="184"/>
    </row>
    <row r="836">
      <c r="D836" s="19"/>
      <c r="G836" s="19"/>
      <c r="I836" s="19"/>
      <c r="J836" s="194"/>
      <c r="L836" s="194"/>
      <c r="V836" s="184"/>
      <c r="W836" s="184"/>
    </row>
    <row r="837">
      <c r="D837" s="19"/>
      <c r="G837" s="19"/>
      <c r="I837" s="19"/>
      <c r="J837" s="194"/>
      <c r="L837" s="194"/>
      <c r="V837" s="184"/>
      <c r="W837" s="184"/>
    </row>
    <row r="838">
      <c r="D838" s="19"/>
      <c r="G838" s="19"/>
      <c r="I838" s="19"/>
      <c r="J838" s="194"/>
      <c r="L838" s="194"/>
      <c r="V838" s="184"/>
      <c r="W838" s="184"/>
    </row>
    <row r="839">
      <c r="D839" s="19"/>
      <c r="G839" s="19"/>
      <c r="I839" s="19"/>
      <c r="J839" s="194"/>
      <c r="L839" s="194"/>
      <c r="V839" s="184"/>
      <c r="W839" s="184"/>
    </row>
    <row r="840">
      <c r="D840" s="19"/>
      <c r="G840" s="19"/>
      <c r="I840" s="19"/>
      <c r="J840" s="194"/>
      <c r="L840" s="194"/>
      <c r="V840" s="184"/>
      <c r="W840" s="184"/>
    </row>
    <row r="841">
      <c r="D841" s="19"/>
      <c r="G841" s="19"/>
      <c r="I841" s="19"/>
      <c r="J841" s="194"/>
      <c r="L841" s="194"/>
      <c r="V841" s="184"/>
      <c r="W841" s="184"/>
    </row>
    <row r="842">
      <c r="D842" s="19"/>
      <c r="G842" s="19"/>
      <c r="I842" s="19"/>
      <c r="J842" s="194"/>
      <c r="L842" s="194"/>
      <c r="V842" s="184"/>
      <c r="W842" s="184"/>
    </row>
    <row r="843">
      <c r="D843" s="19"/>
      <c r="G843" s="19"/>
      <c r="I843" s="19"/>
      <c r="J843" s="194"/>
      <c r="L843" s="194"/>
      <c r="V843" s="184"/>
      <c r="W843" s="184"/>
    </row>
    <row r="844">
      <c r="D844" s="19"/>
      <c r="G844" s="19"/>
      <c r="I844" s="19"/>
      <c r="J844" s="194"/>
      <c r="L844" s="194"/>
      <c r="V844" s="184"/>
      <c r="W844" s="184"/>
    </row>
    <row r="845">
      <c r="D845" s="19"/>
      <c r="G845" s="19"/>
      <c r="I845" s="19"/>
      <c r="J845" s="194"/>
      <c r="L845" s="194"/>
      <c r="V845" s="184"/>
      <c r="W845" s="184"/>
    </row>
    <row r="846">
      <c r="D846" s="19"/>
      <c r="G846" s="19"/>
      <c r="I846" s="19"/>
      <c r="J846" s="194"/>
      <c r="L846" s="194"/>
      <c r="V846" s="184"/>
      <c r="W846" s="184"/>
    </row>
    <row r="847">
      <c r="D847" s="19"/>
      <c r="G847" s="19"/>
      <c r="I847" s="19"/>
      <c r="J847" s="194"/>
      <c r="L847" s="194"/>
      <c r="V847" s="184"/>
      <c r="W847" s="184"/>
    </row>
    <row r="848">
      <c r="D848" s="19"/>
      <c r="G848" s="19"/>
      <c r="I848" s="19"/>
      <c r="J848" s="194"/>
      <c r="L848" s="194"/>
      <c r="V848" s="184"/>
      <c r="W848" s="184"/>
    </row>
    <row r="849">
      <c r="D849" s="19"/>
      <c r="G849" s="19"/>
      <c r="I849" s="19"/>
      <c r="J849" s="194"/>
      <c r="L849" s="194"/>
      <c r="V849" s="184"/>
      <c r="W849" s="184"/>
    </row>
    <row r="850">
      <c r="D850" s="19"/>
      <c r="G850" s="19"/>
      <c r="I850" s="19"/>
      <c r="J850" s="194"/>
      <c r="L850" s="194"/>
      <c r="V850" s="184"/>
      <c r="W850" s="184"/>
    </row>
    <row r="851">
      <c r="D851" s="19"/>
      <c r="G851" s="19"/>
      <c r="I851" s="19"/>
      <c r="J851" s="194"/>
      <c r="L851" s="194"/>
      <c r="V851" s="184"/>
      <c r="W851" s="184"/>
    </row>
    <row r="852">
      <c r="D852" s="19"/>
      <c r="G852" s="19"/>
      <c r="I852" s="19"/>
      <c r="J852" s="194"/>
      <c r="L852" s="194"/>
      <c r="V852" s="184"/>
      <c r="W852" s="184"/>
    </row>
    <row r="853">
      <c r="D853" s="19"/>
      <c r="G853" s="19"/>
      <c r="I853" s="19"/>
      <c r="J853" s="194"/>
      <c r="L853" s="194"/>
      <c r="V853" s="184"/>
      <c r="W853" s="184"/>
    </row>
    <row r="854">
      <c r="D854" s="19"/>
      <c r="G854" s="19"/>
      <c r="I854" s="19"/>
      <c r="J854" s="194"/>
      <c r="L854" s="194"/>
      <c r="V854" s="184"/>
      <c r="W854" s="184"/>
    </row>
    <row r="855">
      <c r="D855" s="19"/>
      <c r="G855" s="19"/>
      <c r="I855" s="19"/>
      <c r="J855" s="194"/>
      <c r="L855" s="194"/>
      <c r="V855" s="184"/>
      <c r="W855" s="184"/>
    </row>
    <row r="856">
      <c r="D856" s="19"/>
      <c r="G856" s="19"/>
      <c r="I856" s="19"/>
      <c r="J856" s="194"/>
      <c r="L856" s="194"/>
      <c r="V856" s="184"/>
      <c r="W856" s="184"/>
    </row>
    <row r="857">
      <c r="D857" s="19"/>
      <c r="G857" s="19"/>
      <c r="I857" s="19"/>
      <c r="J857" s="194"/>
      <c r="L857" s="194"/>
      <c r="V857" s="184"/>
      <c r="W857" s="184"/>
    </row>
    <row r="858">
      <c r="D858" s="19"/>
      <c r="G858" s="19"/>
      <c r="I858" s="19"/>
      <c r="J858" s="194"/>
      <c r="L858" s="194"/>
      <c r="V858" s="184"/>
      <c r="W858" s="184"/>
    </row>
    <row r="859">
      <c r="D859" s="19"/>
      <c r="G859" s="19"/>
      <c r="I859" s="19"/>
      <c r="J859" s="194"/>
      <c r="L859" s="194"/>
      <c r="V859" s="184"/>
      <c r="W859" s="184"/>
    </row>
    <row r="860">
      <c r="D860" s="19"/>
      <c r="G860" s="19"/>
      <c r="I860" s="19"/>
      <c r="J860" s="194"/>
      <c r="L860" s="194"/>
      <c r="V860" s="184"/>
      <c r="W860" s="184"/>
    </row>
    <row r="861">
      <c r="D861" s="19"/>
      <c r="G861" s="19"/>
      <c r="I861" s="19"/>
      <c r="J861" s="194"/>
      <c r="L861" s="194"/>
      <c r="V861" s="184"/>
      <c r="W861" s="184"/>
    </row>
    <row r="862">
      <c r="D862" s="19"/>
      <c r="G862" s="19"/>
      <c r="I862" s="19"/>
      <c r="J862" s="194"/>
      <c r="L862" s="194"/>
      <c r="V862" s="184"/>
      <c r="W862" s="184"/>
    </row>
    <row r="863">
      <c r="D863" s="19"/>
      <c r="G863" s="19"/>
      <c r="I863" s="19"/>
      <c r="J863" s="194"/>
      <c r="L863" s="194"/>
      <c r="V863" s="184"/>
      <c r="W863" s="184"/>
    </row>
    <row r="864">
      <c r="D864" s="19"/>
      <c r="G864" s="19"/>
      <c r="I864" s="19"/>
      <c r="J864" s="194"/>
      <c r="L864" s="194"/>
      <c r="V864" s="184"/>
      <c r="W864" s="184"/>
    </row>
    <row r="865">
      <c r="D865" s="19"/>
      <c r="G865" s="19"/>
      <c r="I865" s="19"/>
      <c r="J865" s="194"/>
      <c r="L865" s="194"/>
      <c r="V865" s="184"/>
      <c r="W865" s="184"/>
    </row>
    <row r="866">
      <c r="D866" s="19"/>
      <c r="G866" s="19"/>
      <c r="I866" s="19"/>
      <c r="J866" s="194"/>
      <c r="L866" s="194"/>
      <c r="V866" s="184"/>
      <c r="W866" s="184"/>
    </row>
    <row r="867">
      <c r="D867" s="19"/>
      <c r="G867" s="19"/>
      <c r="I867" s="19"/>
      <c r="J867" s="194"/>
      <c r="L867" s="194"/>
      <c r="V867" s="184"/>
      <c r="W867" s="184"/>
    </row>
    <row r="868">
      <c r="D868" s="19"/>
      <c r="G868" s="19"/>
      <c r="I868" s="19"/>
      <c r="J868" s="194"/>
      <c r="L868" s="194"/>
      <c r="V868" s="184"/>
      <c r="W868" s="184"/>
    </row>
    <row r="869">
      <c r="D869" s="19"/>
      <c r="G869" s="19"/>
      <c r="I869" s="19"/>
      <c r="J869" s="194"/>
      <c r="L869" s="194"/>
      <c r="V869" s="184"/>
      <c r="W869" s="184"/>
    </row>
    <row r="870">
      <c r="D870" s="19"/>
      <c r="G870" s="19"/>
      <c r="I870" s="19"/>
      <c r="J870" s="194"/>
      <c r="L870" s="194"/>
      <c r="V870" s="184"/>
      <c r="W870" s="184"/>
    </row>
    <row r="871">
      <c r="D871" s="19"/>
      <c r="G871" s="19"/>
      <c r="I871" s="19"/>
      <c r="J871" s="194"/>
      <c r="L871" s="194"/>
      <c r="V871" s="184"/>
      <c r="W871" s="184"/>
    </row>
    <row r="872">
      <c r="D872" s="19"/>
      <c r="G872" s="19"/>
      <c r="I872" s="19"/>
      <c r="J872" s="194"/>
      <c r="L872" s="194"/>
      <c r="V872" s="184"/>
      <c r="W872" s="184"/>
    </row>
    <row r="873">
      <c r="D873" s="19"/>
      <c r="G873" s="19"/>
      <c r="I873" s="19"/>
      <c r="J873" s="194"/>
      <c r="L873" s="194"/>
      <c r="V873" s="184"/>
      <c r="W873" s="184"/>
    </row>
    <row r="874">
      <c r="D874" s="19"/>
      <c r="G874" s="19"/>
      <c r="I874" s="19"/>
      <c r="J874" s="194"/>
      <c r="L874" s="194"/>
      <c r="V874" s="184"/>
      <c r="W874" s="184"/>
    </row>
    <row r="875">
      <c r="D875" s="19"/>
      <c r="G875" s="19"/>
      <c r="I875" s="19"/>
      <c r="J875" s="194"/>
      <c r="L875" s="194"/>
      <c r="V875" s="184"/>
      <c r="W875" s="184"/>
    </row>
    <row r="876">
      <c r="D876" s="19"/>
      <c r="G876" s="19"/>
      <c r="I876" s="19"/>
      <c r="J876" s="194"/>
      <c r="L876" s="194"/>
      <c r="V876" s="184"/>
      <c r="W876" s="184"/>
    </row>
    <row r="877">
      <c r="D877" s="19"/>
      <c r="G877" s="19"/>
      <c r="I877" s="19"/>
      <c r="J877" s="194"/>
      <c r="L877" s="194"/>
      <c r="V877" s="184"/>
      <c r="W877" s="184"/>
    </row>
    <row r="878">
      <c r="D878" s="19"/>
      <c r="G878" s="19"/>
      <c r="I878" s="19"/>
      <c r="J878" s="194"/>
      <c r="L878" s="194"/>
      <c r="V878" s="184"/>
      <c r="W878" s="184"/>
    </row>
    <row r="879">
      <c r="D879" s="19"/>
      <c r="G879" s="19"/>
      <c r="I879" s="19"/>
      <c r="J879" s="194"/>
      <c r="L879" s="194"/>
      <c r="V879" s="184"/>
      <c r="W879" s="184"/>
    </row>
    <row r="880">
      <c r="D880" s="19"/>
      <c r="G880" s="19"/>
      <c r="I880" s="19"/>
      <c r="J880" s="194"/>
      <c r="L880" s="194"/>
      <c r="V880" s="184"/>
      <c r="W880" s="184"/>
    </row>
    <row r="881">
      <c r="D881" s="19"/>
      <c r="G881" s="19"/>
      <c r="I881" s="19"/>
      <c r="J881" s="194"/>
      <c r="L881" s="194"/>
      <c r="V881" s="184"/>
      <c r="W881" s="184"/>
    </row>
    <row r="882">
      <c r="D882" s="19"/>
      <c r="G882" s="19"/>
      <c r="I882" s="19"/>
      <c r="J882" s="194"/>
      <c r="L882" s="194"/>
      <c r="V882" s="184"/>
      <c r="W882" s="184"/>
    </row>
    <row r="883">
      <c r="D883" s="19"/>
      <c r="G883" s="19"/>
      <c r="I883" s="19"/>
      <c r="J883" s="194"/>
      <c r="L883" s="194"/>
      <c r="V883" s="184"/>
      <c r="W883" s="184"/>
    </row>
    <row r="884">
      <c r="D884" s="19"/>
      <c r="G884" s="19"/>
      <c r="I884" s="19"/>
      <c r="J884" s="194"/>
      <c r="L884" s="194"/>
      <c r="V884" s="184"/>
      <c r="W884" s="184"/>
    </row>
    <row r="885">
      <c r="D885" s="19"/>
      <c r="G885" s="19"/>
      <c r="I885" s="19"/>
      <c r="J885" s="194"/>
      <c r="L885" s="194"/>
      <c r="V885" s="184"/>
      <c r="W885" s="184"/>
    </row>
    <row r="886">
      <c r="D886" s="19"/>
      <c r="G886" s="19"/>
      <c r="I886" s="19"/>
      <c r="J886" s="194"/>
      <c r="L886" s="194"/>
      <c r="V886" s="184"/>
      <c r="W886" s="184"/>
    </row>
    <row r="887">
      <c r="D887" s="19"/>
      <c r="G887" s="19"/>
      <c r="I887" s="19"/>
      <c r="J887" s="194"/>
      <c r="L887" s="194"/>
      <c r="V887" s="184"/>
      <c r="W887" s="184"/>
    </row>
    <row r="888">
      <c r="D888" s="19"/>
      <c r="G888" s="19"/>
      <c r="I888" s="19"/>
      <c r="J888" s="194"/>
      <c r="L888" s="194"/>
      <c r="V888" s="184"/>
      <c r="W888" s="184"/>
    </row>
    <row r="889">
      <c r="D889" s="19"/>
      <c r="G889" s="19"/>
      <c r="I889" s="19"/>
      <c r="J889" s="194"/>
      <c r="L889" s="194"/>
      <c r="V889" s="184"/>
      <c r="W889" s="184"/>
    </row>
    <row r="890">
      <c r="D890" s="19"/>
      <c r="G890" s="19"/>
      <c r="I890" s="19"/>
      <c r="J890" s="194"/>
      <c r="L890" s="194"/>
      <c r="V890" s="184"/>
      <c r="W890" s="184"/>
    </row>
    <row r="891">
      <c r="D891" s="19"/>
      <c r="G891" s="19"/>
      <c r="I891" s="19"/>
      <c r="J891" s="194"/>
      <c r="L891" s="194"/>
      <c r="V891" s="184"/>
      <c r="W891" s="184"/>
    </row>
    <row r="892">
      <c r="D892" s="19"/>
      <c r="G892" s="19"/>
      <c r="I892" s="19"/>
      <c r="J892" s="194"/>
      <c r="L892" s="194"/>
      <c r="V892" s="184"/>
      <c r="W892" s="184"/>
    </row>
    <row r="893">
      <c r="D893" s="19"/>
      <c r="G893" s="19"/>
      <c r="I893" s="19"/>
      <c r="J893" s="194"/>
      <c r="L893" s="194"/>
      <c r="V893" s="184"/>
      <c r="W893" s="184"/>
    </row>
    <row r="894">
      <c r="D894" s="19"/>
      <c r="G894" s="19"/>
      <c r="I894" s="19"/>
      <c r="J894" s="194"/>
      <c r="L894" s="194"/>
      <c r="V894" s="184"/>
      <c r="W894" s="184"/>
    </row>
    <row r="895">
      <c r="D895" s="19"/>
      <c r="G895" s="19"/>
      <c r="I895" s="19"/>
      <c r="J895" s="194"/>
      <c r="L895" s="194"/>
      <c r="V895" s="184"/>
      <c r="W895" s="184"/>
    </row>
    <row r="896">
      <c r="D896" s="19"/>
      <c r="G896" s="19"/>
      <c r="I896" s="19"/>
      <c r="J896" s="194"/>
      <c r="L896" s="194"/>
      <c r="V896" s="184"/>
      <c r="W896" s="184"/>
    </row>
    <row r="897">
      <c r="D897" s="19"/>
      <c r="G897" s="19"/>
      <c r="I897" s="19"/>
      <c r="J897" s="194"/>
      <c r="L897" s="194"/>
      <c r="V897" s="184"/>
      <c r="W897" s="184"/>
    </row>
    <row r="898">
      <c r="D898" s="19"/>
      <c r="G898" s="19"/>
      <c r="I898" s="19"/>
      <c r="J898" s="194"/>
      <c r="L898" s="194"/>
      <c r="V898" s="184"/>
      <c r="W898" s="184"/>
    </row>
    <row r="899">
      <c r="D899" s="19"/>
      <c r="G899" s="19"/>
      <c r="I899" s="19"/>
      <c r="J899" s="194"/>
      <c r="L899" s="194"/>
      <c r="V899" s="184"/>
      <c r="W899" s="184"/>
    </row>
    <row r="900">
      <c r="D900" s="19"/>
      <c r="G900" s="19"/>
      <c r="I900" s="19"/>
      <c r="J900" s="194"/>
      <c r="L900" s="194"/>
      <c r="V900" s="184"/>
      <c r="W900" s="184"/>
    </row>
    <row r="901">
      <c r="D901" s="19"/>
      <c r="G901" s="19"/>
      <c r="I901" s="19"/>
      <c r="J901" s="194"/>
      <c r="L901" s="194"/>
      <c r="V901" s="184"/>
      <c r="W901" s="184"/>
    </row>
    <row r="902">
      <c r="D902" s="19"/>
      <c r="G902" s="19"/>
      <c r="I902" s="19"/>
      <c r="J902" s="194"/>
      <c r="L902" s="194"/>
      <c r="V902" s="184"/>
      <c r="W902" s="184"/>
    </row>
    <row r="903">
      <c r="D903" s="19"/>
      <c r="G903" s="19"/>
      <c r="I903" s="19"/>
      <c r="J903" s="194"/>
      <c r="L903" s="194"/>
      <c r="V903" s="184"/>
      <c r="W903" s="184"/>
    </row>
    <row r="904">
      <c r="D904" s="19"/>
      <c r="G904" s="19"/>
      <c r="I904" s="19"/>
      <c r="J904" s="194"/>
      <c r="L904" s="194"/>
      <c r="V904" s="184"/>
      <c r="W904" s="184"/>
    </row>
    <row r="905">
      <c r="D905" s="19"/>
      <c r="G905" s="19"/>
      <c r="I905" s="19"/>
      <c r="J905" s="194"/>
      <c r="L905" s="194"/>
      <c r="V905" s="184"/>
      <c r="W905" s="184"/>
    </row>
    <row r="906">
      <c r="D906" s="19"/>
      <c r="G906" s="19"/>
      <c r="I906" s="19"/>
      <c r="J906" s="194"/>
      <c r="L906" s="194"/>
      <c r="V906" s="184"/>
      <c r="W906" s="184"/>
    </row>
    <row r="907">
      <c r="D907" s="19"/>
      <c r="G907" s="19"/>
      <c r="I907" s="19"/>
      <c r="J907" s="194"/>
      <c r="L907" s="194"/>
      <c r="V907" s="184"/>
      <c r="W907" s="184"/>
    </row>
    <row r="908">
      <c r="D908" s="19"/>
      <c r="G908" s="19"/>
      <c r="I908" s="19"/>
      <c r="J908" s="194"/>
      <c r="L908" s="194"/>
      <c r="V908" s="184"/>
      <c r="W908" s="184"/>
    </row>
    <row r="909">
      <c r="D909" s="19"/>
      <c r="G909" s="19"/>
      <c r="I909" s="19"/>
      <c r="J909" s="194"/>
      <c r="L909" s="194"/>
      <c r="V909" s="184"/>
      <c r="W909" s="184"/>
    </row>
    <row r="910">
      <c r="D910" s="19"/>
      <c r="G910" s="19"/>
      <c r="I910" s="19"/>
      <c r="J910" s="194"/>
      <c r="L910" s="194"/>
      <c r="V910" s="184"/>
      <c r="W910" s="184"/>
    </row>
    <row r="911">
      <c r="D911" s="19"/>
      <c r="G911" s="19"/>
      <c r="I911" s="19"/>
      <c r="J911" s="194"/>
      <c r="L911" s="194"/>
      <c r="V911" s="184"/>
      <c r="W911" s="184"/>
    </row>
    <row r="912">
      <c r="D912" s="19"/>
      <c r="G912" s="19"/>
      <c r="I912" s="19"/>
      <c r="J912" s="194"/>
      <c r="L912" s="194"/>
      <c r="V912" s="184"/>
      <c r="W912" s="184"/>
    </row>
    <row r="913">
      <c r="D913" s="19"/>
      <c r="G913" s="19"/>
      <c r="I913" s="19"/>
      <c r="J913" s="194"/>
      <c r="L913" s="194"/>
      <c r="V913" s="184"/>
      <c r="W913" s="184"/>
    </row>
    <row r="914">
      <c r="D914" s="19"/>
      <c r="G914" s="19"/>
      <c r="I914" s="19"/>
      <c r="J914" s="194"/>
      <c r="L914" s="194"/>
      <c r="V914" s="184"/>
      <c r="W914" s="184"/>
    </row>
    <row r="915">
      <c r="D915" s="19"/>
      <c r="G915" s="19"/>
      <c r="I915" s="19"/>
      <c r="J915" s="194"/>
      <c r="L915" s="194"/>
      <c r="V915" s="184"/>
      <c r="W915" s="184"/>
    </row>
    <row r="916">
      <c r="D916" s="19"/>
      <c r="G916" s="19"/>
      <c r="I916" s="19"/>
      <c r="J916" s="194"/>
      <c r="L916" s="194"/>
      <c r="V916" s="184"/>
      <c r="W916" s="184"/>
    </row>
    <row r="917">
      <c r="D917" s="19"/>
      <c r="G917" s="19"/>
      <c r="I917" s="19"/>
      <c r="J917" s="194"/>
      <c r="L917" s="194"/>
      <c r="V917" s="184"/>
      <c r="W917" s="184"/>
    </row>
    <row r="918">
      <c r="D918" s="19"/>
      <c r="G918" s="19"/>
      <c r="I918" s="19"/>
      <c r="J918" s="194"/>
      <c r="L918" s="194"/>
      <c r="V918" s="184"/>
      <c r="W918" s="184"/>
    </row>
    <row r="919">
      <c r="D919" s="19"/>
      <c r="G919" s="19"/>
      <c r="I919" s="19"/>
      <c r="J919" s="194"/>
      <c r="L919" s="194"/>
      <c r="V919" s="184"/>
      <c r="W919" s="184"/>
    </row>
    <row r="920">
      <c r="D920" s="19"/>
      <c r="G920" s="19"/>
      <c r="I920" s="19"/>
      <c r="J920" s="194"/>
      <c r="L920" s="194"/>
      <c r="V920" s="184"/>
      <c r="W920" s="184"/>
    </row>
    <row r="921">
      <c r="D921" s="19"/>
      <c r="G921" s="19"/>
      <c r="I921" s="19"/>
      <c r="J921" s="194"/>
      <c r="L921" s="194"/>
      <c r="V921" s="184"/>
      <c r="W921" s="184"/>
    </row>
    <row r="922">
      <c r="D922" s="19"/>
      <c r="G922" s="19"/>
      <c r="I922" s="19"/>
      <c r="J922" s="194"/>
      <c r="L922" s="194"/>
      <c r="V922" s="184"/>
      <c r="W922" s="184"/>
    </row>
    <row r="923">
      <c r="D923" s="19"/>
      <c r="G923" s="19"/>
      <c r="I923" s="19"/>
      <c r="J923" s="194"/>
      <c r="L923" s="194"/>
      <c r="V923" s="184"/>
      <c r="W923" s="184"/>
    </row>
    <row r="924">
      <c r="D924" s="19"/>
      <c r="G924" s="19"/>
      <c r="I924" s="19"/>
      <c r="J924" s="194"/>
      <c r="L924" s="194"/>
      <c r="V924" s="184"/>
      <c r="W924" s="184"/>
    </row>
    <row r="925">
      <c r="D925" s="19"/>
      <c r="G925" s="19"/>
      <c r="I925" s="19"/>
      <c r="J925" s="194"/>
      <c r="L925" s="194"/>
      <c r="V925" s="184"/>
      <c r="W925" s="184"/>
    </row>
    <row r="926">
      <c r="D926" s="19"/>
      <c r="G926" s="19"/>
      <c r="I926" s="19"/>
      <c r="J926" s="194"/>
      <c r="L926" s="194"/>
      <c r="V926" s="184"/>
      <c r="W926" s="184"/>
    </row>
    <row r="927">
      <c r="D927" s="19"/>
      <c r="G927" s="19"/>
      <c r="I927" s="19"/>
      <c r="J927" s="194"/>
      <c r="L927" s="194"/>
      <c r="V927" s="184"/>
      <c r="W927" s="184"/>
    </row>
    <row r="928">
      <c r="D928" s="19"/>
      <c r="G928" s="19"/>
      <c r="I928" s="19"/>
      <c r="J928" s="194"/>
      <c r="L928" s="194"/>
      <c r="V928" s="184"/>
      <c r="W928" s="184"/>
    </row>
    <row r="929">
      <c r="D929" s="19"/>
      <c r="G929" s="19"/>
      <c r="I929" s="19"/>
      <c r="J929" s="194"/>
      <c r="L929" s="194"/>
      <c r="V929" s="184"/>
      <c r="W929" s="184"/>
    </row>
    <row r="930">
      <c r="D930" s="19"/>
      <c r="G930" s="19"/>
      <c r="I930" s="19"/>
      <c r="J930" s="194"/>
      <c r="L930" s="194"/>
      <c r="V930" s="184"/>
      <c r="W930" s="184"/>
    </row>
    <row r="931">
      <c r="D931" s="19"/>
      <c r="G931" s="19"/>
      <c r="I931" s="19"/>
      <c r="J931" s="194"/>
      <c r="L931" s="194"/>
      <c r="V931" s="184"/>
      <c r="W931" s="184"/>
    </row>
    <row r="932">
      <c r="D932" s="19"/>
      <c r="G932" s="19"/>
      <c r="I932" s="19"/>
      <c r="J932" s="194"/>
      <c r="L932" s="194"/>
      <c r="V932" s="184"/>
      <c r="W932" s="184"/>
    </row>
    <row r="933">
      <c r="D933" s="19"/>
      <c r="G933" s="19"/>
      <c r="I933" s="19"/>
      <c r="J933" s="194"/>
      <c r="L933" s="194"/>
      <c r="V933" s="184"/>
      <c r="W933" s="184"/>
    </row>
    <row r="934">
      <c r="D934" s="19"/>
      <c r="G934" s="19"/>
      <c r="I934" s="19"/>
      <c r="J934" s="194"/>
      <c r="L934" s="194"/>
      <c r="V934" s="184"/>
      <c r="W934" s="184"/>
    </row>
    <row r="935">
      <c r="D935" s="19"/>
      <c r="G935" s="19"/>
      <c r="I935" s="19"/>
      <c r="J935" s="194"/>
      <c r="L935" s="194"/>
      <c r="V935" s="184"/>
      <c r="W935" s="184"/>
    </row>
    <row r="936">
      <c r="D936" s="19"/>
      <c r="G936" s="19"/>
      <c r="I936" s="19"/>
      <c r="J936" s="194"/>
      <c r="L936" s="194"/>
      <c r="V936" s="184"/>
      <c r="W936" s="184"/>
    </row>
    <row r="937">
      <c r="D937" s="19"/>
      <c r="G937" s="19"/>
      <c r="I937" s="19"/>
      <c r="J937" s="194"/>
      <c r="L937" s="194"/>
      <c r="V937" s="184"/>
      <c r="W937" s="184"/>
    </row>
    <row r="938">
      <c r="D938" s="19"/>
      <c r="G938" s="19"/>
      <c r="I938" s="19"/>
      <c r="J938" s="194"/>
      <c r="L938" s="194"/>
      <c r="V938" s="184"/>
      <c r="W938" s="184"/>
    </row>
    <row r="939">
      <c r="D939" s="19"/>
      <c r="G939" s="19"/>
      <c r="I939" s="19"/>
      <c r="J939" s="194"/>
      <c r="L939" s="194"/>
      <c r="V939" s="184"/>
      <c r="W939" s="184"/>
    </row>
    <row r="940">
      <c r="D940" s="19"/>
      <c r="G940" s="19"/>
      <c r="I940" s="19"/>
      <c r="J940" s="194"/>
      <c r="L940" s="194"/>
      <c r="V940" s="184"/>
      <c r="W940" s="184"/>
    </row>
    <row r="941">
      <c r="D941" s="19"/>
      <c r="G941" s="19"/>
      <c r="I941" s="19"/>
      <c r="J941" s="194"/>
      <c r="L941" s="194"/>
      <c r="V941" s="184"/>
      <c r="W941" s="184"/>
    </row>
    <row r="942">
      <c r="D942" s="19"/>
      <c r="G942" s="19"/>
      <c r="I942" s="19"/>
      <c r="J942" s="194"/>
      <c r="L942" s="194"/>
      <c r="V942" s="184"/>
      <c r="W942" s="184"/>
    </row>
    <row r="943">
      <c r="D943" s="19"/>
      <c r="G943" s="19"/>
      <c r="I943" s="19"/>
      <c r="J943" s="194"/>
      <c r="L943" s="194"/>
      <c r="V943" s="184"/>
      <c r="W943" s="184"/>
    </row>
    <row r="944">
      <c r="D944" s="19"/>
      <c r="G944" s="19"/>
      <c r="I944" s="19"/>
      <c r="J944" s="194"/>
      <c r="L944" s="194"/>
      <c r="V944" s="184"/>
      <c r="W944" s="184"/>
    </row>
    <row r="945">
      <c r="D945" s="19"/>
      <c r="G945" s="19"/>
      <c r="I945" s="19"/>
      <c r="J945" s="194"/>
      <c r="L945" s="194"/>
      <c r="V945" s="184"/>
      <c r="W945" s="184"/>
    </row>
    <row r="946">
      <c r="D946" s="19"/>
      <c r="G946" s="19"/>
      <c r="I946" s="19"/>
      <c r="J946" s="194"/>
      <c r="L946" s="194"/>
      <c r="V946" s="184"/>
      <c r="W946" s="184"/>
    </row>
    <row r="947">
      <c r="D947" s="19"/>
      <c r="G947" s="19"/>
      <c r="I947" s="19"/>
      <c r="J947" s="194"/>
      <c r="L947" s="194"/>
      <c r="V947" s="184"/>
      <c r="W947" s="184"/>
    </row>
    <row r="948">
      <c r="D948" s="19"/>
      <c r="G948" s="19"/>
      <c r="I948" s="19"/>
      <c r="J948" s="194"/>
      <c r="L948" s="194"/>
      <c r="V948" s="184"/>
      <c r="W948" s="184"/>
    </row>
    <row r="949">
      <c r="D949" s="19"/>
      <c r="G949" s="19"/>
      <c r="I949" s="19"/>
      <c r="J949" s="194"/>
      <c r="L949" s="194"/>
      <c r="V949" s="184"/>
      <c r="W949" s="184"/>
    </row>
    <row r="950">
      <c r="D950" s="19"/>
      <c r="G950" s="19"/>
      <c r="I950" s="19"/>
      <c r="J950" s="194"/>
      <c r="L950" s="194"/>
      <c r="V950" s="184"/>
      <c r="W950" s="184"/>
    </row>
    <row r="951">
      <c r="D951" s="19"/>
      <c r="G951" s="19"/>
      <c r="I951" s="19"/>
      <c r="J951" s="194"/>
      <c r="L951" s="194"/>
      <c r="V951" s="184"/>
      <c r="W951" s="184"/>
    </row>
    <row r="952">
      <c r="D952" s="19"/>
      <c r="G952" s="19"/>
      <c r="I952" s="19"/>
      <c r="J952" s="194"/>
      <c r="L952" s="194"/>
      <c r="V952" s="184"/>
      <c r="W952" s="184"/>
    </row>
    <row r="953">
      <c r="D953" s="19"/>
      <c r="G953" s="19"/>
      <c r="I953" s="19"/>
      <c r="J953" s="194"/>
      <c r="L953" s="194"/>
      <c r="V953" s="184"/>
      <c r="W953" s="184"/>
    </row>
    <row r="954">
      <c r="D954" s="19"/>
      <c r="G954" s="19"/>
      <c r="I954" s="19"/>
      <c r="J954" s="194"/>
      <c r="L954" s="194"/>
      <c r="V954" s="184"/>
      <c r="W954" s="184"/>
    </row>
    <row r="955">
      <c r="D955" s="19"/>
      <c r="G955" s="19"/>
      <c r="I955" s="19"/>
      <c r="J955" s="194"/>
      <c r="L955" s="194"/>
      <c r="V955" s="184"/>
      <c r="W955" s="184"/>
    </row>
    <row r="956">
      <c r="D956" s="19"/>
      <c r="G956" s="19"/>
      <c r="I956" s="19"/>
      <c r="J956" s="194"/>
      <c r="L956" s="194"/>
      <c r="V956" s="184"/>
      <c r="W956" s="184"/>
    </row>
    <row r="957">
      <c r="D957" s="19"/>
      <c r="G957" s="19"/>
      <c r="I957" s="19"/>
      <c r="J957" s="194"/>
      <c r="L957" s="194"/>
      <c r="V957" s="184"/>
      <c r="W957" s="184"/>
    </row>
    <row r="958">
      <c r="D958" s="19"/>
      <c r="G958" s="19"/>
      <c r="I958" s="19"/>
      <c r="J958" s="194"/>
      <c r="L958" s="194"/>
      <c r="V958" s="184"/>
      <c r="W958" s="184"/>
    </row>
    <row r="959">
      <c r="D959" s="19"/>
      <c r="G959" s="19"/>
      <c r="I959" s="19"/>
      <c r="J959" s="194"/>
      <c r="L959" s="194"/>
      <c r="V959" s="184"/>
      <c r="W959" s="184"/>
    </row>
    <row r="960">
      <c r="D960" s="19"/>
      <c r="G960" s="19"/>
      <c r="I960" s="19"/>
      <c r="J960" s="194"/>
      <c r="L960" s="194"/>
      <c r="V960" s="184"/>
      <c r="W960" s="184"/>
    </row>
    <row r="961">
      <c r="D961" s="19"/>
      <c r="G961" s="19"/>
      <c r="I961" s="19"/>
      <c r="J961" s="194"/>
      <c r="L961" s="194"/>
      <c r="V961" s="184"/>
      <c r="W961" s="184"/>
    </row>
    <row r="962">
      <c r="D962" s="19"/>
      <c r="G962" s="19"/>
      <c r="I962" s="19"/>
      <c r="J962" s="194"/>
      <c r="L962" s="194"/>
      <c r="V962" s="184"/>
      <c r="W962" s="184"/>
    </row>
    <row r="963">
      <c r="D963" s="19"/>
      <c r="G963" s="19"/>
      <c r="I963" s="19"/>
      <c r="J963" s="194"/>
      <c r="L963" s="194"/>
      <c r="V963" s="184"/>
      <c r="W963" s="184"/>
    </row>
    <row r="964">
      <c r="D964" s="19"/>
      <c r="G964" s="19"/>
      <c r="I964" s="19"/>
      <c r="J964" s="194"/>
      <c r="L964" s="194"/>
      <c r="V964" s="184"/>
      <c r="W964" s="184"/>
    </row>
    <row r="965">
      <c r="D965" s="19"/>
      <c r="G965" s="19"/>
      <c r="I965" s="19"/>
      <c r="J965" s="194"/>
      <c r="L965" s="194"/>
      <c r="V965" s="184"/>
      <c r="W965" s="184"/>
    </row>
    <row r="966">
      <c r="D966" s="19"/>
      <c r="G966" s="19"/>
      <c r="I966" s="19"/>
      <c r="J966" s="194"/>
      <c r="L966" s="194"/>
      <c r="V966" s="184"/>
      <c r="W966" s="184"/>
    </row>
    <row r="967">
      <c r="D967" s="19"/>
      <c r="G967" s="19"/>
      <c r="I967" s="19"/>
      <c r="J967" s="194"/>
      <c r="L967" s="194"/>
      <c r="V967" s="184"/>
      <c r="W967" s="184"/>
    </row>
    <row r="968">
      <c r="D968" s="19"/>
      <c r="G968" s="19"/>
      <c r="I968" s="19"/>
      <c r="J968" s="194"/>
      <c r="L968" s="194"/>
      <c r="V968" s="184"/>
      <c r="W968" s="184"/>
    </row>
    <row r="969">
      <c r="D969" s="19"/>
      <c r="G969" s="19"/>
      <c r="I969" s="19"/>
      <c r="J969" s="194"/>
      <c r="L969" s="194"/>
      <c r="V969" s="184"/>
      <c r="W969" s="184"/>
    </row>
    <row r="970">
      <c r="D970" s="19"/>
      <c r="G970" s="19"/>
      <c r="I970" s="19"/>
      <c r="J970" s="194"/>
      <c r="L970" s="194"/>
      <c r="V970" s="184"/>
      <c r="W970" s="184"/>
    </row>
    <row r="971">
      <c r="D971" s="19"/>
      <c r="G971" s="19"/>
      <c r="I971" s="19"/>
      <c r="J971" s="194"/>
      <c r="L971" s="194"/>
      <c r="V971" s="184"/>
      <c r="W971" s="184"/>
    </row>
    <row r="972">
      <c r="D972" s="19"/>
      <c r="G972" s="19"/>
      <c r="I972" s="19"/>
      <c r="J972" s="194"/>
      <c r="L972" s="194"/>
      <c r="V972" s="184"/>
      <c r="W972" s="184"/>
    </row>
    <row r="973">
      <c r="D973" s="19"/>
      <c r="G973" s="19"/>
      <c r="I973" s="19"/>
      <c r="J973" s="194"/>
      <c r="L973" s="194"/>
      <c r="V973" s="184"/>
      <c r="W973" s="184"/>
    </row>
    <row r="974">
      <c r="D974" s="19"/>
      <c r="G974" s="19"/>
      <c r="I974" s="19"/>
      <c r="J974" s="194"/>
      <c r="L974" s="194"/>
      <c r="V974" s="184"/>
      <c r="W974" s="184"/>
    </row>
    <row r="975">
      <c r="D975" s="19"/>
      <c r="G975" s="19"/>
      <c r="I975" s="19"/>
      <c r="J975" s="194"/>
      <c r="L975" s="194"/>
      <c r="V975" s="184"/>
      <c r="W975" s="184"/>
    </row>
    <row r="976">
      <c r="D976" s="19"/>
      <c r="G976" s="19"/>
      <c r="I976" s="19"/>
      <c r="J976" s="194"/>
      <c r="L976" s="194"/>
      <c r="V976" s="184"/>
      <c r="W976" s="184"/>
    </row>
    <row r="977">
      <c r="D977" s="19"/>
      <c r="G977" s="19"/>
      <c r="I977" s="19"/>
      <c r="J977" s="194"/>
      <c r="L977" s="194"/>
      <c r="V977" s="184"/>
      <c r="W977" s="184"/>
    </row>
    <row r="978">
      <c r="D978" s="19"/>
      <c r="G978" s="19"/>
      <c r="I978" s="19"/>
      <c r="J978" s="194"/>
      <c r="L978" s="194"/>
      <c r="V978" s="184"/>
      <c r="W978" s="184"/>
    </row>
    <row r="979">
      <c r="D979" s="19"/>
      <c r="G979" s="19"/>
      <c r="I979" s="19"/>
      <c r="J979" s="194"/>
      <c r="L979" s="194"/>
      <c r="V979" s="184"/>
      <c r="W979" s="184"/>
    </row>
    <row r="980">
      <c r="D980" s="19"/>
      <c r="G980" s="19"/>
      <c r="I980" s="19"/>
      <c r="J980" s="194"/>
      <c r="L980" s="194"/>
      <c r="V980" s="184"/>
      <c r="W980" s="184"/>
    </row>
    <row r="981">
      <c r="D981" s="19"/>
      <c r="G981" s="19"/>
      <c r="I981" s="19"/>
      <c r="J981" s="194"/>
      <c r="L981" s="194"/>
      <c r="V981" s="184"/>
      <c r="W981" s="184"/>
    </row>
    <row r="982">
      <c r="D982" s="19"/>
      <c r="G982" s="19"/>
      <c r="I982" s="19"/>
      <c r="J982" s="194"/>
      <c r="L982" s="194"/>
      <c r="V982" s="184"/>
      <c r="W982" s="184"/>
    </row>
    <row r="983">
      <c r="D983" s="19"/>
      <c r="G983" s="19"/>
      <c r="I983" s="19"/>
      <c r="J983" s="194"/>
      <c r="L983" s="194"/>
      <c r="V983" s="184"/>
      <c r="W983" s="184"/>
    </row>
    <row r="984">
      <c r="D984" s="19"/>
      <c r="G984" s="19"/>
      <c r="I984" s="19"/>
      <c r="J984" s="194"/>
      <c r="L984" s="194"/>
      <c r="V984" s="184"/>
      <c r="W984" s="184"/>
    </row>
    <row r="985">
      <c r="D985" s="19"/>
      <c r="G985" s="19"/>
      <c r="I985" s="19"/>
      <c r="J985" s="194"/>
      <c r="L985" s="194"/>
      <c r="V985" s="184"/>
      <c r="W985" s="184"/>
    </row>
    <row r="986">
      <c r="D986" s="19"/>
      <c r="G986" s="19"/>
      <c r="I986" s="19"/>
      <c r="J986" s="194"/>
      <c r="L986" s="194"/>
      <c r="V986" s="184"/>
      <c r="W986" s="184"/>
    </row>
    <row r="987">
      <c r="D987" s="19"/>
      <c r="G987" s="19"/>
      <c r="I987" s="19"/>
      <c r="J987" s="194"/>
      <c r="L987" s="194"/>
      <c r="V987" s="184"/>
      <c r="W987" s="184"/>
    </row>
    <row r="988">
      <c r="D988" s="19"/>
      <c r="G988" s="19"/>
      <c r="I988" s="19"/>
      <c r="J988" s="194"/>
      <c r="L988" s="194"/>
      <c r="V988" s="184"/>
      <c r="W988" s="184"/>
    </row>
    <row r="989">
      <c r="D989" s="19"/>
      <c r="G989" s="19"/>
      <c r="I989" s="19"/>
      <c r="J989" s="194"/>
      <c r="L989" s="194"/>
      <c r="V989" s="184"/>
      <c r="W989" s="184"/>
    </row>
    <row r="990">
      <c r="D990" s="19"/>
      <c r="G990" s="19"/>
      <c r="I990" s="19"/>
      <c r="J990" s="194"/>
      <c r="L990" s="194"/>
      <c r="V990" s="184"/>
      <c r="W990" s="184"/>
    </row>
    <row r="991">
      <c r="D991" s="19"/>
      <c r="G991" s="19"/>
      <c r="I991" s="19"/>
      <c r="J991" s="194"/>
      <c r="L991" s="194"/>
      <c r="V991" s="184"/>
      <c r="W991" s="184"/>
    </row>
    <row r="992">
      <c r="D992" s="19"/>
      <c r="G992" s="19"/>
      <c r="I992" s="19"/>
      <c r="J992" s="194"/>
      <c r="L992" s="194"/>
      <c r="V992" s="184"/>
      <c r="W992" s="184"/>
    </row>
    <row r="993">
      <c r="D993" s="19"/>
      <c r="G993" s="19"/>
      <c r="I993" s="19"/>
      <c r="J993" s="194"/>
      <c r="L993" s="194"/>
      <c r="V993" s="184"/>
      <c r="W993" s="184"/>
    </row>
    <row r="994">
      <c r="D994" s="19"/>
      <c r="G994" s="19"/>
      <c r="I994" s="19"/>
      <c r="J994" s="194"/>
      <c r="L994" s="194"/>
      <c r="V994" s="184"/>
      <c r="W994" s="184"/>
    </row>
    <row r="995">
      <c r="D995" s="19"/>
      <c r="G995" s="19"/>
      <c r="I995" s="19"/>
      <c r="J995" s="194"/>
      <c r="L995" s="194"/>
      <c r="V995" s="184"/>
      <c r="W995" s="184"/>
    </row>
    <row r="996">
      <c r="D996" s="19"/>
      <c r="G996" s="19"/>
      <c r="I996" s="19"/>
      <c r="J996" s="194"/>
      <c r="L996" s="194"/>
      <c r="V996" s="184"/>
      <c r="W996" s="184"/>
    </row>
    <row r="997">
      <c r="D997" s="19"/>
      <c r="G997" s="19"/>
      <c r="I997" s="19"/>
      <c r="J997" s="194"/>
      <c r="L997" s="194"/>
      <c r="V997" s="184"/>
      <c r="W997" s="184"/>
    </row>
    <row r="998">
      <c r="D998" s="19"/>
      <c r="G998" s="19"/>
      <c r="I998" s="19"/>
      <c r="J998" s="194"/>
      <c r="L998" s="194"/>
      <c r="V998" s="184"/>
      <c r="W998" s="184"/>
    </row>
    <row r="999">
      <c r="D999" s="19"/>
      <c r="G999" s="19"/>
      <c r="I999" s="19"/>
      <c r="J999" s="194"/>
      <c r="L999" s="194"/>
      <c r="V999" s="184"/>
      <c r="W999" s="184"/>
    </row>
    <row r="1000">
      <c r="D1000" s="19"/>
      <c r="G1000" s="19"/>
      <c r="I1000" s="19"/>
      <c r="J1000" s="194"/>
      <c r="L1000" s="194"/>
      <c r="V1000" s="184"/>
      <c r="W1000" s="184"/>
    </row>
    <row r="1001">
      <c r="D1001" s="19"/>
      <c r="G1001" s="19"/>
      <c r="I1001" s="19"/>
      <c r="J1001" s="194"/>
      <c r="L1001" s="194"/>
      <c r="V1001" s="184"/>
      <c r="W1001" s="184"/>
    </row>
    <row r="1002">
      <c r="D1002" s="19"/>
      <c r="G1002" s="19"/>
      <c r="I1002" s="19"/>
      <c r="J1002" s="194"/>
      <c r="L1002" s="194"/>
      <c r="V1002" s="184"/>
      <c r="W1002" s="184"/>
    </row>
    <row r="1003">
      <c r="D1003" s="19"/>
      <c r="G1003" s="19"/>
      <c r="I1003" s="19"/>
      <c r="J1003" s="194"/>
      <c r="L1003" s="194"/>
      <c r="V1003" s="184"/>
      <c r="W1003" s="184"/>
    </row>
    <row r="1004">
      <c r="D1004" s="19"/>
      <c r="G1004" s="19"/>
      <c r="I1004" s="19"/>
      <c r="J1004" s="194"/>
      <c r="L1004" s="194"/>
      <c r="V1004" s="184"/>
      <c r="W1004" s="184"/>
    </row>
    <row r="1005">
      <c r="D1005" s="19"/>
      <c r="G1005" s="19"/>
      <c r="I1005" s="19"/>
      <c r="J1005" s="194"/>
      <c r="L1005" s="194"/>
      <c r="V1005" s="184"/>
      <c r="W1005" s="184"/>
    </row>
    <row r="1006">
      <c r="D1006" s="19"/>
      <c r="G1006" s="19"/>
      <c r="I1006" s="19"/>
      <c r="J1006" s="194"/>
      <c r="L1006" s="194"/>
      <c r="V1006" s="184"/>
      <c r="W1006" s="184"/>
    </row>
    <row r="1007">
      <c r="D1007" s="19"/>
      <c r="G1007" s="19"/>
      <c r="I1007" s="19"/>
      <c r="J1007" s="194"/>
      <c r="L1007" s="194"/>
      <c r="V1007" s="184"/>
      <c r="W1007" s="184"/>
    </row>
    <row r="1008">
      <c r="D1008" s="19"/>
      <c r="G1008" s="19"/>
      <c r="I1008" s="19"/>
      <c r="J1008" s="194"/>
      <c r="L1008" s="194"/>
      <c r="V1008" s="184"/>
      <c r="W1008" s="184"/>
    </row>
    <row r="1009">
      <c r="D1009" s="19"/>
      <c r="G1009" s="19"/>
      <c r="I1009" s="19"/>
      <c r="J1009" s="194"/>
      <c r="L1009" s="194"/>
      <c r="V1009" s="184"/>
      <c r="W1009" s="184"/>
    </row>
    <row r="1010">
      <c r="D1010" s="19"/>
      <c r="G1010" s="19"/>
      <c r="I1010" s="19"/>
      <c r="J1010" s="194"/>
      <c r="L1010" s="194"/>
      <c r="V1010" s="184"/>
      <c r="W1010" s="184"/>
    </row>
    <row r="1011">
      <c r="D1011" s="19"/>
      <c r="G1011" s="19"/>
      <c r="I1011" s="19"/>
      <c r="J1011" s="194"/>
      <c r="L1011" s="194"/>
      <c r="V1011" s="184"/>
      <c r="W1011" s="184"/>
    </row>
    <row r="1012">
      <c r="D1012" s="19"/>
      <c r="G1012" s="19"/>
      <c r="I1012" s="19"/>
      <c r="J1012" s="194"/>
      <c r="L1012" s="194"/>
      <c r="V1012" s="184"/>
      <c r="W1012" s="184"/>
    </row>
    <row r="1013">
      <c r="D1013" s="19"/>
      <c r="G1013" s="19"/>
      <c r="I1013" s="19"/>
      <c r="J1013" s="194"/>
      <c r="L1013" s="194"/>
      <c r="V1013" s="184"/>
      <c r="W1013" s="184"/>
    </row>
    <row r="1014">
      <c r="D1014" s="19"/>
      <c r="G1014" s="19"/>
      <c r="V1014" s="184"/>
      <c r="W1014" s="184"/>
    </row>
    <row r="1015">
      <c r="D1015" s="19"/>
      <c r="G1015" s="19"/>
      <c r="V1015" s="184"/>
      <c r="W1015" s="184"/>
    </row>
    <row r="1016">
      <c r="D1016" s="19"/>
      <c r="G1016" s="19"/>
      <c r="V1016" s="184"/>
      <c r="W1016" s="184"/>
    </row>
  </sheetData>
  <autoFilter ref="$A$1:$W$77"/>
  <dataValidations>
    <dataValidation type="list" allowBlank="1" showErrorMessage="1" sqref="E2:E50 E52:E76">
      <formula1>"-------,UX/UI,Backend,Mobile,Frontend,Testing,PM"</formula1>
    </dataValidation>
    <dataValidation type="list" allowBlank="1" showErrorMessage="1" sqref="H2:H53 H76">
      <formula1>"----------------,🟢 Активный,⏸️ Приостановлен,🚪 Прекратил стажировку,❌ Отчислен,✅ Успешно завершил"</formula1>
    </dataValidation>
    <dataValidation type="list" allowBlank="1" showErrorMessage="1" sqref="J2:J53 L2:L53 J76 L76">
      <formula1>"---------------,1й проект,2й проект,3й проект,4й проект"</formula1>
    </dataValidation>
    <dataValidation type="list" allowBlank="1" showErrorMessage="1" sqref="I2:I53 I76">
      <formula1>"-----------------,Бишкекский филиал,Ошский филиал,Внешние стажёры(Биш),Внешние стажёры(Ош)"</formula1>
    </dataValidation>
    <dataValidation type="list" allowBlank="1" showErrorMessage="1" sqref="K2:K53 K76">
      <formula1>"---------------,Резюме загружено,Резюме не загружено"</formula1>
    </dataValidation>
    <dataValidation type="list" allowBlank="1" showErrorMessage="1" sqref="N2:N33 N35:N48">
      <formula1>"-----,подписан,не подписан"</formula1>
    </dataValidation>
  </dataValidation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25"/>
    <col customWidth="1" min="2" max="2" width="17.75"/>
    <col customWidth="1" min="3" max="4" width="9.13"/>
    <col customWidth="1" min="5" max="5" width="10.13"/>
    <col customWidth="1" min="6" max="6" width="10.0"/>
    <col customWidth="1" min="7" max="7" width="8.75"/>
    <col customWidth="1" min="8" max="8" width="9.13"/>
    <col customWidth="1" min="9" max="9" width="9.63"/>
    <col customWidth="1" min="10" max="10" width="10.88"/>
    <col customWidth="1" min="11" max="11" width="19.5"/>
  </cols>
  <sheetData>
    <row r="1">
      <c r="A1" s="19"/>
      <c r="C1" s="19"/>
      <c r="D1" s="19"/>
      <c r="E1" s="19"/>
      <c r="F1" s="19"/>
      <c r="G1" s="19"/>
      <c r="H1" s="19"/>
      <c r="I1" s="19"/>
      <c r="J1" s="247"/>
      <c r="L1" s="248" t="s">
        <v>474</v>
      </c>
    </row>
    <row r="2">
      <c r="A2" s="26"/>
      <c r="B2" s="11" t="s">
        <v>477</v>
      </c>
      <c r="C2" s="250" t="s">
        <v>15</v>
      </c>
      <c r="D2" s="250" t="s">
        <v>25</v>
      </c>
      <c r="E2" s="250" t="s">
        <v>64</v>
      </c>
      <c r="F2" s="250" t="s">
        <v>39</v>
      </c>
      <c r="G2" s="250" t="s">
        <v>78</v>
      </c>
      <c r="H2" s="26" t="s">
        <v>481</v>
      </c>
      <c r="I2" s="26" t="s">
        <v>200</v>
      </c>
      <c r="J2" s="252" t="s">
        <v>482</v>
      </c>
      <c r="K2" s="26" t="s">
        <v>483</v>
      </c>
      <c r="Y2" s="253"/>
      <c r="Z2" s="253"/>
    </row>
    <row r="3">
      <c r="A3" s="255"/>
      <c r="B3" s="260">
        <f>COUNTA(B13:B32)</f>
        <v>19</v>
      </c>
      <c r="C3" s="263">
        <f t="shared" ref="C3:H3" si="1">C12+C18+C24</f>
        <v>15</v>
      </c>
      <c r="D3" s="263">
        <f t="shared" si="1"/>
        <v>41</v>
      </c>
      <c r="E3" s="263">
        <f t="shared" si="1"/>
        <v>50</v>
      </c>
      <c r="F3" s="263">
        <f t="shared" si="1"/>
        <v>57</v>
      </c>
      <c r="G3" s="263">
        <f t="shared" si="1"/>
        <v>21</v>
      </c>
      <c r="H3" s="263">
        <f t="shared" si="1"/>
        <v>184</v>
      </c>
      <c r="I3" s="255"/>
      <c r="J3" s="266"/>
      <c r="K3" s="255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</row>
    <row r="4">
      <c r="A4" s="19"/>
      <c r="C4" s="19"/>
      <c r="D4" s="19"/>
      <c r="E4" s="19"/>
      <c r="F4" s="19"/>
      <c r="G4" s="19"/>
      <c r="H4" s="19"/>
      <c r="I4" s="19"/>
      <c r="J4" s="247"/>
      <c r="K4" s="7"/>
    </row>
    <row r="5">
      <c r="A5" s="255"/>
      <c r="B5" s="271">
        <f>COUNTA(B6:B11)</f>
        <v>6</v>
      </c>
      <c r="C5" s="274">
        <f t="shared" ref="C5:G5" si="2">SUM(C6:C10)</f>
        <v>5</v>
      </c>
      <c r="D5" s="274">
        <f t="shared" si="2"/>
        <v>15</v>
      </c>
      <c r="E5" s="274">
        <f t="shared" si="2"/>
        <v>12</v>
      </c>
      <c r="F5" s="274">
        <f t="shared" si="2"/>
        <v>16</v>
      </c>
      <c r="G5" s="274">
        <f t="shared" si="2"/>
        <v>5</v>
      </c>
      <c r="H5" s="274">
        <f>SUM(H6:H11)</f>
        <v>65</v>
      </c>
      <c r="I5" s="275"/>
      <c r="J5" s="276"/>
      <c r="K5" s="275"/>
      <c r="L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</row>
    <row r="6">
      <c r="A6" s="278">
        <v>46032.0</v>
      </c>
      <c r="B6" s="11" t="s">
        <v>148</v>
      </c>
      <c r="C6" s="26">
        <v>1.0</v>
      </c>
      <c r="D6" s="26">
        <v>3.0</v>
      </c>
      <c r="E6" s="26">
        <v>3.0</v>
      </c>
      <c r="F6" s="26">
        <v>3.0</v>
      </c>
      <c r="G6" s="26">
        <v>1.0</v>
      </c>
      <c r="H6" s="98">
        <f t="shared" ref="H6:H11" si="3">SUM(C6:G6)</f>
        <v>11</v>
      </c>
      <c r="I6" s="98"/>
      <c r="J6" s="282"/>
      <c r="K6" s="11" t="s">
        <v>495</v>
      </c>
    </row>
    <row r="7">
      <c r="A7" s="278">
        <v>46063.0</v>
      </c>
      <c r="B7" s="11" t="s">
        <v>151</v>
      </c>
      <c r="C7" s="26">
        <v>1.0</v>
      </c>
      <c r="D7" s="26">
        <v>3.0</v>
      </c>
      <c r="E7" s="26">
        <v>2.0</v>
      </c>
      <c r="F7" s="26">
        <v>3.0</v>
      </c>
      <c r="G7" s="26">
        <v>1.0</v>
      </c>
      <c r="H7" s="98">
        <f t="shared" si="3"/>
        <v>10</v>
      </c>
      <c r="I7" s="98"/>
      <c r="J7" s="282"/>
      <c r="K7" s="11" t="s">
        <v>417</v>
      </c>
      <c r="L7" s="4" t="s">
        <v>498</v>
      </c>
      <c r="M7" s="284">
        <v>46204.0</v>
      </c>
      <c r="R7" s="248" t="s">
        <v>499</v>
      </c>
    </row>
    <row r="8">
      <c r="A8" s="278">
        <v>46091.0</v>
      </c>
      <c r="B8" s="11" t="s">
        <v>155</v>
      </c>
      <c r="C8" s="26">
        <v>1.0</v>
      </c>
      <c r="D8" s="26">
        <v>3.0</v>
      </c>
      <c r="E8" s="26">
        <v>2.0</v>
      </c>
      <c r="F8" s="26">
        <v>3.0</v>
      </c>
      <c r="G8" s="26">
        <v>1.0</v>
      </c>
      <c r="H8" s="98">
        <f t="shared" si="3"/>
        <v>10</v>
      </c>
      <c r="I8" s="98"/>
      <c r="J8" s="282"/>
      <c r="K8" s="11" t="s">
        <v>417</v>
      </c>
      <c r="M8" s="284">
        <v>46204.0</v>
      </c>
      <c r="R8" s="289" t="s">
        <v>507</v>
      </c>
    </row>
    <row r="9">
      <c r="A9" s="278">
        <v>46122.0</v>
      </c>
      <c r="B9" s="11" t="s">
        <v>157</v>
      </c>
      <c r="C9" s="26">
        <v>1.0</v>
      </c>
      <c r="D9" s="26">
        <v>3.0</v>
      </c>
      <c r="E9" s="26">
        <v>2.0</v>
      </c>
      <c r="F9" s="26">
        <v>3.0</v>
      </c>
      <c r="G9" s="26">
        <v>1.0</v>
      </c>
      <c r="H9" s="98">
        <f t="shared" si="3"/>
        <v>10</v>
      </c>
      <c r="I9" s="98"/>
      <c r="J9" s="282"/>
      <c r="K9" s="11" t="s">
        <v>417</v>
      </c>
      <c r="L9" s="4" t="s">
        <v>509</v>
      </c>
      <c r="R9" s="289" t="s">
        <v>512</v>
      </c>
    </row>
    <row r="10">
      <c r="A10" s="278">
        <v>46152.0</v>
      </c>
      <c r="B10" s="11" t="s">
        <v>160</v>
      </c>
      <c r="C10" s="26">
        <v>1.0</v>
      </c>
      <c r="D10" s="26">
        <v>3.0</v>
      </c>
      <c r="E10" s="26">
        <v>3.0</v>
      </c>
      <c r="F10" s="26">
        <v>4.0</v>
      </c>
      <c r="G10" s="26">
        <v>1.0</v>
      </c>
      <c r="H10" s="98">
        <f t="shared" si="3"/>
        <v>12</v>
      </c>
      <c r="I10" s="98"/>
      <c r="J10" s="282"/>
      <c r="K10" s="11" t="s">
        <v>514</v>
      </c>
      <c r="R10" s="289" t="s">
        <v>515</v>
      </c>
    </row>
    <row r="11">
      <c r="A11" s="278">
        <v>46183.0</v>
      </c>
      <c r="B11" s="11" t="s">
        <v>163</v>
      </c>
      <c r="C11" s="26">
        <v>1.0</v>
      </c>
      <c r="D11" s="26">
        <v>3.0</v>
      </c>
      <c r="E11" s="26">
        <v>3.0</v>
      </c>
      <c r="F11" s="26">
        <v>4.0</v>
      </c>
      <c r="G11" s="26">
        <v>1.0</v>
      </c>
      <c r="H11" s="98">
        <f t="shared" si="3"/>
        <v>12</v>
      </c>
      <c r="I11" s="98"/>
      <c r="J11" s="282"/>
      <c r="K11" s="11" t="s">
        <v>516</v>
      </c>
      <c r="R11" s="291" t="s">
        <v>518</v>
      </c>
    </row>
    <row r="12">
      <c r="A12" s="255"/>
      <c r="B12" s="271">
        <f>COUNTA(B13:B17)</f>
        <v>5</v>
      </c>
      <c r="C12" s="274">
        <f t="shared" ref="C12:H12" si="4">SUM(C13:C17)</f>
        <v>5</v>
      </c>
      <c r="D12" s="274">
        <f t="shared" si="4"/>
        <v>15</v>
      </c>
      <c r="E12" s="274">
        <f t="shared" si="4"/>
        <v>21</v>
      </c>
      <c r="F12" s="274">
        <f t="shared" si="4"/>
        <v>20</v>
      </c>
      <c r="G12" s="274">
        <f t="shared" si="4"/>
        <v>7</v>
      </c>
      <c r="H12" s="274">
        <f t="shared" si="4"/>
        <v>68</v>
      </c>
      <c r="I12" s="275"/>
      <c r="J12" s="276"/>
      <c r="K12" s="275"/>
      <c r="L12" s="269"/>
      <c r="N12" s="269"/>
      <c r="O12" s="269"/>
      <c r="P12" s="269"/>
      <c r="Q12" s="269"/>
      <c r="R12" s="293" t="s">
        <v>520</v>
      </c>
      <c r="S12" s="269"/>
      <c r="T12" s="269"/>
      <c r="U12" s="269"/>
      <c r="V12" s="269"/>
      <c r="W12" s="269"/>
      <c r="X12" s="269"/>
      <c r="Y12" s="269"/>
      <c r="Z12" s="269"/>
    </row>
    <row r="13">
      <c r="A13" s="278">
        <v>46033.0</v>
      </c>
      <c r="B13" s="11" t="s">
        <v>16</v>
      </c>
      <c r="C13" s="26">
        <v>1.0</v>
      </c>
      <c r="D13" s="26">
        <v>3.0</v>
      </c>
      <c r="E13" s="26">
        <v>2.0</v>
      </c>
      <c r="F13" s="26">
        <v>2.0</v>
      </c>
      <c r="G13" s="26">
        <v>1.0</v>
      </c>
      <c r="H13" s="98">
        <f t="shared" ref="H13:H17" si="5">SUM(C13:G13)</f>
        <v>9</v>
      </c>
      <c r="I13" s="98"/>
      <c r="J13" s="282"/>
      <c r="K13" s="11" t="s">
        <v>495</v>
      </c>
      <c r="R13" s="4" t="s">
        <v>524</v>
      </c>
    </row>
    <row r="14">
      <c r="A14" s="278">
        <v>46064.0</v>
      </c>
      <c r="B14" s="11" t="s">
        <v>129</v>
      </c>
      <c r="C14" s="26">
        <v>1.0</v>
      </c>
      <c r="D14" s="26">
        <v>2.0</v>
      </c>
      <c r="E14" s="26">
        <v>4.0</v>
      </c>
      <c r="F14" s="26">
        <v>3.0</v>
      </c>
      <c r="G14" s="26">
        <v>2.0</v>
      </c>
      <c r="H14" s="98">
        <f t="shared" si="5"/>
        <v>12</v>
      </c>
      <c r="I14" s="98"/>
      <c r="J14" s="282"/>
      <c r="K14" s="11" t="s">
        <v>495</v>
      </c>
      <c r="M14" s="269"/>
      <c r="R14" s="296" t="s">
        <v>527</v>
      </c>
    </row>
    <row r="15">
      <c r="A15" s="278">
        <v>46092.0</v>
      </c>
      <c r="B15" s="11" t="s">
        <v>131</v>
      </c>
      <c r="C15" s="26">
        <v>1.0</v>
      </c>
      <c r="D15" s="26">
        <v>4.0</v>
      </c>
      <c r="E15" s="26">
        <v>3.0</v>
      </c>
      <c r="F15" s="26">
        <v>3.0</v>
      </c>
      <c r="G15" s="26">
        <v>2.0</v>
      </c>
      <c r="H15" s="98">
        <f t="shared" si="5"/>
        <v>13</v>
      </c>
      <c r="I15" s="98"/>
      <c r="J15" s="282"/>
      <c r="K15" s="11" t="s">
        <v>416</v>
      </c>
      <c r="M15" s="269"/>
      <c r="R15" s="297" t="s">
        <v>529</v>
      </c>
    </row>
    <row r="16">
      <c r="A16" s="278">
        <v>46123.0</v>
      </c>
      <c r="B16" s="11" t="s">
        <v>133</v>
      </c>
      <c r="C16" s="26">
        <v>1.0</v>
      </c>
      <c r="D16" s="26">
        <v>4.0</v>
      </c>
      <c r="E16" s="26">
        <v>7.0</v>
      </c>
      <c r="F16" s="26">
        <v>7.0</v>
      </c>
      <c r="G16" s="26">
        <v>1.0</v>
      </c>
      <c r="H16" s="98">
        <f t="shared" si="5"/>
        <v>20</v>
      </c>
      <c r="I16" s="98"/>
      <c r="J16" s="282"/>
      <c r="K16" s="11" t="s">
        <v>495</v>
      </c>
      <c r="M16" s="269"/>
      <c r="R16" s="297" t="s">
        <v>530</v>
      </c>
    </row>
    <row r="17">
      <c r="A17" s="278">
        <v>46153.0</v>
      </c>
      <c r="B17" s="11" t="s">
        <v>136</v>
      </c>
      <c r="C17" s="26">
        <v>1.0</v>
      </c>
      <c r="D17" s="26">
        <v>2.0</v>
      </c>
      <c r="E17" s="26">
        <v>5.0</v>
      </c>
      <c r="F17" s="26">
        <v>5.0</v>
      </c>
      <c r="G17" s="26">
        <v>1.0</v>
      </c>
      <c r="H17" s="98">
        <f t="shared" si="5"/>
        <v>14</v>
      </c>
      <c r="I17" s="98"/>
      <c r="J17" s="282"/>
      <c r="K17" s="11" t="s">
        <v>516</v>
      </c>
      <c r="L17" s="4" t="s">
        <v>531</v>
      </c>
      <c r="M17" s="269"/>
      <c r="R17" s="299" t="s">
        <v>532</v>
      </c>
    </row>
    <row r="18">
      <c r="A18" s="300"/>
      <c r="B18" s="271">
        <f>COUNTA(B19:B23)</f>
        <v>5</v>
      </c>
      <c r="C18" s="274">
        <f t="shared" ref="C18:H18" si="6">SUM(C19:C23)</f>
        <v>5</v>
      </c>
      <c r="D18" s="303">
        <f t="shared" si="6"/>
        <v>13</v>
      </c>
      <c r="E18" s="303">
        <f t="shared" si="6"/>
        <v>16</v>
      </c>
      <c r="F18" s="303">
        <f t="shared" si="6"/>
        <v>25</v>
      </c>
      <c r="G18" s="303">
        <f t="shared" si="6"/>
        <v>9</v>
      </c>
      <c r="H18" s="303">
        <f t="shared" si="6"/>
        <v>68</v>
      </c>
      <c r="I18" s="300"/>
      <c r="J18" s="247"/>
      <c r="K18" s="300"/>
      <c r="M18" s="269"/>
      <c r="R18" s="305" t="s">
        <v>535</v>
      </c>
    </row>
    <row r="19" ht="17.25" customHeight="1">
      <c r="A19" s="278">
        <v>46034.0</v>
      </c>
      <c r="B19" s="149" t="s">
        <v>114</v>
      </c>
      <c r="C19" s="98">
        <f>COUNTIFS('Ведомость 12'!F:F,B19,'Ведомость 12'!E:E,$C$2)</f>
        <v>1</v>
      </c>
      <c r="D19" s="98">
        <f>COUNTIFS('Ведомость 12'!F:F,B19,'Ведомость 12'!E:E,$D$2)</f>
        <v>3</v>
      </c>
      <c r="E19" s="98">
        <f>COUNTIFS('Ведомость 12'!F:F,B19,'Ведомость 12'!E:E,$E$2)</f>
        <v>2</v>
      </c>
      <c r="F19" s="98">
        <f>COUNTIFS('Ведомость 12'!F:F,B19,'Ведомость 12'!E:E,$F$2)</f>
        <v>3</v>
      </c>
      <c r="G19" s="98">
        <f>COUNTIFS('Ведомость 12'!F:F,B19,'Ведомость 12'!E:E,$G$2)</f>
        <v>3</v>
      </c>
      <c r="H19" s="98">
        <f t="shared" ref="H19:H23" si="7">SUM(C19:G19)</f>
        <v>12</v>
      </c>
      <c r="I19" s="26">
        <v>11.0</v>
      </c>
      <c r="J19" s="252">
        <v>10.0</v>
      </c>
      <c r="K19" s="11" t="s">
        <v>495</v>
      </c>
      <c r="R19" s="305" t="s">
        <v>542</v>
      </c>
    </row>
    <row r="20" ht="17.25" customHeight="1">
      <c r="A20" s="278">
        <v>46065.0</v>
      </c>
      <c r="B20" s="149" t="s">
        <v>116</v>
      </c>
      <c r="C20" s="98">
        <f>COUNTIFS('Ведомость 12'!F:F,B20,'Ведомость 12'!E:E,$C$2)</f>
        <v>1</v>
      </c>
      <c r="D20" s="98">
        <f>COUNTIFS('Ведомость 12'!F:F,B20,'Ведомость 12'!E:E,$D$2)</f>
        <v>3</v>
      </c>
      <c r="E20" s="98">
        <f>COUNTIFS('Ведомость 12'!F:F,B20,'Ведомость 12'!E:E,$E$2)</f>
        <v>3</v>
      </c>
      <c r="F20" s="98">
        <f>COUNTIFS('Ведомость 12'!F:F,B20,'Ведомость 12'!E:E,$F$2)</f>
        <v>4</v>
      </c>
      <c r="G20" s="98">
        <f>COUNTIFS('Ведомость 12'!F:F,B20,'Ведомость 12'!E:E,$G$2)</f>
        <v>1</v>
      </c>
      <c r="H20" s="98">
        <f t="shared" si="7"/>
        <v>12</v>
      </c>
      <c r="I20" s="98"/>
      <c r="J20" s="282"/>
      <c r="K20" s="11" t="s">
        <v>549</v>
      </c>
      <c r="R20" s="305" t="s">
        <v>550</v>
      </c>
    </row>
    <row r="21" ht="17.25" customHeight="1">
      <c r="A21" s="278">
        <v>46093.0</v>
      </c>
      <c r="B21" s="149" t="s">
        <v>119</v>
      </c>
      <c r="C21" s="98">
        <f>COUNTIFS('Ведомость 12'!F:F,B21,'Ведомость 12'!E:E,$C$2)</f>
        <v>1</v>
      </c>
      <c r="D21" s="98">
        <f>COUNTIFS('Ведомость 12'!F:F,B21,'Ведомость 12'!E:E,$D$2)</f>
        <v>2</v>
      </c>
      <c r="E21" s="98">
        <f>COUNTIFS('Ведомость 12'!F:F,B21,'Ведомость 12'!E:E,$E$2)</f>
        <v>2</v>
      </c>
      <c r="F21" s="98">
        <f>COUNTIFS('Ведомость 12'!F:F,B21,'Ведомость 12'!E:E,$F$2)</f>
        <v>3</v>
      </c>
      <c r="G21" s="98">
        <f>COUNTIFS('Ведомость 12'!F:F,B21,'Ведомость 12'!E:E,$G$2)</f>
        <v>2</v>
      </c>
      <c r="H21" s="98">
        <f t="shared" si="7"/>
        <v>10</v>
      </c>
      <c r="I21" s="98"/>
      <c r="J21" s="282"/>
      <c r="K21" s="11" t="s">
        <v>416</v>
      </c>
      <c r="R21" s="312" t="s">
        <v>555</v>
      </c>
    </row>
    <row r="22" ht="17.25" customHeight="1">
      <c r="A22" s="278">
        <v>46124.0</v>
      </c>
      <c r="B22" s="149" t="s">
        <v>121</v>
      </c>
      <c r="C22" s="98">
        <f>COUNTIFS('Ведомость 12'!F:F,B22,'Ведомость 12'!E:E,$C$2)</f>
        <v>1</v>
      </c>
      <c r="D22" s="98">
        <f>COUNTIFS('Ведомость 12'!F:F,B22,'Ведомость 12'!E:E,$D$2)</f>
        <v>3</v>
      </c>
      <c r="E22" s="98">
        <f>COUNTIFS('Ведомость 12'!F:F,B22,'Ведомость 12'!E:E,$E$2)</f>
        <v>4</v>
      </c>
      <c r="F22" s="98">
        <f>COUNTIFS('Ведомость 12'!F:F,B22,'Ведомость 12'!E:E,$F$2)</f>
        <v>10</v>
      </c>
      <c r="G22" s="98">
        <f>COUNTIFS('Ведомость 12'!F:F,B22,'Ведомость 12'!E:E,$G$2)</f>
        <v>2</v>
      </c>
      <c r="H22" s="98">
        <f t="shared" si="7"/>
        <v>20</v>
      </c>
      <c r="I22" s="98"/>
      <c r="J22" s="282"/>
      <c r="K22" s="11" t="s">
        <v>416</v>
      </c>
      <c r="R22" s="305" t="s">
        <v>561</v>
      </c>
    </row>
    <row r="23">
      <c r="A23" s="278">
        <v>46154.0</v>
      </c>
      <c r="B23" s="11" t="s">
        <v>123</v>
      </c>
      <c r="C23" s="26">
        <v>1.0</v>
      </c>
      <c r="D23" s="26">
        <v>2.0</v>
      </c>
      <c r="E23" s="26">
        <v>5.0</v>
      </c>
      <c r="F23" s="26">
        <v>5.0</v>
      </c>
      <c r="G23" s="26">
        <v>1.0</v>
      </c>
      <c r="H23" s="98">
        <f t="shared" si="7"/>
        <v>14</v>
      </c>
      <c r="I23" s="98"/>
      <c r="J23" s="282"/>
      <c r="K23" s="11" t="s">
        <v>563</v>
      </c>
      <c r="R23" s="248" t="s">
        <v>564</v>
      </c>
    </row>
    <row r="24">
      <c r="A24" s="300"/>
      <c r="B24" s="271">
        <f>COUNTA(B25:B30)</f>
        <v>6</v>
      </c>
      <c r="C24" s="274">
        <f t="shared" ref="C24:H24" si="8">SUM(C25:C29)</f>
        <v>5</v>
      </c>
      <c r="D24" s="303">
        <f t="shared" si="8"/>
        <v>13</v>
      </c>
      <c r="E24" s="303">
        <f t="shared" si="8"/>
        <v>13</v>
      </c>
      <c r="F24" s="303">
        <f t="shared" si="8"/>
        <v>12</v>
      </c>
      <c r="G24" s="303">
        <f t="shared" si="8"/>
        <v>5</v>
      </c>
      <c r="H24" s="303">
        <f t="shared" si="8"/>
        <v>48</v>
      </c>
      <c r="I24" s="300"/>
      <c r="J24" s="247"/>
      <c r="K24" s="300"/>
      <c r="R24" s="4" t="s">
        <v>567</v>
      </c>
    </row>
    <row r="25">
      <c r="A25" s="278">
        <v>46035.0</v>
      </c>
      <c r="B25" s="171" t="s">
        <v>94</v>
      </c>
      <c r="C25" s="98">
        <f>COUNTIFS('Ведомость 13'!E:E,$B$25,'Ведомость 13'!D:D,C2)</f>
        <v>1</v>
      </c>
      <c r="D25" s="98">
        <f>COUNTIFS('Ведомость 13'!E:E,$B$25,'Ведомость 13'!D:D,D2)</f>
        <v>5</v>
      </c>
      <c r="E25" s="98">
        <f>COUNTIFS('Ведомость 13'!E:E,$B$25,'Ведомость 13'!D:D,E2)</f>
        <v>5</v>
      </c>
      <c r="F25" s="98">
        <f>COUNTIFS('Ведомость 13'!E:E,$B$25,'Ведомость 13'!D:D,F2)</f>
        <v>4</v>
      </c>
      <c r="G25" s="98">
        <f>COUNTIFS('Ведомость 13'!E:E,$B$25,'Ведомость 13'!D:D,G2)</f>
        <v>1</v>
      </c>
      <c r="H25" s="98">
        <f t="shared" ref="H25:H30" si="9">SUM(C25:G25)</f>
        <v>16</v>
      </c>
      <c r="I25" s="98"/>
      <c r="J25" s="282"/>
      <c r="K25" s="11" t="s">
        <v>563</v>
      </c>
      <c r="R25" s="4" t="s">
        <v>574</v>
      </c>
    </row>
    <row r="26">
      <c r="A26" s="278">
        <v>46066.0</v>
      </c>
      <c r="B26" s="146" t="s">
        <v>99</v>
      </c>
      <c r="C26" s="98">
        <f>COUNTIFS('Ведомость 13'!E:E,B26,'Ведомость 13'!D:D,C2)</f>
        <v>1</v>
      </c>
      <c r="D26" s="26" t="s">
        <v>578</v>
      </c>
      <c r="E26" s="98">
        <f>COUNTIFS('Ведомость 13'!E:E,B26,'Ведомость 13'!D:D,E2)</f>
        <v>4</v>
      </c>
      <c r="F26" s="98">
        <f>COUNTIFS('Ведомость 13'!E:E,B26,'Ведомость 13'!D:D,F2)</f>
        <v>5</v>
      </c>
      <c r="G26" s="98">
        <f>COUNTIFS('Ведомость 13'!E:E,B26,'Ведомость 13'!D:D,G2)</f>
        <v>3</v>
      </c>
      <c r="H26" s="98">
        <f t="shared" si="9"/>
        <v>13</v>
      </c>
      <c r="I26" s="98"/>
      <c r="J26" s="282"/>
      <c r="K26" s="11" t="s">
        <v>416</v>
      </c>
    </row>
    <row r="27">
      <c r="A27" s="278">
        <v>46094.0</v>
      </c>
      <c r="B27" s="146" t="s">
        <v>102</v>
      </c>
      <c r="C27" s="98">
        <f>COUNTIFS('Ведомость 13'!E:E,B27,'Ведомость 13'!D:D,C2)</f>
        <v>1</v>
      </c>
      <c r="D27" s="26" t="s">
        <v>578</v>
      </c>
      <c r="E27" s="98">
        <f>COUNTIFS('Ведомость 13'!E:E,B27,'Ведомость 13'!D:D,E2)</f>
        <v>4</v>
      </c>
      <c r="F27" s="98">
        <f>COUNTIFS('Ведомость 13'!E:E,B27,'Ведомость 13'!D:D,F2)</f>
        <v>3</v>
      </c>
      <c r="G27" s="98">
        <f>COUNTIFS('Ведомость 13'!E:E,B27,'Ведомость 13'!D:D,G2)</f>
        <v>1</v>
      </c>
      <c r="H27" s="98">
        <f t="shared" si="9"/>
        <v>9</v>
      </c>
      <c r="I27" s="98"/>
      <c r="J27" s="282"/>
      <c r="K27" s="11" t="s">
        <v>563</v>
      </c>
    </row>
    <row r="28">
      <c r="A28" s="278">
        <v>46125.0</v>
      </c>
      <c r="B28" s="11" t="s">
        <v>252</v>
      </c>
      <c r="C28" s="26">
        <v>1.0</v>
      </c>
      <c r="D28" s="342" t="s">
        <v>578</v>
      </c>
      <c r="E28" s="98"/>
      <c r="F28" s="98"/>
      <c r="G28" s="98"/>
      <c r="H28" s="98">
        <f t="shared" si="9"/>
        <v>1</v>
      </c>
      <c r="I28" s="98"/>
      <c r="J28" s="282"/>
      <c r="K28" s="11" t="s">
        <v>563</v>
      </c>
    </row>
    <row r="29">
      <c r="A29" s="278">
        <v>46155.0</v>
      </c>
      <c r="B29" s="11" t="s">
        <v>108</v>
      </c>
      <c r="C29" s="346">
        <f>COUNTIFS('Ведомость 13'!E:E,B29,'Ведомость 13'!D:D,C2)</f>
        <v>1</v>
      </c>
      <c r="D29" s="346">
        <f>COUNTIFS('Ведомость 13'!E:E,B29,'Ведомость 13'!D:D,D2)</f>
        <v>8</v>
      </c>
      <c r="E29" s="98"/>
      <c r="F29" s="98"/>
      <c r="G29" s="98"/>
      <c r="H29" s="98">
        <f t="shared" si="9"/>
        <v>9</v>
      </c>
      <c r="I29" s="98"/>
      <c r="J29" s="282"/>
      <c r="K29" s="11" t="s">
        <v>563</v>
      </c>
    </row>
    <row r="30">
      <c r="A30" s="278">
        <v>46186.0</v>
      </c>
      <c r="B30" s="11" t="s">
        <v>110</v>
      </c>
      <c r="C30" s="26">
        <v>1.0</v>
      </c>
      <c r="D30" s="346">
        <f>COUNTIFS('Ведомость 13'!E:E,B30,'Ведомость 13'!D:D,D2)</f>
        <v>4</v>
      </c>
      <c r="E30" s="98">
        <f>COUNTIFS('Ведомость 13'!E:E,B30,'Ведомость 13'!D:D,E2)</f>
        <v>0</v>
      </c>
      <c r="F30" s="98">
        <f>COUNTIFS('Ведомость 13'!E:E,B30,'Ведомость 13'!D:D,F2)</f>
        <v>0</v>
      </c>
      <c r="G30" s="98">
        <f>COUNTIFS('Ведомость 13'!E:E,B30,'Ведомость 13'!D:D,G2)</f>
        <v>0</v>
      </c>
      <c r="H30" s="98">
        <f t="shared" si="9"/>
        <v>5</v>
      </c>
      <c r="I30" s="98"/>
      <c r="J30" s="282"/>
      <c r="K30" s="11" t="s">
        <v>563</v>
      </c>
    </row>
    <row r="31">
      <c r="A31" s="278">
        <v>46216.0</v>
      </c>
      <c r="B31" s="4" t="s">
        <v>112</v>
      </c>
      <c r="C31" s="98"/>
      <c r="D31" s="98"/>
      <c r="E31" s="98"/>
      <c r="F31" s="98"/>
      <c r="G31" s="98"/>
      <c r="H31" s="98"/>
      <c r="I31" s="98"/>
      <c r="J31" s="282"/>
      <c r="K31" s="98"/>
    </row>
    <row r="32">
      <c r="A32" s="300"/>
      <c r="B32" s="139"/>
      <c r="C32" s="300"/>
      <c r="D32" s="300"/>
      <c r="E32" s="300"/>
      <c r="F32" s="300"/>
      <c r="G32" s="300"/>
      <c r="H32" s="300"/>
      <c r="I32" s="300"/>
      <c r="J32" s="300"/>
      <c r="K32" s="300"/>
    </row>
    <row r="33">
      <c r="A33" s="19"/>
      <c r="C33" s="19"/>
      <c r="D33" s="19"/>
      <c r="E33" s="19"/>
      <c r="F33" s="19"/>
      <c r="G33" s="19"/>
      <c r="H33" s="19"/>
      <c r="I33" s="19"/>
      <c r="J33" s="247"/>
    </row>
    <row r="34">
      <c r="A34" s="19"/>
      <c r="C34" s="19"/>
      <c r="D34" s="19"/>
      <c r="E34" s="19"/>
      <c r="F34" s="19"/>
      <c r="G34" s="19"/>
      <c r="H34" s="19"/>
      <c r="I34" s="19"/>
      <c r="J34" s="247"/>
    </row>
    <row r="35">
      <c r="A35" s="19"/>
      <c r="C35" s="19"/>
      <c r="D35" s="19"/>
      <c r="E35" s="19"/>
      <c r="F35" s="19"/>
      <c r="H35" s="19"/>
      <c r="I35" s="19"/>
      <c r="J35" s="247"/>
    </row>
    <row r="36">
      <c r="A36" s="19"/>
      <c r="C36" s="19"/>
      <c r="D36" s="19"/>
      <c r="E36" s="19"/>
      <c r="F36" s="19"/>
      <c r="G36" s="19"/>
      <c r="H36" s="19"/>
      <c r="I36" s="19"/>
      <c r="J36" s="247"/>
    </row>
    <row r="37">
      <c r="A37" s="19"/>
      <c r="C37" s="19"/>
      <c r="D37" s="19"/>
      <c r="E37" s="19"/>
      <c r="F37" s="19"/>
      <c r="G37" s="19"/>
      <c r="H37" s="19"/>
      <c r="I37" s="19"/>
      <c r="J37" s="247"/>
    </row>
    <row r="38">
      <c r="A38" s="19"/>
      <c r="C38" s="19"/>
      <c r="D38" s="19"/>
      <c r="E38" s="19"/>
      <c r="F38" s="19"/>
      <c r="G38" s="19"/>
      <c r="H38" s="19"/>
      <c r="I38" s="19"/>
      <c r="J38" s="247"/>
    </row>
    <row r="39">
      <c r="A39" s="19"/>
      <c r="C39" s="19"/>
      <c r="D39" s="19"/>
      <c r="E39" s="19"/>
      <c r="F39" s="19"/>
      <c r="G39" s="19"/>
      <c r="H39" s="19"/>
      <c r="I39" s="19"/>
      <c r="J39" s="247"/>
    </row>
    <row r="40">
      <c r="A40" s="19"/>
      <c r="C40" s="19"/>
      <c r="D40" s="19"/>
      <c r="E40" s="19"/>
      <c r="F40" s="19"/>
      <c r="G40" s="19"/>
      <c r="H40" s="19"/>
      <c r="I40" s="19"/>
      <c r="J40" s="247"/>
    </row>
    <row r="41">
      <c r="A41" s="19"/>
      <c r="C41" s="19"/>
      <c r="D41" s="19"/>
      <c r="E41" s="19"/>
      <c r="F41" s="19"/>
      <c r="G41" s="19"/>
      <c r="H41" s="19"/>
      <c r="I41" s="19"/>
      <c r="J41" s="247"/>
    </row>
    <row r="42">
      <c r="A42" s="19"/>
      <c r="C42" s="19"/>
      <c r="D42" s="19"/>
      <c r="E42" s="19"/>
      <c r="F42" s="19"/>
      <c r="G42" s="19"/>
      <c r="H42" s="19"/>
      <c r="I42" s="19"/>
      <c r="J42" s="247"/>
    </row>
    <row r="43">
      <c r="A43" s="19"/>
      <c r="C43" s="19"/>
      <c r="D43" s="19"/>
      <c r="E43" s="19"/>
      <c r="F43" s="19"/>
      <c r="G43" s="19"/>
      <c r="H43" s="19"/>
      <c r="I43" s="19"/>
      <c r="J43" s="247"/>
    </row>
    <row r="44">
      <c r="A44" s="19"/>
      <c r="C44" s="19"/>
      <c r="D44" s="19"/>
      <c r="E44" s="19"/>
      <c r="F44" s="19"/>
      <c r="G44" s="19"/>
      <c r="H44" s="19"/>
      <c r="I44" s="19"/>
      <c r="J44" s="247"/>
    </row>
    <row r="45">
      <c r="A45" s="19"/>
      <c r="C45" s="19"/>
      <c r="D45" s="19"/>
      <c r="E45" s="19"/>
      <c r="F45" s="19"/>
      <c r="G45" s="19"/>
      <c r="H45" s="19"/>
      <c r="I45" s="19"/>
      <c r="J45" s="247"/>
    </row>
    <row r="46">
      <c r="A46" s="19"/>
      <c r="C46" s="19"/>
      <c r="D46" s="19"/>
      <c r="E46" s="19"/>
      <c r="F46" s="19"/>
      <c r="G46" s="19"/>
      <c r="H46" s="19"/>
      <c r="I46" s="19"/>
      <c r="J46" s="247"/>
    </row>
    <row r="47">
      <c r="A47" s="19"/>
      <c r="C47" s="19"/>
      <c r="D47" s="19"/>
      <c r="E47" s="19"/>
      <c r="F47" s="19"/>
      <c r="G47" s="19"/>
      <c r="H47" s="19"/>
      <c r="I47" s="19"/>
      <c r="J47" s="247"/>
    </row>
    <row r="48">
      <c r="A48" s="19"/>
      <c r="C48" s="19"/>
      <c r="D48" s="19"/>
      <c r="E48" s="19"/>
      <c r="F48" s="19"/>
      <c r="G48" s="19"/>
      <c r="H48" s="19"/>
      <c r="I48" s="19"/>
      <c r="J48" s="247"/>
    </row>
    <row r="49">
      <c r="A49" s="19"/>
      <c r="C49" s="19"/>
      <c r="D49" s="19"/>
      <c r="E49" s="19"/>
      <c r="F49" s="19"/>
      <c r="G49" s="19"/>
      <c r="H49" s="19"/>
      <c r="I49" s="19"/>
      <c r="J49" s="247"/>
    </row>
    <row r="50">
      <c r="A50" s="19"/>
      <c r="C50" s="19"/>
      <c r="D50" s="19"/>
      <c r="E50" s="19"/>
      <c r="F50" s="19"/>
      <c r="G50" s="19"/>
      <c r="H50" s="19"/>
      <c r="I50" s="19"/>
      <c r="J50" s="247"/>
    </row>
    <row r="51">
      <c r="A51" s="19"/>
      <c r="C51" s="19"/>
      <c r="D51" s="19"/>
      <c r="E51" s="19"/>
      <c r="F51" s="19"/>
      <c r="G51" s="19"/>
      <c r="H51" s="19"/>
      <c r="I51" s="19"/>
      <c r="J51" s="247"/>
    </row>
    <row r="52">
      <c r="A52" s="19"/>
      <c r="C52" s="19"/>
      <c r="D52" s="19"/>
      <c r="E52" s="19"/>
      <c r="F52" s="19"/>
      <c r="G52" s="19"/>
      <c r="H52" s="19"/>
      <c r="I52" s="19"/>
      <c r="J52" s="247"/>
    </row>
    <row r="53">
      <c r="A53" s="19"/>
      <c r="C53" s="19"/>
      <c r="D53" s="19"/>
      <c r="E53" s="19"/>
      <c r="F53" s="19"/>
      <c r="G53" s="19"/>
      <c r="H53" s="19"/>
      <c r="I53" s="19"/>
      <c r="J53" s="247"/>
    </row>
    <row r="54">
      <c r="A54" s="19"/>
      <c r="C54" s="19"/>
      <c r="D54" s="19"/>
      <c r="E54" s="19"/>
      <c r="F54" s="19"/>
      <c r="G54" s="19"/>
      <c r="H54" s="19"/>
      <c r="I54" s="19"/>
      <c r="J54" s="247"/>
    </row>
    <row r="55">
      <c r="A55" s="19"/>
      <c r="C55" s="19"/>
      <c r="D55" s="19"/>
      <c r="E55" s="19"/>
      <c r="F55" s="19"/>
      <c r="G55" s="19"/>
      <c r="H55" s="19"/>
      <c r="I55" s="19"/>
      <c r="J55" s="247"/>
    </row>
    <row r="56">
      <c r="A56" s="19"/>
      <c r="C56" s="19"/>
      <c r="D56" s="19"/>
      <c r="E56" s="19"/>
      <c r="F56" s="19"/>
      <c r="G56" s="19"/>
      <c r="H56" s="19"/>
      <c r="I56" s="19"/>
      <c r="J56" s="247"/>
    </row>
    <row r="57">
      <c r="A57" s="19"/>
      <c r="C57" s="19"/>
      <c r="D57" s="19"/>
      <c r="E57" s="19"/>
      <c r="F57" s="19"/>
      <c r="G57" s="19"/>
      <c r="H57" s="19"/>
      <c r="I57" s="19"/>
      <c r="J57" s="247"/>
    </row>
    <row r="58">
      <c r="A58" s="19"/>
      <c r="C58" s="19"/>
      <c r="D58" s="19"/>
      <c r="E58" s="19"/>
      <c r="F58" s="19"/>
      <c r="G58" s="19"/>
      <c r="H58" s="19"/>
      <c r="I58" s="19"/>
      <c r="J58" s="247"/>
    </row>
    <row r="59">
      <c r="A59" s="19"/>
      <c r="C59" s="19"/>
      <c r="D59" s="19"/>
      <c r="E59" s="19"/>
      <c r="F59" s="19"/>
      <c r="G59" s="19"/>
      <c r="H59" s="19"/>
      <c r="I59" s="19"/>
      <c r="J59" s="247"/>
    </row>
    <row r="60">
      <c r="A60" s="19"/>
      <c r="C60" s="19"/>
      <c r="D60" s="19"/>
      <c r="E60" s="19"/>
      <c r="F60" s="19"/>
      <c r="G60" s="19"/>
      <c r="H60" s="19"/>
      <c r="I60" s="19"/>
      <c r="J60" s="247"/>
    </row>
    <row r="61">
      <c r="A61" s="19"/>
      <c r="C61" s="19"/>
      <c r="D61" s="19"/>
      <c r="E61" s="19"/>
      <c r="F61" s="19"/>
      <c r="G61" s="19"/>
      <c r="H61" s="19"/>
      <c r="I61" s="19"/>
      <c r="J61" s="247"/>
    </row>
    <row r="62">
      <c r="A62" s="19"/>
      <c r="C62" s="19"/>
      <c r="D62" s="19"/>
      <c r="E62" s="19"/>
      <c r="F62" s="19"/>
      <c r="G62" s="19"/>
      <c r="H62" s="19"/>
      <c r="I62" s="19"/>
      <c r="J62" s="247"/>
    </row>
    <row r="63">
      <c r="A63" s="19"/>
      <c r="C63" s="19"/>
      <c r="D63" s="19"/>
      <c r="E63" s="19"/>
      <c r="F63" s="19"/>
      <c r="G63" s="19"/>
      <c r="H63" s="19"/>
      <c r="I63" s="19"/>
      <c r="J63" s="247"/>
    </row>
    <row r="64">
      <c r="A64" s="19"/>
      <c r="C64" s="19"/>
      <c r="D64" s="19"/>
      <c r="E64" s="19"/>
      <c r="F64" s="19"/>
      <c r="G64" s="19"/>
      <c r="H64" s="19"/>
      <c r="I64" s="19"/>
      <c r="J64" s="247"/>
    </row>
    <row r="65">
      <c r="A65" s="19"/>
      <c r="C65" s="19"/>
      <c r="D65" s="19"/>
      <c r="E65" s="19"/>
      <c r="F65" s="19"/>
      <c r="G65" s="19"/>
      <c r="H65" s="19"/>
      <c r="I65" s="19"/>
      <c r="J65" s="247"/>
    </row>
    <row r="66">
      <c r="A66" s="19"/>
      <c r="C66" s="19"/>
      <c r="D66" s="19"/>
      <c r="E66" s="19"/>
      <c r="F66" s="19"/>
      <c r="G66" s="19"/>
      <c r="H66" s="19"/>
      <c r="I66" s="19"/>
      <c r="J66" s="247"/>
    </row>
    <row r="67">
      <c r="A67" s="19"/>
      <c r="C67" s="19"/>
      <c r="D67" s="19"/>
      <c r="E67" s="19"/>
      <c r="F67" s="19"/>
      <c r="G67" s="19"/>
      <c r="H67" s="19"/>
      <c r="I67" s="19"/>
      <c r="J67" s="247"/>
    </row>
    <row r="68">
      <c r="A68" s="19"/>
      <c r="C68" s="19"/>
      <c r="D68" s="19"/>
      <c r="E68" s="19"/>
      <c r="F68" s="19"/>
      <c r="G68" s="19"/>
      <c r="H68" s="19"/>
      <c r="I68" s="19"/>
      <c r="J68" s="247"/>
    </row>
    <row r="69">
      <c r="A69" s="19"/>
      <c r="C69" s="19"/>
      <c r="D69" s="19"/>
      <c r="E69" s="19"/>
      <c r="F69" s="19"/>
      <c r="G69" s="19"/>
      <c r="H69" s="19"/>
      <c r="I69" s="19"/>
      <c r="J69" s="247"/>
    </row>
    <row r="70">
      <c r="A70" s="19"/>
      <c r="C70" s="19"/>
      <c r="D70" s="19"/>
      <c r="E70" s="19"/>
      <c r="F70" s="19"/>
      <c r="G70" s="19"/>
      <c r="H70" s="19"/>
      <c r="I70" s="19"/>
      <c r="J70" s="247"/>
    </row>
    <row r="71">
      <c r="A71" s="19"/>
      <c r="C71" s="19"/>
      <c r="D71" s="19"/>
      <c r="E71" s="19"/>
      <c r="F71" s="19"/>
      <c r="G71" s="19"/>
      <c r="H71" s="19"/>
      <c r="I71" s="19"/>
      <c r="J71" s="247"/>
    </row>
    <row r="72">
      <c r="A72" s="19"/>
      <c r="C72" s="19"/>
      <c r="D72" s="19"/>
      <c r="E72" s="19"/>
      <c r="F72" s="19"/>
      <c r="G72" s="19"/>
      <c r="H72" s="19"/>
      <c r="I72" s="19"/>
      <c r="J72" s="247"/>
    </row>
    <row r="73">
      <c r="A73" s="19"/>
      <c r="C73" s="19"/>
      <c r="D73" s="19"/>
      <c r="E73" s="19"/>
      <c r="F73" s="19"/>
      <c r="G73" s="19"/>
      <c r="H73" s="19"/>
      <c r="I73" s="19"/>
      <c r="J73" s="247"/>
    </row>
    <row r="74">
      <c r="A74" s="19"/>
      <c r="C74" s="19"/>
      <c r="D74" s="19"/>
      <c r="E74" s="19"/>
      <c r="F74" s="19"/>
      <c r="G74" s="19"/>
      <c r="H74" s="19"/>
      <c r="I74" s="19"/>
      <c r="J74" s="247"/>
    </row>
    <row r="75">
      <c r="A75" s="19"/>
      <c r="C75" s="19"/>
      <c r="D75" s="19"/>
      <c r="E75" s="19"/>
      <c r="F75" s="19"/>
      <c r="G75" s="19"/>
      <c r="H75" s="19"/>
      <c r="I75" s="19"/>
      <c r="J75" s="247"/>
    </row>
    <row r="76">
      <c r="A76" s="19"/>
      <c r="C76" s="19"/>
      <c r="D76" s="19"/>
      <c r="E76" s="19"/>
      <c r="F76" s="19"/>
      <c r="G76" s="19"/>
      <c r="H76" s="19"/>
      <c r="I76" s="19"/>
      <c r="J76" s="247"/>
    </row>
    <row r="77">
      <c r="A77" s="19"/>
      <c r="C77" s="19"/>
      <c r="D77" s="19"/>
      <c r="E77" s="19"/>
      <c r="F77" s="19"/>
      <c r="G77" s="19"/>
      <c r="H77" s="19"/>
      <c r="I77" s="19"/>
      <c r="J77" s="247"/>
    </row>
    <row r="78">
      <c r="A78" s="19"/>
      <c r="C78" s="19"/>
      <c r="D78" s="19"/>
      <c r="E78" s="19"/>
      <c r="F78" s="19"/>
      <c r="G78" s="19"/>
      <c r="H78" s="19"/>
      <c r="I78" s="19"/>
      <c r="J78" s="247"/>
    </row>
    <row r="79">
      <c r="A79" s="19"/>
      <c r="C79" s="19"/>
      <c r="D79" s="19"/>
      <c r="E79" s="19"/>
      <c r="F79" s="19"/>
      <c r="G79" s="19"/>
      <c r="H79" s="19"/>
      <c r="I79" s="19"/>
      <c r="J79" s="247"/>
    </row>
    <row r="80">
      <c r="A80" s="19"/>
      <c r="C80" s="19"/>
      <c r="D80" s="19"/>
      <c r="E80" s="19"/>
      <c r="F80" s="19"/>
      <c r="G80" s="19"/>
      <c r="H80" s="19"/>
      <c r="I80" s="19"/>
      <c r="J80" s="247"/>
    </row>
    <row r="81">
      <c r="A81" s="19"/>
      <c r="C81" s="19"/>
      <c r="D81" s="19"/>
      <c r="E81" s="19"/>
      <c r="F81" s="19"/>
      <c r="G81" s="19"/>
      <c r="H81" s="19"/>
      <c r="I81" s="19"/>
      <c r="J81" s="247"/>
    </row>
    <row r="82">
      <c r="A82" s="19"/>
      <c r="C82" s="19"/>
      <c r="D82" s="19"/>
      <c r="E82" s="19"/>
      <c r="F82" s="19"/>
      <c r="G82" s="19"/>
      <c r="H82" s="19"/>
      <c r="I82" s="19"/>
      <c r="J82" s="247"/>
    </row>
    <row r="83">
      <c r="A83" s="19"/>
      <c r="C83" s="19"/>
      <c r="D83" s="19"/>
      <c r="E83" s="19"/>
      <c r="F83" s="19"/>
      <c r="G83" s="19"/>
      <c r="H83" s="19"/>
      <c r="I83" s="19"/>
      <c r="J83" s="247"/>
    </row>
    <row r="84">
      <c r="A84" s="19"/>
      <c r="C84" s="19"/>
      <c r="D84" s="19"/>
      <c r="E84" s="19"/>
      <c r="F84" s="19"/>
      <c r="G84" s="19"/>
      <c r="H84" s="19"/>
      <c r="I84" s="19"/>
      <c r="J84" s="247"/>
    </row>
    <row r="85">
      <c r="A85" s="19"/>
      <c r="C85" s="19"/>
      <c r="D85" s="19"/>
      <c r="E85" s="19"/>
      <c r="F85" s="19"/>
      <c r="G85" s="19"/>
      <c r="H85" s="19"/>
      <c r="I85" s="19"/>
      <c r="J85" s="247"/>
    </row>
    <row r="86">
      <c r="A86" s="19"/>
      <c r="C86" s="19"/>
      <c r="D86" s="19"/>
      <c r="E86" s="19"/>
      <c r="F86" s="19"/>
      <c r="G86" s="19"/>
      <c r="H86" s="19"/>
      <c r="I86" s="19"/>
      <c r="J86" s="247"/>
    </row>
    <row r="87">
      <c r="A87" s="19"/>
      <c r="C87" s="19"/>
      <c r="D87" s="19"/>
      <c r="E87" s="19"/>
      <c r="F87" s="19"/>
      <c r="G87" s="19"/>
      <c r="H87" s="19"/>
      <c r="I87" s="19"/>
      <c r="J87" s="247"/>
    </row>
    <row r="88">
      <c r="A88" s="19"/>
      <c r="C88" s="19"/>
      <c r="D88" s="19"/>
      <c r="E88" s="19"/>
      <c r="F88" s="19"/>
      <c r="G88" s="19"/>
      <c r="H88" s="19"/>
      <c r="I88" s="19"/>
      <c r="J88" s="247"/>
    </row>
    <row r="89">
      <c r="A89" s="19"/>
      <c r="C89" s="19"/>
      <c r="D89" s="19"/>
      <c r="E89" s="19"/>
      <c r="F89" s="19"/>
      <c r="G89" s="19"/>
      <c r="H89" s="19"/>
      <c r="I89" s="19"/>
      <c r="J89" s="247"/>
    </row>
    <row r="90">
      <c r="A90" s="19"/>
      <c r="C90" s="19"/>
      <c r="D90" s="19"/>
      <c r="E90" s="19"/>
      <c r="F90" s="19"/>
      <c r="G90" s="19"/>
      <c r="H90" s="19"/>
      <c r="I90" s="19"/>
      <c r="J90" s="247"/>
    </row>
    <row r="91">
      <c r="A91" s="19"/>
      <c r="C91" s="19"/>
      <c r="D91" s="19"/>
      <c r="E91" s="19"/>
      <c r="F91" s="19"/>
      <c r="G91" s="19"/>
      <c r="H91" s="19"/>
      <c r="I91" s="19"/>
      <c r="J91" s="247"/>
    </row>
    <row r="92">
      <c r="A92" s="19"/>
      <c r="C92" s="19"/>
      <c r="D92" s="19"/>
      <c r="E92" s="19"/>
      <c r="F92" s="19"/>
      <c r="G92" s="19"/>
      <c r="H92" s="19"/>
      <c r="I92" s="19"/>
      <c r="J92" s="247"/>
    </row>
    <row r="93">
      <c r="A93" s="19"/>
      <c r="C93" s="19"/>
      <c r="D93" s="19"/>
      <c r="E93" s="19"/>
      <c r="F93" s="19"/>
      <c r="G93" s="19"/>
      <c r="H93" s="19"/>
      <c r="I93" s="19"/>
      <c r="J93" s="247"/>
    </row>
    <row r="94">
      <c r="A94" s="19"/>
      <c r="C94" s="19"/>
      <c r="D94" s="19"/>
      <c r="E94" s="19"/>
      <c r="F94" s="19"/>
      <c r="G94" s="19"/>
      <c r="H94" s="19"/>
      <c r="I94" s="19"/>
      <c r="J94" s="247"/>
    </row>
    <row r="95">
      <c r="A95" s="19"/>
      <c r="C95" s="19"/>
      <c r="D95" s="19"/>
      <c r="E95" s="19"/>
      <c r="F95" s="19"/>
      <c r="G95" s="19"/>
      <c r="H95" s="19"/>
      <c r="I95" s="19"/>
      <c r="J95" s="247"/>
    </row>
    <row r="96">
      <c r="A96" s="19"/>
      <c r="C96" s="19"/>
      <c r="D96" s="19"/>
      <c r="E96" s="19"/>
      <c r="F96" s="19"/>
      <c r="G96" s="19"/>
      <c r="H96" s="19"/>
      <c r="I96" s="19"/>
      <c r="J96" s="247"/>
    </row>
    <row r="97">
      <c r="A97" s="19"/>
      <c r="C97" s="19"/>
      <c r="D97" s="19"/>
      <c r="E97" s="19"/>
      <c r="F97" s="19"/>
      <c r="G97" s="19"/>
      <c r="H97" s="19"/>
      <c r="I97" s="19"/>
      <c r="J97" s="247"/>
    </row>
    <row r="98">
      <c r="A98" s="19"/>
      <c r="C98" s="19"/>
      <c r="D98" s="19"/>
      <c r="E98" s="19"/>
      <c r="F98" s="19"/>
      <c r="G98" s="19"/>
      <c r="H98" s="19"/>
      <c r="I98" s="19"/>
      <c r="J98" s="247"/>
    </row>
    <row r="99">
      <c r="A99" s="19"/>
      <c r="C99" s="19"/>
      <c r="D99" s="19"/>
      <c r="E99" s="19"/>
      <c r="F99" s="19"/>
      <c r="G99" s="19"/>
      <c r="H99" s="19"/>
      <c r="I99" s="19"/>
      <c r="J99" s="247"/>
    </row>
    <row r="100">
      <c r="A100" s="19"/>
      <c r="C100" s="19"/>
      <c r="D100" s="19"/>
      <c r="E100" s="19"/>
      <c r="F100" s="19"/>
      <c r="G100" s="19"/>
      <c r="H100" s="19"/>
      <c r="I100" s="19"/>
      <c r="J100" s="247"/>
    </row>
    <row r="101">
      <c r="A101" s="19"/>
      <c r="C101" s="19"/>
      <c r="D101" s="19"/>
      <c r="E101" s="19"/>
      <c r="F101" s="19"/>
      <c r="G101" s="19"/>
      <c r="H101" s="19"/>
      <c r="I101" s="19"/>
      <c r="J101" s="247"/>
    </row>
    <row r="102">
      <c r="A102" s="19"/>
      <c r="C102" s="19"/>
      <c r="D102" s="19"/>
      <c r="E102" s="19"/>
      <c r="F102" s="19"/>
      <c r="G102" s="19"/>
      <c r="H102" s="19"/>
      <c r="I102" s="19"/>
      <c r="J102" s="247"/>
    </row>
    <row r="103">
      <c r="A103" s="19"/>
      <c r="C103" s="19"/>
      <c r="D103" s="19"/>
      <c r="E103" s="19"/>
      <c r="F103" s="19"/>
      <c r="G103" s="19"/>
      <c r="H103" s="19"/>
      <c r="I103" s="19"/>
      <c r="J103" s="247"/>
    </row>
    <row r="104">
      <c r="A104" s="19"/>
      <c r="C104" s="19"/>
      <c r="D104" s="19"/>
      <c r="E104" s="19"/>
      <c r="F104" s="19"/>
      <c r="G104" s="19"/>
      <c r="H104" s="19"/>
      <c r="I104" s="19"/>
      <c r="J104" s="247"/>
    </row>
    <row r="105">
      <c r="A105" s="19"/>
      <c r="C105" s="19"/>
      <c r="D105" s="19"/>
      <c r="E105" s="19"/>
      <c r="F105" s="19"/>
      <c r="G105" s="19"/>
      <c r="H105" s="19"/>
      <c r="I105" s="19"/>
      <c r="J105" s="247"/>
    </row>
    <row r="106">
      <c r="A106" s="19"/>
      <c r="C106" s="19"/>
      <c r="D106" s="19"/>
      <c r="E106" s="19"/>
      <c r="F106" s="19"/>
      <c r="G106" s="19"/>
      <c r="H106" s="19"/>
      <c r="I106" s="19"/>
      <c r="J106" s="247"/>
    </row>
    <row r="107">
      <c r="A107" s="19"/>
      <c r="C107" s="19"/>
      <c r="D107" s="19"/>
      <c r="E107" s="19"/>
      <c r="F107" s="19"/>
      <c r="G107" s="19"/>
      <c r="H107" s="19"/>
      <c r="I107" s="19"/>
      <c r="J107" s="247"/>
    </row>
    <row r="108">
      <c r="A108" s="19"/>
      <c r="C108" s="19"/>
      <c r="D108" s="19"/>
      <c r="E108" s="19"/>
      <c r="F108" s="19"/>
      <c r="G108" s="19"/>
      <c r="H108" s="19"/>
      <c r="I108" s="19"/>
      <c r="J108" s="247"/>
    </row>
    <row r="109">
      <c r="A109" s="19"/>
      <c r="C109" s="19"/>
      <c r="D109" s="19"/>
      <c r="E109" s="19"/>
      <c r="F109" s="19"/>
      <c r="G109" s="19"/>
      <c r="H109" s="19"/>
      <c r="I109" s="19"/>
      <c r="J109" s="247"/>
    </row>
    <row r="110">
      <c r="A110" s="19"/>
      <c r="C110" s="19"/>
      <c r="D110" s="19"/>
      <c r="E110" s="19"/>
      <c r="F110" s="19"/>
      <c r="G110" s="19"/>
      <c r="H110" s="19"/>
      <c r="I110" s="19"/>
      <c r="J110" s="247"/>
    </row>
    <row r="111">
      <c r="A111" s="19"/>
      <c r="C111" s="19"/>
      <c r="D111" s="19"/>
      <c r="E111" s="19"/>
      <c r="F111" s="19"/>
      <c r="G111" s="19"/>
      <c r="H111" s="19"/>
      <c r="I111" s="19"/>
      <c r="J111" s="247"/>
    </row>
    <row r="112">
      <c r="A112" s="19"/>
      <c r="C112" s="19"/>
      <c r="D112" s="19"/>
      <c r="E112" s="19"/>
      <c r="F112" s="19"/>
      <c r="G112" s="19"/>
      <c r="H112" s="19"/>
      <c r="I112" s="19"/>
      <c r="J112" s="247"/>
    </row>
    <row r="113">
      <c r="A113" s="19"/>
      <c r="C113" s="19"/>
      <c r="D113" s="19"/>
      <c r="E113" s="19"/>
      <c r="F113" s="19"/>
      <c r="G113" s="19"/>
      <c r="H113" s="19"/>
      <c r="I113" s="19"/>
      <c r="J113" s="247"/>
    </row>
    <row r="114">
      <c r="A114" s="19"/>
      <c r="C114" s="19"/>
      <c r="D114" s="19"/>
      <c r="E114" s="19"/>
      <c r="F114" s="19"/>
      <c r="G114" s="19"/>
      <c r="H114" s="19"/>
      <c r="I114" s="19"/>
      <c r="J114" s="247"/>
    </row>
    <row r="115">
      <c r="A115" s="19"/>
      <c r="C115" s="19"/>
      <c r="D115" s="19"/>
      <c r="E115" s="19"/>
      <c r="F115" s="19"/>
      <c r="G115" s="19"/>
      <c r="H115" s="19"/>
      <c r="I115" s="19"/>
      <c r="J115" s="247"/>
    </row>
    <row r="116">
      <c r="A116" s="19"/>
      <c r="C116" s="19"/>
      <c r="D116" s="19"/>
      <c r="E116" s="19"/>
      <c r="F116" s="19"/>
      <c r="G116" s="19"/>
      <c r="H116" s="19"/>
      <c r="I116" s="19"/>
      <c r="J116" s="247"/>
    </row>
    <row r="117">
      <c r="A117" s="19"/>
      <c r="C117" s="19"/>
      <c r="D117" s="19"/>
      <c r="E117" s="19"/>
      <c r="F117" s="19"/>
      <c r="G117" s="19"/>
      <c r="H117" s="19"/>
      <c r="I117" s="19"/>
      <c r="J117" s="247"/>
    </row>
    <row r="118">
      <c r="A118" s="19"/>
      <c r="C118" s="19"/>
      <c r="D118" s="19"/>
      <c r="E118" s="19"/>
      <c r="F118" s="19"/>
      <c r="G118" s="19"/>
      <c r="H118" s="19"/>
      <c r="I118" s="19"/>
      <c r="J118" s="247"/>
    </row>
    <row r="119">
      <c r="A119" s="19"/>
      <c r="C119" s="19"/>
      <c r="D119" s="19"/>
      <c r="E119" s="19"/>
      <c r="F119" s="19"/>
      <c r="G119" s="19"/>
      <c r="H119" s="19"/>
      <c r="I119" s="19"/>
      <c r="J119" s="247"/>
    </row>
    <row r="120">
      <c r="A120" s="19"/>
      <c r="C120" s="19"/>
      <c r="D120" s="19"/>
      <c r="E120" s="19"/>
      <c r="F120" s="19"/>
      <c r="G120" s="19"/>
      <c r="H120" s="19"/>
      <c r="I120" s="19"/>
      <c r="J120" s="247"/>
    </row>
    <row r="121">
      <c r="A121" s="19"/>
      <c r="C121" s="19"/>
      <c r="D121" s="19"/>
      <c r="E121" s="19"/>
      <c r="F121" s="19"/>
      <c r="G121" s="19"/>
      <c r="H121" s="19"/>
      <c r="I121" s="19"/>
      <c r="J121" s="247"/>
    </row>
    <row r="122">
      <c r="A122" s="19"/>
      <c r="C122" s="19"/>
      <c r="D122" s="19"/>
      <c r="E122" s="19"/>
      <c r="F122" s="19"/>
      <c r="G122" s="19"/>
      <c r="H122" s="19"/>
      <c r="I122" s="19"/>
      <c r="J122" s="247"/>
    </row>
    <row r="123">
      <c r="A123" s="19"/>
      <c r="C123" s="19"/>
      <c r="D123" s="19"/>
      <c r="E123" s="19"/>
      <c r="F123" s="19"/>
      <c r="G123" s="19"/>
      <c r="H123" s="19"/>
      <c r="I123" s="19"/>
      <c r="J123" s="247"/>
    </row>
    <row r="124">
      <c r="A124" s="19"/>
      <c r="C124" s="19"/>
      <c r="D124" s="19"/>
      <c r="E124" s="19"/>
      <c r="F124" s="19"/>
      <c r="G124" s="19"/>
      <c r="H124" s="19"/>
      <c r="I124" s="19"/>
      <c r="J124" s="247"/>
    </row>
    <row r="125">
      <c r="A125" s="19"/>
      <c r="C125" s="19"/>
      <c r="D125" s="19"/>
      <c r="E125" s="19"/>
      <c r="F125" s="19"/>
      <c r="G125" s="19"/>
      <c r="H125" s="19"/>
      <c r="I125" s="19"/>
      <c r="J125" s="247"/>
    </row>
    <row r="126">
      <c r="A126" s="19"/>
      <c r="C126" s="19"/>
      <c r="D126" s="19"/>
      <c r="E126" s="19"/>
      <c r="F126" s="19"/>
      <c r="G126" s="19"/>
      <c r="H126" s="19"/>
      <c r="I126" s="19"/>
      <c r="J126" s="247"/>
    </row>
    <row r="127">
      <c r="A127" s="19"/>
      <c r="C127" s="19"/>
      <c r="D127" s="19"/>
      <c r="E127" s="19"/>
      <c r="F127" s="19"/>
      <c r="G127" s="19"/>
      <c r="H127" s="19"/>
      <c r="I127" s="19"/>
      <c r="J127" s="247"/>
    </row>
    <row r="128">
      <c r="A128" s="19"/>
      <c r="C128" s="19"/>
      <c r="D128" s="19"/>
      <c r="E128" s="19"/>
      <c r="F128" s="19"/>
      <c r="G128" s="19"/>
      <c r="H128" s="19"/>
      <c r="I128" s="19"/>
      <c r="J128" s="247"/>
    </row>
    <row r="129">
      <c r="A129" s="19"/>
      <c r="C129" s="19"/>
      <c r="D129" s="19"/>
      <c r="E129" s="19"/>
      <c r="F129" s="19"/>
      <c r="G129" s="19"/>
      <c r="H129" s="19"/>
      <c r="I129" s="19"/>
      <c r="J129" s="247"/>
    </row>
    <row r="130">
      <c r="A130" s="19"/>
      <c r="C130" s="19"/>
      <c r="D130" s="19"/>
      <c r="E130" s="19"/>
      <c r="F130" s="19"/>
      <c r="G130" s="19"/>
      <c r="H130" s="19"/>
      <c r="I130" s="19"/>
      <c r="J130" s="247"/>
    </row>
    <row r="131">
      <c r="A131" s="19"/>
      <c r="C131" s="19"/>
      <c r="D131" s="19"/>
      <c r="E131" s="19"/>
      <c r="F131" s="19"/>
      <c r="G131" s="19"/>
      <c r="H131" s="19"/>
      <c r="I131" s="19"/>
      <c r="J131" s="247"/>
    </row>
    <row r="132">
      <c r="A132" s="19"/>
      <c r="C132" s="19"/>
      <c r="D132" s="19"/>
      <c r="E132" s="19"/>
      <c r="F132" s="19"/>
      <c r="G132" s="19"/>
      <c r="H132" s="19"/>
      <c r="I132" s="19"/>
      <c r="J132" s="247"/>
    </row>
    <row r="133">
      <c r="A133" s="19"/>
      <c r="C133" s="19"/>
      <c r="D133" s="19"/>
      <c r="E133" s="19"/>
      <c r="F133" s="19"/>
      <c r="G133" s="19"/>
      <c r="H133" s="19"/>
      <c r="I133" s="19"/>
      <c r="J133" s="247"/>
    </row>
    <row r="134">
      <c r="A134" s="19"/>
      <c r="C134" s="19"/>
      <c r="D134" s="19"/>
      <c r="E134" s="19"/>
      <c r="F134" s="19"/>
      <c r="G134" s="19"/>
      <c r="H134" s="19"/>
      <c r="I134" s="19"/>
      <c r="J134" s="247"/>
    </row>
    <row r="135">
      <c r="A135" s="19"/>
      <c r="C135" s="19"/>
      <c r="D135" s="19"/>
      <c r="E135" s="19"/>
      <c r="F135" s="19"/>
      <c r="G135" s="19"/>
      <c r="H135" s="19"/>
      <c r="I135" s="19"/>
      <c r="J135" s="247"/>
    </row>
    <row r="136">
      <c r="A136" s="19"/>
      <c r="C136" s="19"/>
      <c r="D136" s="19"/>
      <c r="E136" s="19"/>
      <c r="F136" s="19"/>
      <c r="G136" s="19"/>
      <c r="H136" s="19"/>
      <c r="I136" s="19"/>
      <c r="J136" s="247"/>
    </row>
    <row r="137">
      <c r="A137" s="19"/>
      <c r="C137" s="19"/>
      <c r="D137" s="19"/>
      <c r="E137" s="19"/>
      <c r="F137" s="19"/>
      <c r="G137" s="19"/>
      <c r="H137" s="19"/>
      <c r="I137" s="19"/>
      <c r="J137" s="247"/>
    </row>
    <row r="138">
      <c r="A138" s="19"/>
      <c r="C138" s="19"/>
      <c r="D138" s="19"/>
      <c r="E138" s="19"/>
      <c r="F138" s="19"/>
      <c r="G138" s="19"/>
      <c r="H138" s="19"/>
      <c r="I138" s="19"/>
      <c r="J138" s="247"/>
    </row>
    <row r="139">
      <c r="A139" s="19"/>
      <c r="C139" s="19"/>
      <c r="D139" s="19"/>
      <c r="E139" s="19"/>
      <c r="F139" s="19"/>
      <c r="G139" s="19"/>
      <c r="H139" s="19"/>
      <c r="I139" s="19"/>
      <c r="J139" s="247"/>
    </row>
    <row r="140">
      <c r="A140" s="19"/>
      <c r="C140" s="19"/>
      <c r="D140" s="19"/>
      <c r="E140" s="19"/>
      <c r="F140" s="19"/>
      <c r="G140" s="19"/>
      <c r="H140" s="19"/>
      <c r="I140" s="19"/>
      <c r="J140" s="247"/>
    </row>
    <row r="141">
      <c r="A141" s="19"/>
      <c r="C141" s="19"/>
      <c r="D141" s="19"/>
      <c r="E141" s="19"/>
      <c r="F141" s="19"/>
      <c r="G141" s="19"/>
      <c r="H141" s="19"/>
      <c r="I141" s="19"/>
      <c r="J141" s="247"/>
    </row>
    <row r="142">
      <c r="A142" s="19"/>
      <c r="C142" s="19"/>
      <c r="D142" s="19"/>
      <c r="E142" s="19"/>
      <c r="F142" s="19"/>
      <c r="G142" s="19"/>
      <c r="H142" s="19"/>
      <c r="I142" s="19"/>
      <c r="J142" s="247"/>
    </row>
    <row r="143">
      <c r="A143" s="19"/>
      <c r="C143" s="19"/>
      <c r="D143" s="19"/>
      <c r="E143" s="19"/>
      <c r="F143" s="19"/>
      <c r="G143" s="19"/>
      <c r="H143" s="19"/>
      <c r="I143" s="19"/>
      <c r="J143" s="247"/>
    </row>
    <row r="144">
      <c r="A144" s="19"/>
      <c r="C144" s="19"/>
      <c r="D144" s="19"/>
      <c r="E144" s="19"/>
      <c r="F144" s="19"/>
      <c r="G144" s="19"/>
      <c r="H144" s="19"/>
      <c r="I144" s="19"/>
      <c r="J144" s="247"/>
    </row>
    <row r="145">
      <c r="A145" s="19"/>
      <c r="C145" s="19"/>
      <c r="D145" s="19"/>
      <c r="E145" s="19"/>
      <c r="F145" s="19"/>
      <c r="G145" s="19"/>
      <c r="H145" s="19"/>
      <c r="I145" s="19"/>
      <c r="J145" s="247"/>
    </row>
    <row r="146">
      <c r="A146" s="19"/>
      <c r="C146" s="19"/>
      <c r="D146" s="19"/>
      <c r="E146" s="19"/>
      <c r="F146" s="19"/>
      <c r="G146" s="19"/>
      <c r="H146" s="19"/>
      <c r="I146" s="19"/>
      <c r="J146" s="247"/>
    </row>
    <row r="147">
      <c r="A147" s="19"/>
      <c r="C147" s="19"/>
      <c r="D147" s="19"/>
      <c r="E147" s="19"/>
      <c r="F147" s="19"/>
      <c r="G147" s="19"/>
      <c r="H147" s="19"/>
      <c r="I147" s="19"/>
      <c r="J147" s="247"/>
    </row>
    <row r="148">
      <c r="A148" s="19"/>
      <c r="C148" s="19"/>
      <c r="D148" s="19"/>
      <c r="E148" s="19"/>
      <c r="F148" s="19"/>
      <c r="G148" s="19"/>
      <c r="H148" s="19"/>
      <c r="I148" s="19"/>
      <c r="J148" s="247"/>
    </row>
    <row r="149">
      <c r="A149" s="19"/>
      <c r="C149" s="19"/>
      <c r="D149" s="19"/>
      <c r="E149" s="19"/>
      <c r="F149" s="19"/>
      <c r="G149" s="19"/>
      <c r="H149" s="19"/>
      <c r="I149" s="19"/>
      <c r="J149" s="247"/>
    </row>
    <row r="150">
      <c r="A150" s="19"/>
      <c r="C150" s="19"/>
      <c r="D150" s="19"/>
      <c r="E150" s="19"/>
      <c r="F150" s="19"/>
      <c r="G150" s="19"/>
      <c r="H150" s="19"/>
      <c r="I150" s="19"/>
      <c r="J150" s="247"/>
    </row>
    <row r="151">
      <c r="A151" s="19"/>
      <c r="C151" s="19"/>
      <c r="D151" s="19"/>
      <c r="E151" s="19"/>
      <c r="F151" s="19"/>
      <c r="G151" s="19"/>
      <c r="H151" s="19"/>
      <c r="I151" s="19"/>
      <c r="J151" s="247"/>
    </row>
    <row r="152">
      <c r="A152" s="19"/>
      <c r="C152" s="19"/>
      <c r="D152" s="19"/>
      <c r="E152" s="19"/>
      <c r="F152" s="19"/>
      <c r="G152" s="19"/>
      <c r="H152" s="19"/>
      <c r="I152" s="19"/>
      <c r="J152" s="247"/>
    </row>
    <row r="153">
      <c r="A153" s="19"/>
      <c r="C153" s="19"/>
      <c r="D153" s="19"/>
      <c r="E153" s="19"/>
      <c r="F153" s="19"/>
      <c r="G153" s="19"/>
      <c r="H153" s="19"/>
      <c r="I153" s="19"/>
      <c r="J153" s="247"/>
    </row>
    <row r="154">
      <c r="A154" s="19"/>
      <c r="C154" s="19"/>
      <c r="D154" s="19"/>
      <c r="E154" s="19"/>
      <c r="F154" s="19"/>
      <c r="G154" s="19"/>
      <c r="H154" s="19"/>
      <c r="I154" s="19"/>
      <c r="J154" s="247"/>
    </row>
    <row r="155">
      <c r="A155" s="19"/>
      <c r="C155" s="19"/>
      <c r="D155" s="19"/>
      <c r="E155" s="19"/>
      <c r="F155" s="19"/>
      <c r="G155" s="19"/>
      <c r="H155" s="19"/>
      <c r="I155" s="19"/>
      <c r="J155" s="247"/>
    </row>
    <row r="156">
      <c r="A156" s="19"/>
      <c r="C156" s="19"/>
      <c r="D156" s="19"/>
      <c r="E156" s="19"/>
      <c r="F156" s="19"/>
      <c r="G156" s="19"/>
      <c r="H156" s="19"/>
      <c r="I156" s="19"/>
      <c r="J156" s="247"/>
    </row>
    <row r="157">
      <c r="A157" s="19"/>
      <c r="C157" s="19"/>
      <c r="D157" s="19"/>
      <c r="E157" s="19"/>
      <c r="F157" s="19"/>
      <c r="G157" s="19"/>
      <c r="H157" s="19"/>
      <c r="I157" s="19"/>
      <c r="J157" s="247"/>
    </row>
    <row r="158">
      <c r="A158" s="19"/>
      <c r="C158" s="19"/>
      <c r="D158" s="19"/>
      <c r="E158" s="19"/>
      <c r="F158" s="19"/>
      <c r="G158" s="19"/>
      <c r="H158" s="19"/>
      <c r="I158" s="19"/>
      <c r="J158" s="247"/>
    </row>
    <row r="159">
      <c r="A159" s="19"/>
      <c r="C159" s="19"/>
      <c r="D159" s="19"/>
      <c r="E159" s="19"/>
      <c r="F159" s="19"/>
      <c r="G159" s="19"/>
      <c r="H159" s="19"/>
      <c r="I159" s="19"/>
      <c r="J159" s="247"/>
    </row>
    <row r="160">
      <c r="A160" s="19"/>
      <c r="C160" s="19"/>
      <c r="D160" s="19"/>
      <c r="E160" s="19"/>
      <c r="F160" s="19"/>
      <c r="G160" s="19"/>
      <c r="H160" s="19"/>
      <c r="I160" s="19"/>
      <c r="J160" s="247"/>
    </row>
    <row r="161">
      <c r="A161" s="19"/>
      <c r="C161" s="19"/>
      <c r="D161" s="19"/>
      <c r="E161" s="19"/>
      <c r="F161" s="19"/>
      <c r="G161" s="19"/>
      <c r="H161" s="19"/>
      <c r="I161" s="19"/>
      <c r="J161" s="247"/>
    </row>
    <row r="162">
      <c r="A162" s="19"/>
      <c r="C162" s="19"/>
      <c r="D162" s="19"/>
      <c r="E162" s="19"/>
      <c r="F162" s="19"/>
      <c r="G162" s="19"/>
      <c r="H162" s="19"/>
      <c r="I162" s="19"/>
      <c r="J162" s="247"/>
    </row>
    <row r="163">
      <c r="A163" s="19"/>
      <c r="C163" s="19"/>
      <c r="D163" s="19"/>
      <c r="E163" s="19"/>
      <c r="F163" s="19"/>
      <c r="G163" s="19"/>
      <c r="H163" s="19"/>
      <c r="I163" s="19"/>
      <c r="J163" s="247"/>
    </row>
    <row r="164">
      <c r="A164" s="19"/>
      <c r="C164" s="19"/>
      <c r="D164" s="19"/>
      <c r="E164" s="19"/>
      <c r="F164" s="19"/>
      <c r="G164" s="19"/>
      <c r="H164" s="19"/>
      <c r="I164" s="19"/>
      <c r="J164" s="247"/>
    </row>
    <row r="165">
      <c r="A165" s="19"/>
      <c r="C165" s="19"/>
      <c r="D165" s="19"/>
      <c r="E165" s="19"/>
      <c r="F165" s="19"/>
      <c r="G165" s="19"/>
      <c r="H165" s="19"/>
      <c r="I165" s="19"/>
      <c r="J165" s="247"/>
    </row>
    <row r="166">
      <c r="A166" s="19"/>
      <c r="C166" s="19"/>
      <c r="D166" s="19"/>
      <c r="E166" s="19"/>
      <c r="F166" s="19"/>
      <c r="G166" s="19"/>
      <c r="H166" s="19"/>
      <c r="I166" s="19"/>
      <c r="J166" s="247"/>
    </row>
    <row r="167">
      <c r="A167" s="19"/>
      <c r="C167" s="19"/>
      <c r="D167" s="19"/>
      <c r="E167" s="19"/>
      <c r="F167" s="19"/>
      <c r="G167" s="19"/>
      <c r="H167" s="19"/>
      <c r="I167" s="19"/>
      <c r="J167" s="247"/>
    </row>
    <row r="168">
      <c r="A168" s="19"/>
      <c r="C168" s="19"/>
      <c r="D168" s="19"/>
      <c r="E168" s="19"/>
      <c r="F168" s="19"/>
      <c r="G168" s="19"/>
      <c r="H168" s="19"/>
      <c r="I168" s="19"/>
      <c r="J168" s="247"/>
    </row>
    <row r="169">
      <c r="A169" s="19"/>
      <c r="C169" s="19"/>
      <c r="D169" s="19"/>
      <c r="E169" s="19"/>
      <c r="F169" s="19"/>
      <c r="G169" s="19"/>
      <c r="H169" s="19"/>
      <c r="I169" s="19"/>
      <c r="J169" s="247"/>
    </row>
    <row r="170">
      <c r="A170" s="19"/>
      <c r="C170" s="19"/>
      <c r="D170" s="19"/>
      <c r="E170" s="19"/>
      <c r="F170" s="19"/>
      <c r="G170" s="19"/>
      <c r="H170" s="19"/>
      <c r="I170" s="19"/>
      <c r="J170" s="247"/>
    </row>
    <row r="171">
      <c r="A171" s="19"/>
      <c r="C171" s="19"/>
      <c r="D171" s="19"/>
      <c r="E171" s="19"/>
      <c r="F171" s="19"/>
      <c r="G171" s="19"/>
      <c r="H171" s="19"/>
      <c r="I171" s="19"/>
      <c r="J171" s="247"/>
    </row>
    <row r="172">
      <c r="A172" s="19"/>
      <c r="C172" s="19"/>
      <c r="D172" s="19"/>
      <c r="E172" s="19"/>
      <c r="F172" s="19"/>
      <c r="G172" s="19"/>
      <c r="H172" s="19"/>
      <c r="I172" s="19"/>
      <c r="J172" s="247"/>
    </row>
    <row r="173">
      <c r="A173" s="19"/>
      <c r="C173" s="19"/>
      <c r="D173" s="19"/>
      <c r="E173" s="19"/>
      <c r="F173" s="19"/>
      <c r="G173" s="19"/>
      <c r="H173" s="19"/>
      <c r="I173" s="19"/>
      <c r="J173" s="247"/>
    </row>
    <row r="174">
      <c r="A174" s="19"/>
      <c r="C174" s="19"/>
      <c r="D174" s="19"/>
      <c r="E174" s="19"/>
      <c r="F174" s="19"/>
      <c r="G174" s="19"/>
      <c r="H174" s="19"/>
      <c r="I174" s="19"/>
      <c r="J174" s="247"/>
    </row>
    <row r="175">
      <c r="A175" s="19"/>
      <c r="C175" s="19"/>
      <c r="D175" s="19"/>
      <c r="E175" s="19"/>
      <c r="F175" s="19"/>
      <c r="G175" s="19"/>
      <c r="H175" s="19"/>
      <c r="I175" s="19"/>
      <c r="J175" s="247"/>
    </row>
    <row r="176">
      <c r="A176" s="19"/>
      <c r="C176" s="19"/>
      <c r="D176" s="19"/>
      <c r="E176" s="19"/>
      <c r="F176" s="19"/>
      <c r="G176" s="19"/>
      <c r="H176" s="19"/>
      <c r="I176" s="19"/>
      <c r="J176" s="247"/>
    </row>
    <row r="177">
      <c r="A177" s="19"/>
      <c r="C177" s="19"/>
      <c r="D177" s="19"/>
      <c r="E177" s="19"/>
      <c r="F177" s="19"/>
      <c r="G177" s="19"/>
      <c r="H177" s="19"/>
      <c r="I177" s="19"/>
      <c r="J177" s="247"/>
    </row>
    <row r="178">
      <c r="A178" s="19"/>
      <c r="C178" s="19"/>
      <c r="D178" s="19"/>
      <c r="E178" s="19"/>
      <c r="F178" s="19"/>
      <c r="G178" s="19"/>
      <c r="H178" s="19"/>
      <c r="I178" s="19"/>
      <c r="J178" s="247"/>
    </row>
    <row r="179">
      <c r="A179" s="19"/>
      <c r="C179" s="19"/>
      <c r="D179" s="19"/>
      <c r="E179" s="19"/>
      <c r="F179" s="19"/>
      <c r="G179" s="19"/>
      <c r="H179" s="19"/>
      <c r="I179" s="19"/>
      <c r="J179" s="247"/>
    </row>
    <row r="180">
      <c r="A180" s="19"/>
      <c r="C180" s="19"/>
      <c r="D180" s="19"/>
      <c r="E180" s="19"/>
      <c r="F180" s="19"/>
      <c r="G180" s="19"/>
      <c r="H180" s="19"/>
      <c r="I180" s="19"/>
      <c r="J180" s="247"/>
    </row>
    <row r="181">
      <c r="A181" s="19"/>
      <c r="C181" s="19"/>
      <c r="D181" s="19"/>
      <c r="E181" s="19"/>
      <c r="F181" s="19"/>
      <c r="G181" s="19"/>
      <c r="H181" s="19"/>
      <c r="I181" s="19"/>
      <c r="J181" s="247"/>
    </row>
    <row r="182">
      <c r="A182" s="19"/>
      <c r="C182" s="19"/>
      <c r="D182" s="19"/>
      <c r="E182" s="19"/>
      <c r="F182" s="19"/>
      <c r="G182" s="19"/>
      <c r="H182" s="19"/>
      <c r="I182" s="19"/>
      <c r="J182" s="247"/>
    </row>
    <row r="183">
      <c r="A183" s="19"/>
      <c r="C183" s="19"/>
      <c r="D183" s="19"/>
      <c r="E183" s="19"/>
      <c r="F183" s="19"/>
      <c r="G183" s="19"/>
      <c r="H183" s="19"/>
      <c r="I183" s="19"/>
      <c r="J183" s="247"/>
    </row>
    <row r="184">
      <c r="A184" s="19"/>
      <c r="C184" s="19"/>
      <c r="D184" s="19"/>
      <c r="E184" s="19"/>
      <c r="F184" s="19"/>
      <c r="G184" s="19"/>
      <c r="H184" s="19"/>
      <c r="I184" s="19"/>
      <c r="J184" s="247"/>
    </row>
    <row r="185">
      <c r="A185" s="19"/>
      <c r="C185" s="19"/>
      <c r="D185" s="19"/>
      <c r="E185" s="19"/>
      <c r="F185" s="19"/>
      <c r="G185" s="19"/>
      <c r="H185" s="19"/>
      <c r="I185" s="19"/>
      <c r="J185" s="247"/>
    </row>
    <row r="186">
      <c r="A186" s="19"/>
      <c r="C186" s="19"/>
      <c r="D186" s="19"/>
      <c r="E186" s="19"/>
      <c r="F186" s="19"/>
      <c r="G186" s="19"/>
      <c r="H186" s="19"/>
      <c r="I186" s="19"/>
      <c r="J186" s="247"/>
    </row>
    <row r="187">
      <c r="A187" s="19"/>
      <c r="C187" s="19"/>
      <c r="D187" s="19"/>
      <c r="E187" s="19"/>
      <c r="F187" s="19"/>
      <c r="G187" s="19"/>
      <c r="H187" s="19"/>
      <c r="I187" s="19"/>
      <c r="J187" s="247"/>
    </row>
    <row r="188">
      <c r="A188" s="19"/>
      <c r="C188" s="19"/>
      <c r="D188" s="19"/>
      <c r="E188" s="19"/>
      <c r="F188" s="19"/>
      <c r="G188" s="19"/>
      <c r="H188" s="19"/>
      <c r="I188" s="19"/>
      <c r="J188" s="247"/>
    </row>
    <row r="189">
      <c r="A189" s="19"/>
      <c r="C189" s="19"/>
      <c r="D189" s="19"/>
      <c r="E189" s="19"/>
      <c r="F189" s="19"/>
      <c r="G189" s="19"/>
      <c r="H189" s="19"/>
      <c r="I189" s="19"/>
      <c r="J189" s="247"/>
    </row>
    <row r="190">
      <c r="A190" s="19"/>
      <c r="C190" s="19"/>
      <c r="D190" s="19"/>
      <c r="E190" s="19"/>
      <c r="F190" s="19"/>
      <c r="G190" s="19"/>
      <c r="H190" s="19"/>
      <c r="I190" s="19"/>
      <c r="J190" s="247"/>
    </row>
    <row r="191">
      <c r="A191" s="19"/>
      <c r="C191" s="19"/>
      <c r="D191" s="19"/>
      <c r="E191" s="19"/>
      <c r="F191" s="19"/>
      <c r="G191" s="19"/>
      <c r="H191" s="19"/>
      <c r="I191" s="19"/>
      <c r="J191" s="247"/>
    </row>
    <row r="192">
      <c r="A192" s="19"/>
      <c r="C192" s="19"/>
      <c r="D192" s="19"/>
      <c r="E192" s="19"/>
      <c r="F192" s="19"/>
      <c r="G192" s="19"/>
      <c r="H192" s="19"/>
      <c r="I192" s="19"/>
      <c r="J192" s="247"/>
    </row>
    <row r="193">
      <c r="A193" s="19"/>
      <c r="C193" s="19"/>
      <c r="D193" s="19"/>
      <c r="E193" s="19"/>
      <c r="F193" s="19"/>
      <c r="G193" s="19"/>
      <c r="H193" s="19"/>
      <c r="I193" s="19"/>
      <c r="J193" s="247"/>
    </row>
    <row r="194">
      <c r="A194" s="19"/>
      <c r="C194" s="19"/>
      <c r="D194" s="19"/>
      <c r="E194" s="19"/>
      <c r="F194" s="19"/>
      <c r="G194" s="19"/>
      <c r="H194" s="19"/>
      <c r="I194" s="19"/>
      <c r="J194" s="247"/>
    </row>
    <row r="195">
      <c r="A195" s="19"/>
      <c r="C195" s="19"/>
      <c r="D195" s="19"/>
      <c r="E195" s="19"/>
      <c r="F195" s="19"/>
      <c r="G195" s="19"/>
      <c r="H195" s="19"/>
      <c r="I195" s="19"/>
      <c r="J195" s="247"/>
    </row>
    <row r="196">
      <c r="A196" s="19"/>
      <c r="C196" s="19"/>
      <c r="D196" s="19"/>
      <c r="E196" s="19"/>
      <c r="F196" s="19"/>
      <c r="G196" s="19"/>
      <c r="H196" s="19"/>
      <c r="I196" s="19"/>
      <c r="J196" s="247"/>
    </row>
    <row r="197">
      <c r="A197" s="19"/>
      <c r="C197" s="19"/>
      <c r="D197" s="19"/>
      <c r="E197" s="19"/>
      <c r="F197" s="19"/>
      <c r="G197" s="19"/>
      <c r="H197" s="19"/>
      <c r="I197" s="19"/>
      <c r="J197" s="247"/>
    </row>
    <row r="198">
      <c r="A198" s="19"/>
      <c r="C198" s="19"/>
      <c r="D198" s="19"/>
      <c r="E198" s="19"/>
      <c r="F198" s="19"/>
      <c r="G198" s="19"/>
      <c r="H198" s="19"/>
      <c r="I198" s="19"/>
      <c r="J198" s="247"/>
    </row>
    <row r="199">
      <c r="A199" s="19"/>
      <c r="C199" s="19"/>
      <c r="D199" s="19"/>
      <c r="E199" s="19"/>
      <c r="F199" s="19"/>
      <c r="G199" s="19"/>
      <c r="H199" s="19"/>
      <c r="I199" s="19"/>
      <c r="J199" s="247"/>
    </row>
    <row r="200">
      <c r="A200" s="19"/>
      <c r="C200" s="19"/>
      <c r="D200" s="19"/>
      <c r="E200" s="19"/>
      <c r="F200" s="19"/>
      <c r="G200" s="19"/>
      <c r="H200" s="19"/>
      <c r="I200" s="19"/>
      <c r="J200" s="247"/>
    </row>
    <row r="201">
      <c r="A201" s="19"/>
      <c r="C201" s="19"/>
      <c r="D201" s="19"/>
      <c r="E201" s="19"/>
      <c r="F201" s="19"/>
      <c r="G201" s="19"/>
      <c r="H201" s="19"/>
      <c r="I201" s="19"/>
      <c r="J201" s="247"/>
    </row>
    <row r="202">
      <c r="A202" s="19"/>
      <c r="C202" s="19"/>
      <c r="D202" s="19"/>
      <c r="E202" s="19"/>
      <c r="F202" s="19"/>
      <c r="G202" s="19"/>
      <c r="H202" s="19"/>
      <c r="I202" s="19"/>
      <c r="J202" s="247"/>
    </row>
    <row r="203">
      <c r="A203" s="19"/>
      <c r="C203" s="19"/>
      <c r="D203" s="19"/>
      <c r="E203" s="19"/>
      <c r="F203" s="19"/>
      <c r="G203" s="19"/>
      <c r="H203" s="19"/>
      <c r="I203" s="19"/>
      <c r="J203" s="247"/>
    </row>
    <row r="204">
      <c r="A204" s="19"/>
      <c r="C204" s="19"/>
      <c r="D204" s="19"/>
      <c r="E204" s="19"/>
      <c r="F204" s="19"/>
      <c r="G204" s="19"/>
      <c r="H204" s="19"/>
      <c r="I204" s="19"/>
      <c r="J204" s="247"/>
    </row>
    <row r="205">
      <c r="A205" s="19"/>
      <c r="C205" s="19"/>
      <c r="D205" s="19"/>
      <c r="E205" s="19"/>
      <c r="F205" s="19"/>
      <c r="G205" s="19"/>
      <c r="H205" s="19"/>
      <c r="I205" s="19"/>
      <c r="J205" s="247"/>
    </row>
    <row r="206">
      <c r="A206" s="19"/>
      <c r="C206" s="19"/>
      <c r="D206" s="19"/>
      <c r="E206" s="19"/>
      <c r="F206" s="19"/>
      <c r="G206" s="19"/>
      <c r="H206" s="19"/>
      <c r="I206" s="19"/>
      <c r="J206" s="247"/>
    </row>
    <row r="207">
      <c r="A207" s="19"/>
      <c r="C207" s="19"/>
      <c r="D207" s="19"/>
      <c r="E207" s="19"/>
      <c r="F207" s="19"/>
      <c r="G207" s="19"/>
      <c r="H207" s="19"/>
      <c r="I207" s="19"/>
      <c r="J207" s="247"/>
    </row>
    <row r="208">
      <c r="A208" s="19"/>
      <c r="C208" s="19"/>
      <c r="D208" s="19"/>
      <c r="E208" s="19"/>
      <c r="F208" s="19"/>
      <c r="G208" s="19"/>
      <c r="H208" s="19"/>
      <c r="I208" s="19"/>
      <c r="J208" s="247"/>
    </row>
    <row r="209">
      <c r="A209" s="19"/>
      <c r="C209" s="19"/>
      <c r="D209" s="19"/>
      <c r="E209" s="19"/>
      <c r="F209" s="19"/>
      <c r="G209" s="19"/>
      <c r="H209" s="19"/>
      <c r="I209" s="19"/>
      <c r="J209" s="247"/>
    </row>
    <row r="210">
      <c r="A210" s="19"/>
      <c r="C210" s="19"/>
      <c r="D210" s="19"/>
      <c r="E210" s="19"/>
      <c r="F210" s="19"/>
      <c r="G210" s="19"/>
      <c r="H210" s="19"/>
      <c r="I210" s="19"/>
      <c r="J210" s="247"/>
    </row>
    <row r="211">
      <c r="A211" s="19"/>
      <c r="C211" s="19"/>
      <c r="D211" s="19"/>
      <c r="E211" s="19"/>
      <c r="F211" s="19"/>
      <c r="G211" s="19"/>
      <c r="H211" s="19"/>
      <c r="I211" s="19"/>
      <c r="J211" s="247"/>
    </row>
    <row r="212">
      <c r="A212" s="19"/>
      <c r="C212" s="19"/>
      <c r="D212" s="19"/>
      <c r="E212" s="19"/>
      <c r="F212" s="19"/>
      <c r="G212" s="19"/>
      <c r="H212" s="19"/>
      <c r="I212" s="19"/>
      <c r="J212" s="247"/>
    </row>
    <row r="213">
      <c r="A213" s="19"/>
      <c r="C213" s="19"/>
      <c r="D213" s="19"/>
      <c r="E213" s="19"/>
      <c r="F213" s="19"/>
      <c r="G213" s="19"/>
      <c r="H213" s="19"/>
      <c r="I213" s="19"/>
      <c r="J213" s="247"/>
    </row>
    <row r="214">
      <c r="A214" s="19"/>
      <c r="C214" s="19"/>
      <c r="D214" s="19"/>
      <c r="E214" s="19"/>
      <c r="F214" s="19"/>
      <c r="G214" s="19"/>
      <c r="H214" s="19"/>
      <c r="I214" s="19"/>
      <c r="J214" s="247"/>
    </row>
    <row r="215">
      <c r="A215" s="19"/>
      <c r="C215" s="19"/>
      <c r="D215" s="19"/>
      <c r="E215" s="19"/>
      <c r="F215" s="19"/>
      <c r="G215" s="19"/>
      <c r="H215" s="19"/>
      <c r="I215" s="19"/>
      <c r="J215" s="247"/>
    </row>
    <row r="216">
      <c r="A216" s="19"/>
      <c r="C216" s="19"/>
      <c r="D216" s="19"/>
      <c r="E216" s="19"/>
      <c r="F216" s="19"/>
      <c r="G216" s="19"/>
      <c r="H216" s="19"/>
      <c r="I216" s="19"/>
      <c r="J216" s="247"/>
    </row>
    <row r="217">
      <c r="A217" s="19"/>
      <c r="C217" s="19"/>
      <c r="D217" s="19"/>
      <c r="E217" s="19"/>
      <c r="F217" s="19"/>
      <c r="G217" s="19"/>
      <c r="H217" s="19"/>
      <c r="I217" s="19"/>
      <c r="J217" s="247"/>
    </row>
    <row r="218">
      <c r="A218" s="19"/>
      <c r="C218" s="19"/>
      <c r="D218" s="19"/>
      <c r="E218" s="19"/>
      <c r="F218" s="19"/>
      <c r="G218" s="19"/>
      <c r="H218" s="19"/>
      <c r="I218" s="19"/>
      <c r="J218" s="247"/>
    </row>
    <row r="219">
      <c r="A219" s="19"/>
      <c r="C219" s="19"/>
      <c r="D219" s="19"/>
      <c r="E219" s="19"/>
      <c r="F219" s="19"/>
      <c r="G219" s="19"/>
      <c r="H219" s="19"/>
      <c r="I219" s="19"/>
      <c r="J219" s="247"/>
    </row>
    <row r="220">
      <c r="A220" s="19"/>
      <c r="C220" s="19"/>
      <c r="D220" s="19"/>
      <c r="E220" s="19"/>
      <c r="F220" s="19"/>
      <c r="G220" s="19"/>
      <c r="H220" s="19"/>
      <c r="I220" s="19"/>
      <c r="J220" s="247"/>
    </row>
    <row r="221">
      <c r="A221" s="19"/>
      <c r="C221" s="19"/>
      <c r="D221" s="19"/>
      <c r="E221" s="19"/>
      <c r="F221" s="19"/>
      <c r="G221" s="19"/>
      <c r="H221" s="19"/>
      <c r="I221" s="19"/>
      <c r="J221" s="247"/>
    </row>
    <row r="222">
      <c r="A222" s="19"/>
      <c r="C222" s="19"/>
      <c r="D222" s="19"/>
      <c r="E222" s="19"/>
      <c r="F222" s="19"/>
      <c r="G222" s="19"/>
      <c r="H222" s="19"/>
      <c r="I222" s="19"/>
      <c r="J222" s="247"/>
    </row>
    <row r="223">
      <c r="A223" s="19"/>
      <c r="C223" s="19"/>
      <c r="D223" s="19"/>
      <c r="E223" s="19"/>
      <c r="F223" s="19"/>
      <c r="G223" s="19"/>
      <c r="H223" s="19"/>
      <c r="I223" s="19"/>
      <c r="J223" s="247"/>
    </row>
    <row r="224">
      <c r="A224" s="19"/>
      <c r="C224" s="19"/>
      <c r="D224" s="19"/>
      <c r="E224" s="19"/>
      <c r="F224" s="19"/>
      <c r="G224" s="19"/>
      <c r="H224" s="19"/>
      <c r="I224" s="19"/>
      <c r="J224" s="247"/>
    </row>
    <row r="225">
      <c r="A225" s="19"/>
      <c r="C225" s="19"/>
      <c r="D225" s="19"/>
      <c r="E225" s="19"/>
      <c r="F225" s="19"/>
      <c r="G225" s="19"/>
      <c r="H225" s="19"/>
      <c r="I225" s="19"/>
      <c r="J225" s="247"/>
    </row>
    <row r="226">
      <c r="A226" s="19"/>
      <c r="C226" s="19"/>
      <c r="D226" s="19"/>
      <c r="E226" s="19"/>
      <c r="F226" s="19"/>
      <c r="G226" s="19"/>
      <c r="H226" s="19"/>
      <c r="I226" s="19"/>
      <c r="J226" s="247"/>
    </row>
    <row r="227">
      <c r="A227" s="19"/>
      <c r="C227" s="19"/>
      <c r="D227" s="19"/>
      <c r="E227" s="19"/>
      <c r="F227" s="19"/>
      <c r="G227" s="19"/>
      <c r="H227" s="19"/>
      <c r="I227" s="19"/>
      <c r="J227" s="247"/>
    </row>
    <row r="228">
      <c r="A228" s="19"/>
      <c r="C228" s="19"/>
      <c r="D228" s="19"/>
      <c r="E228" s="19"/>
      <c r="F228" s="19"/>
      <c r="G228" s="19"/>
      <c r="H228" s="19"/>
      <c r="I228" s="19"/>
      <c r="J228" s="247"/>
    </row>
    <row r="229">
      <c r="A229" s="19"/>
      <c r="C229" s="19"/>
      <c r="D229" s="19"/>
      <c r="E229" s="19"/>
      <c r="F229" s="19"/>
      <c r="G229" s="19"/>
      <c r="H229" s="19"/>
      <c r="I229" s="19"/>
      <c r="J229" s="247"/>
    </row>
    <row r="230">
      <c r="A230" s="19"/>
      <c r="C230" s="19"/>
      <c r="D230" s="19"/>
      <c r="E230" s="19"/>
      <c r="F230" s="19"/>
      <c r="G230" s="19"/>
      <c r="H230" s="19"/>
      <c r="I230" s="19"/>
      <c r="J230" s="247"/>
    </row>
    <row r="231">
      <c r="A231" s="19"/>
      <c r="C231" s="19"/>
      <c r="D231" s="19"/>
      <c r="E231" s="19"/>
      <c r="F231" s="19"/>
      <c r="G231" s="19"/>
      <c r="H231" s="19"/>
      <c r="I231" s="19"/>
      <c r="J231" s="247"/>
    </row>
    <row r="232">
      <c r="A232" s="19"/>
      <c r="C232" s="19"/>
      <c r="D232" s="19"/>
      <c r="E232" s="19"/>
      <c r="F232" s="19"/>
      <c r="G232" s="19"/>
      <c r="H232" s="19"/>
      <c r="I232" s="19"/>
      <c r="J232" s="247"/>
    </row>
    <row r="233">
      <c r="A233" s="19"/>
      <c r="C233" s="19"/>
      <c r="D233" s="19"/>
      <c r="E233" s="19"/>
      <c r="F233" s="19"/>
      <c r="G233" s="19"/>
      <c r="H233" s="19"/>
      <c r="I233" s="19"/>
      <c r="J233" s="247"/>
    </row>
    <row r="234">
      <c r="A234" s="19"/>
      <c r="C234" s="19"/>
      <c r="D234" s="19"/>
      <c r="E234" s="19"/>
      <c r="F234" s="19"/>
      <c r="G234" s="19"/>
      <c r="H234" s="19"/>
      <c r="I234" s="19"/>
      <c r="J234" s="247"/>
    </row>
    <row r="235">
      <c r="A235" s="19"/>
      <c r="C235" s="19"/>
      <c r="D235" s="19"/>
      <c r="E235" s="19"/>
      <c r="F235" s="19"/>
      <c r="G235" s="19"/>
      <c r="H235" s="19"/>
      <c r="I235" s="19"/>
      <c r="J235" s="247"/>
    </row>
    <row r="236">
      <c r="A236" s="19"/>
      <c r="C236" s="19"/>
      <c r="D236" s="19"/>
      <c r="E236" s="19"/>
      <c r="F236" s="19"/>
      <c r="G236" s="19"/>
      <c r="H236" s="19"/>
      <c r="I236" s="19"/>
      <c r="J236" s="247"/>
    </row>
    <row r="237">
      <c r="A237" s="19"/>
      <c r="C237" s="19"/>
      <c r="D237" s="19"/>
      <c r="E237" s="19"/>
      <c r="F237" s="19"/>
      <c r="G237" s="19"/>
      <c r="H237" s="19"/>
      <c r="I237" s="19"/>
      <c r="J237" s="247"/>
    </row>
    <row r="238">
      <c r="A238" s="19"/>
      <c r="C238" s="19"/>
      <c r="D238" s="19"/>
      <c r="E238" s="19"/>
      <c r="F238" s="19"/>
      <c r="G238" s="19"/>
      <c r="H238" s="19"/>
      <c r="I238" s="19"/>
      <c r="J238" s="247"/>
    </row>
    <row r="239">
      <c r="A239" s="19"/>
      <c r="C239" s="19"/>
      <c r="D239" s="19"/>
      <c r="E239" s="19"/>
      <c r="F239" s="19"/>
      <c r="G239" s="19"/>
      <c r="H239" s="19"/>
      <c r="I239" s="19"/>
      <c r="J239" s="247"/>
    </row>
    <row r="240">
      <c r="A240" s="19"/>
      <c r="C240" s="19"/>
      <c r="D240" s="19"/>
      <c r="E240" s="19"/>
      <c r="F240" s="19"/>
      <c r="G240" s="19"/>
      <c r="H240" s="19"/>
      <c r="I240" s="19"/>
      <c r="J240" s="247"/>
    </row>
    <row r="241">
      <c r="A241" s="19"/>
      <c r="C241" s="19"/>
      <c r="D241" s="19"/>
      <c r="E241" s="19"/>
      <c r="F241" s="19"/>
      <c r="G241" s="19"/>
      <c r="H241" s="19"/>
      <c r="I241" s="19"/>
      <c r="J241" s="247"/>
    </row>
    <row r="242">
      <c r="A242" s="19"/>
      <c r="C242" s="19"/>
      <c r="D242" s="19"/>
      <c r="E242" s="19"/>
      <c r="F242" s="19"/>
      <c r="G242" s="19"/>
      <c r="H242" s="19"/>
      <c r="I242" s="19"/>
      <c r="J242" s="247"/>
    </row>
    <row r="243">
      <c r="A243" s="19"/>
      <c r="C243" s="19"/>
      <c r="D243" s="19"/>
      <c r="E243" s="19"/>
      <c r="F243" s="19"/>
      <c r="G243" s="19"/>
      <c r="H243" s="19"/>
      <c r="I243" s="19"/>
      <c r="J243" s="247"/>
    </row>
    <row r="244">
      <c r="A244" s="19"/>
      <c r="C244" s="19"/>
      <c r="D244" s="19"/>
      <c r="E244" s="19"/>
      <c r="F244" s="19"/>
      <c r="G244" s="19"/>
      <c r="H244" s="19"/>
      <c r="I244" s="19"/>
      <c r="J244" s="247"/>
    </row>
    <row r="245">
      <c r="A245" s="19"/>
      <c r="C245" s="19"/>
      <c r="D245" s="19"/>
      <c r="E245" s="19"/>
      <c r="F245" s="19"/>
      <c r="G245" s="19"/>
      <c r="H245" s="19"/>
      <c r="I245" s="19"/>
      <c r="J245" s="247"/>
    </row>
    <row r="246">
      <c r="A246" s="19"/>
      <c r="C246" s="19"/>
      <c r="D246" s="19"/>
      <c r="E246" s="19"/>
      <c r="F246" s="19"/>
      <c r="G246" s="19"/>
      <c r="H246" s="19"/>
      <c r="I246" s="19"/>
      <c r="J246" s="247"/>
    </row>
    <row r="247">
      <c r="A247" s="19"/>
      <c r="C247" s="19"/>
      <c r="D247" s="19"/>
      <c r="E247" s="19"/>
      <c r="F247" s="19"/>
      <c r="G247" s="19"/>
      <c r="H247" s="19"/>
      <c r="I247" s="19"/>
      <c r="J247" s="247"/>
    </row>
    <row r="248">
      <c r="A248" s="19"/>
      <c r="C248" s="19"/>
      <c r="D248" s="19"/>
      <c r="E248" s="19"/>
      <c r="F248" s="19"/>
      <c r="G248" s="19"/>
      <c r="H248" s="19"/>
      <c r="I248" s="19"/>
      <c r="J248" s="247"/>
    </row>
    <row r="249">
      <c r="A249" s="19"/>
      <c r="C249" s="19"/>
      <c r="D249" s="19"/>
      <c r="E249" s="19"/>
      <c r="F249" s="19"/>
      <c r="G249" s="19"/>
      <c r="H249" s="19"/>
      <c r="I249" s="19"/>
      <c r="J249" s="247"/>
    </row>
    <row r="250">
      <c r="A250" s="19"/>
      <c r="C250" s="19"/>
      <c r="D250" s="19"/>
      <c r="E250" s="19"/>
      <c r="F250" s="19"/>
      <c r="G250" s="19"/>
      <c r="H250" s="19"/>
      <c r="I250" s="19"/>
      <c r="J250" s="247"/>
    </row>
    <row r="251">
      <c r="A251" s="19"/>
      <c r="C251" s="19"/>
      <c r="D251" s="19"/>
      <c r="E251" s="19"/>
      <c r="F251" s="19"/>
      <c r="G251" s="19"/>
      <c r="H251" s="19"/>
      <c r="I251" s="19"/>
      <c r="J251" s="247"/>
    </row>
    <row r="252">
      <c r="A252" s="19"/>
      <c r="C252" s="19"/>
      <c r="D252" s="19"/>
      <c r="E252" s="19"/>
      <c r="F252" s="19"/>
      <c r="G252" s="19"/>
      <c r="H252" s="19"/>
      <c r="I252" s="19"/>
      <c r="J252" s="247"/>
    </row>
    <row r="253">
      <c r="A253" s="19"/>
      <c r="C253" s="19"/>
      <c r="D253" s="19"/>
      <c r="E253" s="19"/>
      <c r="F253" s="19"/>
      <c r="G253" s="19"/>
      <c r="H253" s="19"/>
      <c r="I253" s="19"/>
      <c r="J253" s="247"/>
    </row>
    <row r="254">
      <c r="A254" s="19"/>
      <c r="C254" s="19"/>
      <c r="D254" s="19"/>
      <c r="E254" s="19"/>
      <c r="F254" s="19"/>
      <c r="G254" s="19"/>
      <c r="H254" s="19"/>
      <c r="I254" s="19"/>
      <c r="J254" s="247"/>
    </row>
    <row r="255">
      <c r="A255" s="19"/>
      <c r="C255" s="19"/>
      <c r="D255" s="19"/>
      <c r="E255" s="19"/>
      <c r="F255" s="19"/>
      <c r="G255" s="19"/>
      <c r="H255" s="19"/>
      <c r="I255" s="19"/>
      <c r="J255" s="247"/>
    </row>
    <row r="256">
      <c r="A256" s="19"/>
      <c r="C256" s="19"/>
      <c r="D256" s="19"/>
      <c r="E256" s="19"/>
      <c r="F256" s="19"/>
      <c r="G256" s="19"/>
      <c r="H256" s="19"/>
      <c r="I256" s="19"/>
      <c r="J256" s="247"/>
    </row>
    <row r="257">
      <c r="A257" s="19"/>
      <c r="C257" s="19"/>
      <c r="D257" s="19"/>
      <c r="E257" s="19"/>
      <c r="F257" s="19"/>
      <c r="G257" s="19"/>
      <c r="H257" s="19"/>
      <c r="I257" s="19"/>
      <c r="J257" s="247"/>
    </row>
    <row r="258">
      <c r="A258" s="19"/>
      <c r="C258" s="19"/>
      <c r="D258" s="19"/>
      <c r="E258" s="19"/>
      <c r="F258" s="19"/>
      <c r="G258" s="19"/>
      <c r="H258" s="19"/>
      <c r="I258" s="19"/>
      <c r="J258" s="247"/>
    </row>
    <row r="259">
      <c r="A259" s="19"/>
      <c r="C259" s="19"/>
      <c r="D259" s="19"/>
      <c r="E259" s="19"/>
      <c r="F259" s="19"/>
      <c r="G259" s="19"/>
      <c r="H259" s="19"/>
      <c r="I259" s="19"/>
      <c r="J259" s="247"/>
    </row>
    <row r="260">
      <c r="A260" s="19"/>
      <c r="C260" s="19"/>
      <c r="D260" s="19"/>
      <c r="E260" s="19"/>
      <c r="F260" s="19"/>
      <c r="G260" s="19"/>
      <c r="H260" s="19"/>
      <c r="I260" s="19"/>
      <c r="J260" s="247"/>
    </row>
    <row r="261">
      <c r="A261" s="19"/>
      <c r="C261" s="19"/>
      <c r="D261" s="19"/>
      <c r="E261" s="19"/>
      <c r="F261" s="19"/>
      <c r="G261" s="19"/>
      <c r="H261" s="19"/>
      <c r="I261" s="19"/>
      <c r="J261" s="247"/>
    </row>
    <row r="262">
      <c r="A262" s="19"/>
      <c r="C262" s="19"/>
      <c r="D262" s="19"/>
      <c r="E262" s="19"/>
      <c r="F262" s="19"/>
      <c r="G262" s="19"/>
      <c r="H262" s="19"/>
      <c r="I262" s="19"/>
      <c r="J262" s="247"/>
    </row>
    <row r="263">
      <c r="A263" s="19"/>
      <c r="C263" s="19"/>
      <c r="D263" s="19"/>
      <c r="E263" s="19"/>
      <c r="F263" s="19"/>
      <c r="G263" s="19"/>
      <c r="H263" s="19"/>
      <c r="I263" s="19"/>
      <c r="J263" s="247"/>
    </row>
    <row r="264">
      <c r="A264" s="19"/>
      <c r="C264" s="19"/>
      <c r="D264" s="19"/>
      <c r="E264" s="19"/>
      <c r="F264" s="19"/>
      <c r="G264" s="19"/>
      <c r="H264" s="19"/>
      <c r="I264" s="19"/>
      <c r="J264" s="247"/>
    </row>
    <row r="265">
      <c r="A265" s="19"/>
      <c r="C265" s="19"/>
      <c r="D265" s="19"/>
      <c r="E265" s="19"/>
      <c r="F265" s="19"/>
      <c r="G265" s="19"/>
      <c r="H265" s="19"/>
      <c r="I265" s="19"/>
      <c r="J265" s="247"/>
    </row>
    <row r="266">
      <c r="A266" s="19"/>
      <c r="C266" s="19"/>
      <c r="D266" s="19"/>
      <c r="E266" s="19"/>
      <c r="F266" s="19"/>
      <c r="G266" s="19"/>
      <c r="H266" s="19"/>
      <c r="I266" s="19"/>
      <c r="J266" s="247"/>
    </row>
    <row r="267">
      <c r="A267" s="19"/>
      <c r="C267" s="19"/>
      <c r="D267" s="19"/>
      <c r="E267" s="19"/>
      <c r="F267" s="19"/>
      <c r="G267" s="19"/>
      <c r="H267" s="19"/>
      <c r="I267" s="19"/>
      <c r="J267" s="247"/>
    </row>
    <row r="268">
      <c r="A268" s="19"/>
      <c r="C268" s="19"/>
      <c r="D268" s="19"/>
      <c r="E268" s="19"/>
      <c r="F268" s="19"/>
      <c r="G268" s="19"/>
      <c r="H268" s="19"/>
      <c r="I268" s="19"/>
      <c r="J268" s="247"/>
    </row>
    <row r="269">
      <c r="A269" s="19"/>
      <c r="C269" s="19"/>
      <c r="D269" s="19"/>
      <c r="E269" s="19"/>
      <c r="F269" s="19"/>
      <c r="G269" s="19"/>
      <c r="H269" s="19"/>
      <c r="I269" s="19"/>
      <c r="J269" s="247"/>
    </row>
    <row r="270">
      <c r="A270" s="19"/>
      <c r="C270" s="19"/>
      <c r="D270" s="19"/>
      <c r="E270" s="19"/>
      <c r="F270" s="19"/>
      <c r="G270" s="19"/>
      <c r="H270" s="19"/>
      <c r="I270" s="19"/>
      <c r="J270" s="247"/>
    </row>
    <row r="271">
      <c r="A271" s="19"/>
      <c r="C271" s="19"/>
      <c r="D271" s="19"/>
      <c r="E271" s="19"/>
      <c r="F271" s="19"/>
      <c r="G271" s="19"/>
      <c r="H271" s="19"/>
      <c r="I271" s="19"/>
      <c r="J271" s="247"/>
    </row>
    <row r="272">
      <c r="A272" s="19"/>
      <c r="C272" s="19"/>
      <c r="D272" s="19"/>
      <c r="E272" s="19"/>
      <c r="F272" s="19"/>
      <c r="G272" s="19"/>
      <c r="H272" s="19"/>
      <c r="I272" s="19"/>
      <c r="J272" s="247"/>
    </row>
    <row r="273">
      <c r="A273" s="19"/>
      <c r="C273" s="19"/>
      <c r="D273" s="19"/>
      <c r="E273" s="19"/>
      <c r="F273" s="19"/>
      <c r="G273" s="19"/>
      <c r="H273" s="19"/>
      <c r="I273" s="19"/>
      <c r="J273" s="247"/>
    </row>
    <row r="274">
      <c r="A274" s="19"/>
      <c r="C274" s="19"/>
      <c r="D274" s="19"/>
      <c r="E274" s="19"/>
      <c r="F274" s="19"/>
      <c r="G274" s="19"/>
      <c r="H274" s="19"/>
      <c r="I274" s="19"/>
      <c r="J274" s="247"/>
    </row>
    <row r="275">
      <c r="A275" s="19"/>
      <c r="C275" s="19"/>
      <c r="D275" s="19"/>
      <c r="E275" s="19"/>
      <c r="F275" s="19"/>
      <c r="G275" s="19"/>
      <c r="H275" s="19"/>
      <c r="I275" s="19"/>
      <c r="J275" s="247"/>
    </row>
    <row r="276">
      <c r="A276" s="19"/>
      <c r="C276" s="19"/>
      <c r="D276" s="19"/>
      <c r="E276" s="19"/>
      <c r="F276" s="19"/>
      <c r="G276" s="19"/>
      <c r="H276" s="19"/>
      <c r="I276" s="19"/>
      <c r="J276" s="247"/>
    </row>
    <row r="277">
      <c r="A277" s="19"/>
      <c r="C277" s="19"/>
      <c r="D277" s="19"/>
      <c r="E277" s="19"/>
      <c r="F277" s="19"/>
      <c r="G277" s="19"/>
      <c r="H277" s="19"/>
      <c r="I277" s="19"/>
      <c r="J277" s="247"/>
    </row>
    <row r="278">
      <c r="A278" s="19"/>
      <c r="C278" s="19"/>
      <c r="D278" s="19"/>
      <c r="E278" s="19"/>
      <c r="F278" s="19"/>
      <c r="G278" s="19"/>
      <c r="H278" s="19"/>
      <c r="I278" s="19"/>
      <c r="J278" s="247"/>
    </row>
    <row r="279">
      <c r="A279" s="19"/>
      <c r="C279" s="19"/>
      <c r="D279" s="19"/>
      <c r="E279" s="19"/>
      <c r="F279" s="19"/>
      <c r="G279" s="19"/>
      <c r="H279" s="19"/>
      <c r="I279" s="19"/>
      <c r="J279" s="247"/>
    </row>
    <row r="280">
      <c r="A280" s="19"/>
      <c r="C280" s="19"/>
      <c r="D280" s="19"/>
      <c r="E280" s="19"/>
      <c r="F280" s="19"/>
      <c r="G280" s="19"/>
      <c r="H280" s="19"/>
      <c r="I280" s="19"/>
      <c r="J280" s="247"/>
    </row>
    <row r="281">
      <c r="A281" s="19"/>
      <c r="C281" s="19"/>
      <c r="D281" s="19"/>
      <c r="E281" s="19"/>
      <c r="F281" s="19"/>
      <c r="G281" s="19"/>
      <c r="H281" s="19"/>
      <c r="I281" s="19"/>
      <c r="J281" s="247"/>
    </row>
    <row r="282">
      <c r="A282" s="19"/>
      <c r="C282" s="19"/>
      <c r="D282" s="19"/>
      <c r="E282" s="19"/>
      <c r="F282" s="19"/>
      <c r="G282" s="19"/>
      <c r="H282" s="19"/>
      <c r="I282" s="19"/>
      <c r="J282" s="247"/>
    </row>
    <row r="283">
      <c r="A283" s="19"/>
      <c r="C283" s="19"/>
      <c r="D283" s="19"/>
      <c r="E283" s="19"/>
      <c r="F283" s="19"/>
      <c r="G283" s="19"/>
      <c r="H283" s="19"/>
      <c r="I283" s="19"/>
      <c r="J283" s="247"/>
    </row>
    <row r="284">
      <c r="A284" s="19"/>
      <c r="C284" s="19"/>
      <c r="D284" s="19"/>
      <c r="E284" s="19"/>
      <c r="F284" s="19"/>
      <c r="G284" s="19"/>
      <c r="H284" s="19"/>
      <c r="I284" s="19"/>
      <c r="J284" s="247"/>
    </row>
    <row r="285">
      <c r="A285" s="19"/>
      <c r="C285" s="19"/>
      <c r="D285" s="19"/>
      <c r="E285" s="19"/>
      <c r="F285" s="19"/>
      <c r="G285" s="19"/>
      <c r="H285" s="19"/>
      <c r="I285" s="19"/>
      <c r="J285" s="247"/>
    </row>
    <row r="286">
      <c r="A286" s="19"/>
      <c r="C286" s="19"/>
      <c r="D286" s="19"/>
      <c r="E286" s="19"/>
      <c r="F286" s="19"/>
      <c r="G286" s="19"/>
      <c r="H286" s="19"/>
      <c r="I286" s="19"/>
      <c r="J286" s="247"/>
    </row>
    <row r="287">
      <c r="A287" s="19"/>
      <c r="C287" s="19"/>
      <c r="D287" s="19"/>
      <c r="E287" s="19"/>
      <c r="F287" s="19"/>
      <c r="G287" s="19"/>
      <c r="H287" s="19"/>
      <c r="I287" s="19"/>
      <c r="J287" s="247"/>
    </row>
    <row r="288">
      <c r="A288" s="19"/>
      <c r="C288" s="19"/>
      <c r="D288" s="19"/>
      <c r="E288" s="19"/>
      <c r="F288" s="19"/>
      <c r="G288" s="19"/>
      <c r="H288" s="19"/>
      <c r="I288" s="19"/>
      <c r="J288" s="247"/>
    </row>
    <row r="289">
      <c r="A289" s="19"/>
      <c r="C289" s="19"/>
      <c r="D289" s="19"/>
      <c r="E289" s="19"/>
      <c r="F289" s="19"/>
      <c r="G289" s="19"/>
      <c r="H289" s="19"/>
      <c r="I289" s="19"/>
      <c r="J289" s="247"/>
    </row>
    <row r="290">
      <c r="A290" s="19"/>
      <c r="C290" s="19"/>
      <c r="D290" s="19"/>
      <c r="E290" s="19"/>
      <c r="F290" s="19"/>
      <c r="G290" s="19"/>
      <c r="H290" s="19"/>
      <c r="I290" s="19"/>
      <c r="J290" s="247"/>
    </row>
    <row r="291">
      <c r="A291" s="19"/>
      <c r="C291" s="19"/>
      <c r="D291" s="19"/>
      <c r="E291" s="19"/>
      <c r="F291" s="19"/>
      <c r="G291" s="19"/>
      <c r="H291" s="19"/>
      <c r="I291" s="19"/>
      <c r="J291" s="247"/>
    </row>
    <row r="292">
      <c r="A292" s="19"/>
      <c r="C292" s="19"/>
      <c r="D292" s="19"/>
      <c r="E292" s="19"/>
      <c r="F292" s="19"/>
      <c r="G292" s="19"/>
      <c r="H292" s="19"/>
      <c r="I292" s="19"/>
      <c r="J292" s="247"/>
    </row>
    <row r="293">
      <c r="A293" s="19"/>
      <c r="C293" s="19"/>
      <c r="D293" s="19"/>
      <c r="E293" s="19"/>
      <c r="F293" s="19"/>
      <c r="G293" s="19"/>
      <c r="H293" s="19"/>
      <c r="I293" s="19"/>
      <c r="J293" s="247"/>
    </row>
    <row r="294">
      <c r="A294" s="19"/>
      <c r="C294" s="19"/>
      <c r="D294" s="19"/>
      <c r="E294" s="19"/>
      <c r="F294" s="19"/>
      <c r="G294" s="19"/>
      <c r="H294" s="19"/>
      <c r="I294" s="19"/>
      <c r="J294" s="247"/>
    </row>
    <row r="295">
      <c r="A295" s="19"/>
      <c r="C295" s="19"/>
      <c r="D295" s="19"/>
      <c r="E295" s="19"/>
      <c r="F295" s="19"/>
      <c r="G295" s="19"/>
      <c r="H295" s="19"/>
      <c r="I295" s="19"/>
      <c r="J295" s="247"/>
    </row>
    <row r="296">
      <c r="A296" s="19"/>
      <c r="C296" s="19"/>
      <c r="D296" s="19"/>
      <c r="E296" s="19"/>
      <c r="F296" s="19"/>
      <c r="G296" s="19"/>
      <c r="H296" s="19"/>
      <c r="I296" s="19"/>
      <c r="J296" s="247"/>
    </row>
    <row r="297">
      <c r="A297" s="19"/>
      <c r="C297" s="19"/>
      <c r="D297" s="19"/>
      <c r="E297" s="19"/>
      <c r="F297" s="19"/>
      <c r="G297" s="19"/>
      <c r="H297" s="19"/>
      <c r="I297" s="19"/>
      <c r="J297" s="247"/>
    </row>
    <row r="298">
      <c r="A298" s="19"/>
      <c r="C298" s="19"/>
      <c r="D298" s="19"/>
      <c r="E298" s="19"/>
      <c r="F298" s="19"/>
      <c r="G298" s="19"/>
      <c r="H298" s="19"/>
      <c r="I298" s="19"/>
      <c r="J298" s="247"/>
    </row>
    <row r="299">
      <c r="A299" s="19"/>
      <c r="C299" s="19"/>
      <c r="D299" s="19"/>
      <c r="E299" s="19"/>
      <c r="F299" s="19"/>
      <c r="G299" s="19"/>
      <c r="H299" s="19"/>
      <c r="I299" s="19"/>
      <c r="J299" s="247"/>
    </row>
    <row r="300">
      <c r="A300" s="19"/>
      <c r="C300" s="19"/>
      <c r="D300" s="19"/>
      <c r="E300" s="19"/>
      <c r="F300" s="19"/>
      <c r="G300" s="19"/>
      <c r="H300" s="19"/>
      <c r="I300" s="19"/>
      <c r="J300" s="247"/>
    </row>
    <row r="301">
      <c r="A301" s="19"/>
      <c r="C301" s="19"/>
      <c r="D301" s="19"/>
      <c r="E301" s="19"/>
      <c r="F301" s="19"/>
      <c r="G301" s="19"/>
      <c r="H301" s="19"/>
      <c r="I301" s="19"/>
      <c r="J301" s="247"/>
    </row>
    <row r="302">
      <c r="A302" s="19"/>
      <c r="C302" s="19"/>
      <c r="D302" s="19"/>
      <c r="E302" s="19"/>
      <c r="F302" s="19"/>
      <c r="G302" s="19"/>
      <c r="H302" s="19"/>
      <c r="I302" s="19"/>
      <c r="J302" s="247"/>
    </row>
    <row r="303">
      <c r="A303" s="19"/>
      <c r="C303" s="19"/>
      <c r="D303" s="19"/>
      <c r="E303" s="19"/>
      <c r="F303" s="19"/>
      <c r="G303" s="19"/>
      <c r="H303" s="19"/>
      <c r="I303" s="19"/>
      <c r="J303" s="247"/>
    </row>
    <row r="304">
      <c r="A304" s="19"/>
      <c r="C304" s="19"/>
      <c r="D304" s="19"/>
      <c r="E304" s="19"/>
      <c r="F304" s="19"/>
      <c r="G304" s="19"/>
      <c r="H304" s="19"/>
      <c r="I304" s="19"/>
      <c r="J304" s="247"/>
    </row>
    <row r="305">
      <c r="A305" s="19"/>
      <c r="C305" s="19"/>
      <c r="D305" s="19"/>
      <c r="E305" s="19"/>
      <c r="F305" s="19"/>
      <c r="G305" s="19"/>
      <c r="H305" s="19"/>
      <c r="I305" s="19"/>
      <c r="J305" s="247"/>
    </row>
    <row r="306">
      <c r="A306" s="19"/>
      <c r="C306" s="19"/>
      <c r="D306" s="19"/>
      <c r="E306" s="19"/>
      <c r="F306" s="19"/>
      <c r="G306" s="19"/>
      <c r="H306" s="19"/>
      <c r="I306" s="19"/>
      <c r="J306" s="247"/>
    </row>
    <row r="307">
      <c r="A307" s="19"/>
      <c r="C307" s="19"/>
      <c r="D307" s="19"/>
      <c r="E307" s="19"/>
      <c r="F307" s="19"/>
      <c r="G307" s="19"/>
      <c r="H307" s="19"/>
      <c r="I307" s="19"/>
      <c r="J307" s="247"/>
    </row>
    <row r="308">
      <c r="A308" s="19"/>
      <c r="C308" s="19"/>
      <c r="D308" s="19"/>
      <c r="E308" s="19"/>
      <c r="F308" s="19"/>
      <c r="G308" s="19"/>
      <c r="H308" s="19"/>
      <c r="I308" s="19"/>
      <c r="J308" s="247"/>
    </row>
    <row r="309">
      <c r="A309" s="19"/>
      <c r="C309" s="19"/>
      <c r="D309" s="19"/>
      <c r="E309" s="19"/>
      <c r="F309" s="19"/>
      <c r="G309" s="19"/>
      <c r="H309" s="19"/>
      <c r="I309" s="19"/>
      <c r="J309" s="247"/>
    </row>
    <row r="310">
      <c r="A310" s="19"/>
      <c r="C310" s="19"/>
      <c r="D310" s="19"/>
      <c r="E310" s="19"/>
      <c r="F310" s="19"/>
      <c r="G310" s="19"/>
      <c r="H310" s="19"/>
      <c r="I310" s="19"/>
      <c r="J310" s="247"/>
    </row>
    <row r="311">
      <c r="A311" s="19"/>
      <c r="C311" s="19"/>
      <c r="D311" s="19"/>
      <c r="E311" s="19"/>
      <c r="F311" s="19"/>
      <c r="G311" s="19"/>
      <c r="H311" s="19"/>
      <c r="I311" s="19"/>
      <c r="J311" s="247"/>
    </row>
    <row r="312">
      <c r="A312" s="19"/>
      <c r="C312" s="19"/>
      <c r="D312" s="19"/>
      <c r="E312" s="19"/>
      <c r="F312" s="19"/>
      <c r="G312" s="19"/>
      <c r="H312" s="19"/>
      <c r="I312" s="19"/>
      <c r="J312" s="247"/>
    </row>
    <row r="313">
      <c r="A313" s="19"/>
      <c r="C313" s="19"/>
      <c r="D313" s="19"/>
      <c r="E313" s="19"/>
      <c r="F313" s="19"/>
      <c r="G313" s="19"/>
      <c r="H313" s="19"/>
      <c r="I313" s="19"/>
      <c r="J313" s="247"/>
    </row>
    <row r="314">
      <c r="A314" s="19"/>
      <c r="C314" s="19"/>
      <c r="D314" s="19"/>
      <c r="E314" s="19"/>
      <c r="F314" s="19"/>
      <c r="G314" s="19"/>
      <c r="H314" s="19"/>
      <c r="I314" s="19"/>
      <c r="J314" s="247"/>
    </row>
    <row r="315">
      <c r="A315" s="19"/>
      <c r="C315" s="19"/>
      <c r="D315" s="19"/>
      <c r="E315" s="19"/>
      <c r="F315" s="19"/>
      <c r="G315" s="19"/>
      <c r="H315" s="19"/>
      <c r="I315" s="19"/>
      <c r="J315" s="247"/>
    </row>
    <row r="316">
      <c r="A316" s="19"/>
      <c r="C316" s="19"/>
      <c r="D316" s="19"/>
      <c r="E316" s="19"/>
      <c r="F316" s="19"/>
      <c r="G316" s="19"/>
      <c r="H316" s="19"/>
      <c r="I316" s="19"/>
      <c r="J316" s="247"/>
    </row>
    <row r="317">
      <c r="A317" s="19"/>
      <c r="C317" s="19"/>
      <c r="D317" s="19"/>
      <c r="E317" s="19"/>
      <c r="F317" s="19"/>
      <c r="G317" s="19"/>
      <c r="H317" s="19"/>
      <c r="I317" s="19"/>
      <c r="J317" s="247"/>
    </row>
    <row r="318">
      <c r="A318" s="19"/>
      <c r="C318" s="19"/>
      <c r="D318" s="19"/>
      <c r="E318" s="19"/>
      <c r="F318" s="19"/>
      <c r="G318" s="19"/>
      <c r="H318" s="19"/>
      <c r="I318" s="19"/>
      <c r="J318" s="247"/>
    </row>
    <row r="319">
      <c r="A319" s="19"/>
      <c r="C319" s="19"/>
      <c r="D319" s="19"/>
      <c r="E319" s="19"/>
      <c r="F319" s="19"/>
      <c r="G319" s="19"/>
      <c r="H319" s="19"/>
      <c r="I319" s="19"/>
      <c r="J319" s="247"/>
    </row>
    <row r="320">
      <c r="A320" s="19"/>
      <c r="C320" s="19"/>
      <c r="D320" s="19"/>
      <c r="E320" s="19"/>
      <c r="F320" s="19"/>
      <c r="G320" s="19"/>
      <c r="H320" s="19"/>
      <c r="I320" s="19"/>
      <c r="J320" s="247"/>
    </row>
    <row r="321">
      <c r="A321" s="19"/>
      <c r="C321" s="19"/>
      <c r="D321" s="19"/>
      <c r="E321" s="19"/>
      <c r="F321" s="19"/>
      <c r="G321" s="19"/>
      <c r="H321" s="19"/>
      <c r="I321" s="19"/>
      <c r="J321" s="247"/>
    </row>
    <row r="322">
      <c r="A322" s="19"/>
      <c r="C322" s="19"/>
      <c r="D322" s="19"/>
      <c r="E322" s="19"/>
      <c r="F322" s="19"/>
      <c r="G322" s="19"/>
      <c r="H322" s="19"/>
      <c r="I322" s="19"/>
      <c r="J322" s="247"/>
    </row>
    <row r="323">
      <c r="A323" s="19"/>
      <c r="C323" s="19"/>
      <c r="D323" s="19"/>
      <c r="E323" s="19"/>
      <c r="F323" s="19"/>
      <c r="G323" s="19"/>
      <c r="H323" s="19"/>
      <c r="I323" s="19"/>
      <c r="J323" s="247"/>
    </row>
    <row r="324">
      <c r="A324" s="19"/>
      <c r="C324" s="19"/>
      <c r="D324" s="19"/>
      <c r="E324" s="19"/>
      <c r="F324" s="19"/>
      <c r="G324" s="19"/>
      <c r="H324" s="19"/>
      <c r="I324" s="19"/>
      <c r="J324" s="247"/>
    </row>
    <row r="325">
      <c r="A325" s="19"/>
      <c r="C325" s="19"/>
      <c r="D325" s="19"/>
      <c r="E325" s="19"/>
      <c r="F325" s="19"/>
      <c r="G325" s="19"/>
      <c r="H325" s="19"/>
      <c r="I325" s="19"/>
      <c r="J325" s="247"/>
    </row>
    <row r="326">
      <c r="A326" s="19"/>
      <c r="C326" s="19"/>
      <c r="D326" s="19"/>
      <c r="E326" s="19"/>
      <c r="F326" s="19"/>
      <c r="G326" s="19"/>
      <c r="H326" s="19"/>
      <c r="I326" s="19"/>
      <c r="J326" s="247"/>
    </row>
    <row r="327">
      <c r="A327" s="19"/>
      <c r="C327" s="19"/>
      <c r="D327" s="19"/>
      <c r="E327" s="19"/>
      <c r="F327" s="19"/>
      <c r="G327" s="19"/>
      <c r="H327" s="19"/>
      <c r="I327" s="19"/>
      <c r="J327" s="247"/>
    </row>
    <row r="328">
      <c r="A328" s="19"/>
      <c r="C328" s="19"/>
      <c r="D328" s="19"/>
      <c r="E328" s="19"/>
      <c r="F328" s="19"/>
      <c r="G328" s="19"/>
      <c r="H328" s="19"/>
      <c r="I328" s="19"/>
      <c r="J328" s="247"/>
    </row>
    <row r="329">
      <c r="A329" s="19"/>
      <c r="C329" s="19"/>
      <c r="D329" s="19"/>
      <c r="E329" s="19"/>
      <c r="F329" s="19"/>
      <c r="G329" s="19"/>
      <c r="H329" s="19"/>
      <c r="I329" s="19"/>
      <c r="J329" s="247"/>
    </row>
    <row r="330">
      <c r="A330" s="19"/>
      <c r="C330" s="19"/>
      <c r="D330" s="19"/>
      <c r="E330" s="19"/>
      <c r="F330" s="19"/>
      <c r="G330" s="19"/>
      <c r="H330" s="19"/>
      <c r="I330" s="19"/>
      <c r="J330" s="247"/>
    </row>
    <row r="331">
      <c r="A331" s="19"/>
      <c r="C331" s="19"/>
      <c r="D331" s="19"/>
      <c r="E331" s="19"/>
      <c r="F331" s="19"/>
      <c r="G331" s="19"/>
      <c r="H331" s="19"/>
      <c r="I331" s="19"/>
      <c r="J331" s="247"/>
    </row>
    <row r="332">
      <c r="A332" s="19"/>
      <c r="C332" s="19"/>
      <c r="D332" s="19"/>
      <c r="E332" s="19"/>
      <c r="F332" s="19"/>
      <c r="G332" s="19"/>
      <c r="H332" s="19"/>
      <c r="I332" s="19"/>
      <c r="J332" s="247"/>
    </row>
    <row r="333">
      <c r="A333" s="19"/>
      <c r="C333" s="19"/>
      <c r="D333" s="19"/>
      <c r="E333" s="19"/>
      <c r="F333" s="19"/>
      <c r="G333" s="19"/>
      <c r="H333" s="19"/>
      <c r="I333" s="19"/>
      <c r="J333" s="247"/>
    </row>
    <row r="334">
      <c r="A334" s="19"/>
      <c r="C334" s="19"/>
      <c r="D334" s="19"/>
      <c r="E334" s="19"/>
      <c r="F334" s="19"/>
      <c r="G334" s="19"/>
      <c r="H334" s="19"/>
      <c r="I334" s="19"/>
      <c r="J334" s="247"/>
    </row>
    <row r="335">
      <c r="A335" s="19"/>
      <c r="C335" s="19"/>
      <c r="D335" s="19"/>
      <c r="E335" s="19"/>
      <c r="F335" s="19"/>
      <c r="G335" s="19"/>
      <c r="H335" s="19"/>
      <c r="I335" s="19"/>
      <c r="J335" s="247"/>
    </row>
    <row r="336">
      <c r="A336" s="19"/>
      <c r="C336" s="19"/>
      <c r="D336" s="19"/>
      <c r="E336" s="19"/>
      <c r="F336" s="19"/>
      <c r="G336" s="19"/>
      <c r="H336" s="19"/>
      <c r="I336" s="19"/>
      <c r="J336" s="247"/>
    </row>
    <row r="337">
      <c r="A337" s="19"/>
      <c r="C337" s="19"/>
      <c r="D337" s="19"/>
      <c r="E337" s="19"/>
      <c r="F337" s="19"/>
      <c r="G337" s="19"/>
      <c r="H337" s="19"/>
      <c r="I337" s="19"/>
      <c r="J337" s="247"/>
    </row>
    <row r="338">
      <c r="A338" s="19"/>
      <c r="C338" s="19"/>
      <c r="D338" s="19"/>
      <c r="E338" s="19"/>
      <c r="F338" s="19"/>
      <c r="G338" s="19"/>
      <c r="H338" s="19"/>
      <c r="I338" s="19"/>
      <c r="J338" s="247"/>
    </row>
    <row r="339">
      <c r="A339" s="19"/>
      <c r="C339" s="19"/>
      <c r="D339" s="19"/>
      <c r="E339" s="19"/>
      <c r="F339" s="19"/>
      <c r="G339" s="19"/>
      <c r="H339" s="19"/>
      <c r="I339" s="19"/>
      <c r="J339" s="247"/>
    </row>
    <row r="340">
      <c r="A340" s="19"/>
      <c r="C340" s="19"/>
      <c r="D340" s="19"/>
      <c r="E340" s="19"/>
      <c r="F340" s="19"/>
      <c r="G340" s="19"/>
      <c r="H340" s="19"/>
      <c r="I340" s="19"/>
      <c r="J340" s="247"/>
    </row>
    <row r="341">
      <c r="A341" s="19"/>
      <c r="C341" s="19"/>
      <c r="D341" s="19"/>
      <c r="E341" s="19"/>
      <c r="F341" s="19"/>
      <c r="G341" s="19"/>
      <c r="H341" s="19"/>
      <c r="I341" s="19"/>
      <c r="J341" s="247"/>
    </row>
    <row r="342">
      <c r="A342" s="19"/>
      <c r="C342" s="19"/>
      <c r="D342" s="19"/>
      <c r="E342" s="19"/>
      <c r="F342" s="19"/>
      <c r="G342" s="19"/>
      <c r="H342" s="19"/>
      <c r="I342" s="19"/>
      <c r="J342" s="247"/>
    </row>
    <row r="343">
      <c r="A343" s="19"/>
      <c r="C343" s="19"/>
      <c r="D343" s="19"/>
      <c r="E343" s="19"/>
      <c r="F343" s="19"/>
      <c r="G343" s="19"/>
      <c r="H343" s="19"/>
      <c r="I343" s="19"/>
      <c r="J343" s="247"/>
    </row>
    <row r="344">
      <c r="A344" s="19"/>
      <c r="C344" s="19"/>
      <c r="D344" s="19"/>
      <c r="E344" s="19"/>
      <c r="F344" s="19"/>
      <c r="G344" s="19"/>
      <c r="H344" s="19"/>
      <c r="I344" s="19"/>
      <c r="J344" s="247"/>
    </row>
    <row r="345">
      <c r="A345" s="19"/>
      <c r="C345" s="19"/>
      <c r="D345" s="19"/>
      <c r="E345" s="19"/>
      <c r="F345" s="19"/>
      <c r="G345" s="19"/>
      <c r="H345" s="19"/>
      <c r="I345" s="19"/>
      <c r="J345" s="247"/>
    </row>
    <row r="346">
      <c r="A346" s="19"/>
      <c r="C346" s="19"/>
      <c r="D346" s="19"/>
      <c r="E346" s="19"/>
      <c r="F346" s="19"/>
      <c r="G346" s="19"/>
      <c r="H346" s="19"/>
      <c r="I346" s="19"/>
      <c r="J346" s="247"/>
    </row>
    <row r="347">
      <c r="A347" s="19"/>
      <c r="C347" s="19"/>
      <c r="D347" s="19"/>
      <c r="E347" s="19"/>
      <c r="F347" s="19"/>
      <c r="G347" s="19"/>
      <c r="H347" s="19"/>
      <c r="I347" s="19"/>
      <c r="J347" s="247"/>
    </row>
    <row r="348">
      <c r="A348" s="19"/>
      <c r="C348" s="19"/>
      <c r="D348" s="19"/>
      <c r="E348" s="19"/>
      <c r="F348" s="19"/>
      <c r="G348" s="19"/>
      <c r="H348" s="19"/>
      <c r="I348" s="19"/>
      <c r="J348" s="247"/>
    </row>
    <row r="349">
      <c r="A349" s="19"/>
      <c r="C349" s="19"/>
      <c r="D349" s="19"/>
      <c r="E349" s="19"/>
      <c r="F349" s="19"/>
      <c r="G349" s="19"/>
      <c r="H349" s="19"/>
      <c r="I349" s="19"/>
      <c r="J349" s="247"/>
    </row>
    <row r="350">
      <c r="A350" s="19"/>
      <c r="C350" s="19"/>
      <c r="D350" s="19"/>
      <c r="E350" s="19"/>
      <c r="F350" s="19"/>
      <c r="G350" s="19"/>
      <c r="H350" s="19"/>
      <c r="I350" s="19"/>
      <c r="J350" s="247"/>
    </row>
    <row r="351">
      <c r="A351" s="19"/>
      <c r="C351" s="19"/>
      <c r="D351" s="19"/>
      <c r="E351" s="19"/>
      <c r="F351" s="19"/>
      <c r="G351" s="19"/>
      <c r="H351" s="19"/>
      <c r="I351" s="19"/>
      <c r="J351" s="247"/>
    </row>
    <row r="352">
      <c r="A352" s="19"/>
      <c r="C352" s="19"/>
      <c r="D352" s="19"/>
      <c r="E352" s="19"/>
      <c r="F352" s="19"/>
      <c r="G352" s="19"/>
      <c r="H352" s="19"/>
      <c r="I352" s="19"/>
      <c r="J352" s="247"/>
    </row>
    <row r="353">
      <c r="A353" s="19"/>
      <c r="C353" s="19"/>
      <c r="D353" s="19"/>
      <c r="E353" s="19"/>
      <c r="F353" s="19"/>
      <c r="G353" s="19"/>
      <c r="H353" s="19"/>
      <c r="I353" s="19"/>
      <c r="J353" s="247"/>
    </row>
    <row r="354">
      <c r="A354" s="19"/>
      <c r="C354" s="19"/>
      <c r="D354" s="19"/>
      <c r="E354" s="19"/>
      <c r="F354" s="19"/>
      <c r="G354" s="19"/>
      <c r="H354" s="19"/>
      <c r="I354" s="19"/>
      <c r="J354" s="247"/>
    </row>
    <row r="355">
      <c r="A355" s="19"/>
      <c r="C355" s="19"/>
      <c r="D355" s="19"/>
      <c r="E355" s="19"/>
      <c r="F355" s="19"/>
      <c r="G355" s="19"/>
      <c r="H355" s="19"/>
      <c r="I355" s="19"/>
      <c r="J355" s="247"/>
    </row>
    <row r="356">
      <c r="A356" s="19"/>
      <c r="C356" s="19"/>
      <c r="D356" s="19"/>
      <c r="E356" s="19"/>
      <c r="F356" s="19"/>
      <c r="G356" s="19"/>
      <c r="H356" s="19"/>
      <c r="I356" s="19"/>
      <c r="J356" s="247"/>
    </row>
    <row r="357">
      <c r="A357" s="19"/>
      <c r="C357" s="19"/>
      <c r="D357" s="19"/>
      <c r="E357" s="19"/>
      <c r="F357" s="19"/>
      <c r="G357" s="19"/>
      <c r="H357" s="19"/>
      <c r="I357" s="19"/>
      <c r="J357" s="247"/>
    </row>
    <row r="358">
      <c r="A358" s="19"/>
      <c r="C358" s="19"/>
      <c r="D358" s="19"/>
      <c r="E358" s="19"/>
      <c r="F358" s="19"/>
      <c r="G358" s="19"/>
      <c r="H358" s="19"/>
      <c r="I358" s="19"/>
      <c r="J358" s="247"/>
    </row>
    <row r="359">
      <c r="A359" s="19"/>
      <c r="C359" s="19"/>
      <c r="D359" s="19"/>
      <c r="E359" s="19"/>
      <c r="F359" s="19"/>
      <c r="G359" s="19"/>
      <c r="H359" s="19"/>
      <c r="I359" s="19"/>
      <c r="J359" s="247"/>
    </row>
    <row r="360">
      <c r="A360" s="19"/>
      <c r="C360" s="19"/>
      <c r="D360" s="19"/>
      <c r="E360" s="19"/>
      <c r="F360" s="19"/>
      <c r="G360" s="19"/>
      <c r="H360" s="19"/>
      <c r="I360" s="19"/>
      <c r="J360" s="247"/>
    </row>
    <row r="361">
      <c r="A361" s="19"/>
      <c r="C361" s="19"/>
      <c r="D361" s="19"/>
      <c r="E361" s="19"/>
      <c r="F361" s="19"/>
      <c r="G361" s="19"/>
      <c r="H361" s="19"/>
      <c r="I361" s="19"/>
      <c r="J361" s="247"/>
    </row>
    <row r="362">
      <c r="A362" s="19"/>
      <c r="C362" s="19"/>
      <c r="D362" s="19"/>
      <c r="E362" s="19"/>
      <c r="F362" s="19"/>
      <c r="G362" s="19"/>
      <c r="H362" s="19"/>
      <c r="I362" s="19"/>
      <c r="J362" s="247"/>
    </row>
    <row r="363">
      <c r="A363" s="19"/>
      <c r="C363" s="19"/>
      <c r="D363" s="19"/>
      <c r="E363" s="19"/>
      <c r="F363" s="19"/>
      <c r="G363" s="19"/>
      <c r="H363" s="19"/>
      <c r="I363" s="19"/>
      <c r="J363" s="247"/>
    </row>
    <row r="364">
      <c r="A364" s="19"/>
      <c r="C364" s="19"/>
      <c r="D364" s="19"/>
      <c r="E364" s="19"/>
      <c r="F364" s="19"/>
      <c r="G364" s="19"/>
      <c r="H364" s="19"/>
      <c r="I364" s="19"/>
      <c r="J364" s="247"/>
    </row>
    <row r="365">
      <c r="A365" s="19"/>
      <c r="C365" s="19"/>
      <c r="D365" s="19"/>
      <c r="E365" s="19"/>
      <c r="F365" s="19"/>
      <c r="G365" s="19"/>
      <c r="H365" s="19"/>
      <c r="I365" s="19"/>
      <c r="J365" s="247"/>
    </row>
    <row r="366">
      <c r="A366" s="19"/>
      <c r="C366" s="19"/>
      <c r="D366" s="19"/>
      <c r="E366" s="19"/>
      <c r="F366" s="19"/>
      <c r="G366" s="19"/>
      <c r="H366" s="19"/>
      <c r="I366" s="19"/>
      <c r="J366" s="247"/>
    </row>
    <row r="367">
      <c r="A367" s="19"/>
      <c r="C367" s="19"/>
      <c r="D367" s="19"/>
      <c r="E367" s="19"/>
      <c r="F367" s="19"/>
      <c r="G367" s="19"/>
      <c r="H367" s="19"/>
      <c r="I367" s="19"/>
      <c r="J367" s="247"/>
    </row>
    <row r="368">
      <c r="A368" s="19"/>
      <c r="C368" s="19"/>
      <c r="D368" s="19"/>
      <c r="E368" s="19"/>
      <c r="F368" s="19"/>
      <c r="G368" s="19"/>
      <c r="H368" s="19"/>
      <c r="I368" s="19"/>
      <c r="J368" s="247"/>
    </row>
    <row r="369">
      <c r="A369" s="19"/>
      <c r="C369" s="19"/>
      <c r="D369" s="19"/>
      <c r="E369" s="19"/>
      <c r="F369" s="19"/>
      <c r="G369" s="19"/>
      <c r="H369" s="19"/>
      <c r="I369" s="19"/>
      <c r="J369" s="247"/>
    </row>
    <row r="370">
      <c r="A370" s="19"/>
      <c r="C370" s="19"/>
      <c r="D370" s="19"/>
      <c r="E370" s="19"/>
      <c r="F370" s="19"/>
      <c r="G370" s="19"/>
      <c r="H370" s="19"/>
      <c r="I370" s="19"/>
      <c r="J370" s="247"/>
    </row>
    <row r="371">
      <c r="A371" s="19"/>
      <c r="C371" s="19"/>
      <c r="D371" s="19"/>
      <c r="E371" s="19"/>
      <c r="F371" s="19"/>
      <c r="G371" s="19"/>
      <c r="H371" s="19"/>
      <c r="I371" s="19"/>
      <c r="J371" s="247"/>
    </row>
    <row r="372">
      <c r="A372" s="19"/>
      <c r="C372" s="19"/>
      <c r="D372" s="19"/>
      <c r="E372" s="19"/>
      <c r="F372" s="19"/>
      <c r="G372" s="19"/>
      <c r="H372" s="19"/>
      <c r="I372" s="19"/>
      <c r="J372" s="247"/>
    </row>
    <row r="373">
      <c r="A373" s="19"/>
      <c r="C373" s="19"/>
      <c r="D373" s="19"/>
      <c r="E373" s="19"/>
      <c r="F373" s="19"/>
      <c r="G373" s="19"/>
      <c r="H373" s="19"/>
      <c r="I373" s="19"/>
      <c r="J373" s="247"/>
    </row>
    <row r="374">
      <c r="A374" s="19"/>
      <c r="C374" s="19"/>
      <c r="D374" s="19"/>
      <c r="E374" s="19"/>
      <c r="F374" s="19"/>
      <c r="G374" s="19"/>
      <c r="H374" s="19"/>
      <c r="I374" s="19"/>
      <c r="J374" s="247"/>
    </row>
    <row r="375">
      <c r="A375" s="19"/>
      <c r="C375" s="19"/>
      <c r="D375" s="19"/>
      <c r="E375" s="19"/>
      <c r="F375" s="19"/>
      <c r="G375" s="19"/>
      <c r="H375" s="19"/>
      <c r="I375" s="19"/>
      <c r="J375" s="247"/>
    </row>
    <row r="376">
      <c r="A376" s="19"/>
      <c r="C376" s="19"/>
      <c r="D376" s="19"/>
      <c r="E376" s="19"/>
      <c r="F376" s="19"/>
      <c r="G376" s="19"/>
      <c r="H376" s="19"/>
      <c r="I376" s="19"/>
      <c r="J376" s="247"/>
    </row>
    <row r="377">
      <c r="A377" s="19"/>
      <c r="C377" s="19"/>
      <c r="D377" s="19"/>
      <c r="E377" s="19"/>
      <c r="F377" s="19"/>
      <c r="G377" s="19"/>
      <c r="H377" s="19"/>
      <c r="I377" s="19"/>
      <c r="J377" s="247"/>
    </row>
    <row r="378">
      <c r="A378" s="19"/>
      <c r="C378" s="19"/>
      <c r="D378" s="19"/>
      <c r="E378" s="19"/>
      <c r="F378" s="19"/>
      <c r="G378" s="19"/>
      <c r="H378" s="19"/>
      <c r="I378" s="19"/>
      <c r="J378" s="247"/>
    </row>
    <row r="379">
      <c r="A379" s="19"/>
      <c r="C379" s="19"/>
      <c r="D379" s="19"/>
      <c r="E379" s="19"/>
      <c r="F379" s="19"/>
      <c r="G379" s="19"/>
      <c r="H379" s="19"/>
      <c r="I379" s="19"/>
      <c r="J379" s="247"/>
    </row>
    <row r="380">
      <c r="A380" s="19"/>
      <c r="C380" s="19"/>
      <c r="D380" s="19"/>
      <c r="E380" s="19"/>
      <c r="F380" s="19"/>
      <c r="G380" s="19"/>
      <c r="H380" s="19"/>
      <c r="I380" s="19"/>
      <c r="J380" s="247"/>
    </row>
    <row r="381">
      <c r="A381" s="19"/>
      <c r="C381" s="19"/>
      <c r="D381" s="19"/>
      <c r="E381" s="19"/>
      <c r="F381" s="19"/>
      <c r="G381" s="19"/>
      <c r="H381" s="19"/>
      <c r="I381" s="19"/>
      <c r="J381" s="247"/>
    </row>
    <row r="382">
      <c r="A382" s="19"/>
      <c r="C382" s="19"/>
      <c r="D382" s="19"/>
      <c r="E382" s="19"/>
      <c r="F382" s="19"/>
      <c r="G382" s="19"/>
      <c r="H382" s="19"/>
      <c r="I382" s="19"/>
      <c r="J382" s="247"/>
    </row>
    <row r="383">
      <c r="A383" s="19"/>
      <c r="C383" s="19"/>
      <c r="D383" s="19"/>
      <c r="E383" s="19"/>
      <c r="F383" s="19"/>
      <c r="G383" s="19"/>
      <c r="H383" s="19"/>
      <c r="I383" s="19"/>
      <c r="J383" s="247"/>
    </row>
    <row r="384">
      <c r="A384" s="19"/>
      <c r="C384" s="19"/>
      <c r="D384" s="19"/>
      <c r="E384" s="19"/>
      <c r="F384" s="19"/>
      <c r="G384" s="19"/>
      <c r="H384" s="19"/>
      <c r="I384" s="19"/>
      <c r="J384" s="247"/>
    </row>
    <row r="385">
      <c r="A385" s="19"/>
      <c r="C385" s="19"/>
      <c r="D385" s="19"/>
      <c r="E385" s="19"/>
      <c r="F385" s="19"/>
      <c r="G385" s="19"/>
      <c r="H385" s="19"/>
      <c r="I385" s="19"/>
      <c r="J385" s="247"/>
    </row>
    <row r="386">
      <c r="A386" s="19"/>
      <c r="C386" s="19"/>
      <c r="D386" s="19"/>
      <c r="E386" s="19"/>
      <c r="F386" s="19"/>
      <c r="G386" s="19"/>
      <c r="H386" s="19"/>
      <c r="I386" s="19"/>
      <c r="J386" s="247"/>
    </row>
    <row r="387">
      <c r="A387" s="19"/>
      <c r="C387" s="19"/>
      <c r="D387" s="19"/>
      <c r="E387" s="19"/>
      <c r="F387" s="19"/>
      <c r="G387" s="19"/>
      <c r="H387" s="19"/>
      <c r="I387" s="19"/>
      <c r="J387" s="247"/>
    </row>
    <row r="388">
      <c r="A388" s="19"/>
      <c r="C388" s="19"/>
      <c r="D388" s="19"/>
      <c r="E388" s="19"/>
      <c r="F388" s="19"/>
      <c r="G388" s="19"/>
      <c r="H388" s="19"/>
      <c r="I388" s="19"/>
      <c r="J388" s="247"/>
    </row>
    <row r="389">
      <c r="A389" s="19"/>
      <c r="C389" s="19"/>
      <c r="D389" s="19"/>
      <c r="E389" s="19"/>
      <c r="F389" s="19"/>
      <c r="G389" s="19"/>
      <c r="H389" s="19"/>
      <c r="I389" s="19"/>
      <c r="J389" s="247"/>
    </row>
    <row r="390">
      <c r="A390" s="19"/>
      <c r="C390" s="19"/>
      <c r="D390" s="19"/>
      <c r="E390" s="19"/>
      <c r="F390" s="19"/>
      <c r="G390" s="19"/>
      <c r="H390" s="19"/>
      <c r="I390" s="19"/>
      <c r="J390" s="247"/>
    </row>
    <row r="391">
      <c r="A391" s="19"/>
      <c r="C391" s="19"/>
      <c r="D391" s="19"/>
      <c r="E391" s="19"/>
      <c r="F391" s="19"/>
      <c r="G391" s="19"/>
      <c r="H391" s="19"/>
      <c r="I391" s="19"/>
      <c r="J391" s="247"/>
    </row>
    <row r="392">
      <c r="A392" s="19"/>
      <c r="C392" s="19"/>
      <c r="D392" s="19"/>
      <c r="E392" s="19"/>
      <c r="F392" s="19"/>
      <c r="G392" s="19"/>
      <c r="H392" s="19"/>
      <c r="I392" s="19"/>
      <c r="J392" s="247"/>
    </row>
    <row r="393">
      <c r="A393" s="19"/>
      <c r="C393" s="19"/>
      <c r="D393" s="19"/>
      <c r="E393" s="19"/>
      <c r="F393" s="19"/>
      <c r="G393" s="19"/>
      <c r="H393" s="19"/>
      <c r="I393" s="19"/>
      <c r="J393" s="247"/>
    </row>
    <row r="394">
      <c r="A394" s="19"/>
      <c r="C394" s="19"/>
      <c r="D394" s="19"/>
      <c r="E394" s="19"/>
      <c r="F394" s="19"/>
      <c r="G394" s="19"/>
      <c r="H394" s="19"/>
      <c r="I394" s="19"/>
      <c r="J394" s="247"/>
    </row>
    <row r="395">
      <c r="A395" s="19"/>
      <c r="C395" s="19"/>
      <c r="D395" s="19"/>
      <c r="E395" s="19"/>
      <c r="F395" s="19"/>
      <c r="G395" s="19"/>
      <c r="H395" s="19"/>
      <c r="I395" s="19"/>
      <c r="J395" s="247"/>
    </row>
    <row r="396">
      <c r="A396" s="19"/>
      <c r="C396" s="19"/>
      <c r="D396" s="19"/>
      <c r="E396" s="19"/>
      <c r="F396" s="19"/>
      <c r="G396" s="19"/>
      <c r="H396" s="19"/>
      <c r="I396" s="19"/>
      <c r="J396" s="247"/>
    </row>
    <row r="397">
      <c r="A397" s="19"/>
      <c r="C397" s="19"/>
      <c r="D397" s="19"/>
      <c r="E397" s="19"/>
      <c r="F397" s="19"/>
      <c r="G397" s="19"/>
      <c r="H397" s="19"/>
      <c r="I397" s="19"/>
      <c r="J397" s="247"/>
    </row>
    <row r="398">
      <c r="A398" s="19"/>
      <c r="C398" s="19"/>
      <c r="D398" s="19"/>
      <c r="E398" s="19"/>
      <c r="F398" s="19"/>
      <c r="G398" s="19"/>
      <c r="H398" s="19"/>
      <c r="I398" s="19"/>
      <c r="J398" s="247"/>
    </row>
    <row r="399">
      <c r="A399" s="19"/>
      <c r="C399" s="19"/>
      <c r="D399" s="19"/>
      <c r="E399" s="19"/>
      <c r="F399" s="19"/>
      <c r="G399" s="19"/>
      <c r="H399" s="19"/>
      <c r="I399" s="19"/>
      <c r="J399" s="247"/>
    </row>
    <row r="400">
      <c r="A400" s="19"/>
      <c r="C400" s="19"/>
      <c r="D400" s="19"/>
      <c r="E400" s="19"/>
      <c r="F400" s="19"/>
      <c r="G400" s="19"/>
      <c r="H400" s="19"/>
      <c r="I400" s="19"/>
      <c r="J400" s="247"/>
    </row>
    <row r="401">
      <c r="A401" s="19"/>
      <c r="C401" s="19"/>
      <c r="D401" s="19"/>
      <c r="E401" s="19"/>
      <c r="F401" s="19"/>
      <c r="G401" s="19"/>
      <c r="H401" s="19"/>
      <c r="I401" s="19"/>
      <c r="J401" s="247"/>
    </row>
    <row r="402">
      <c r="A402" s="19"/>
      <c r="C402" s="19"/>
      <c r="D402" s="19"/>
      <c r="E402" s="19"/>
      <c r="F402" s="19"/>
      <c r="G402" s="19"/>
      <c r="H402" s="19"/>
      <c r="I402" s="19"/>
      <c r="J402" s="247"/>
    </row>
    <row r="403">
      <c r="A403" s="19"/>
      <c r="C403" s="19"/>
      <c r="D403" s="19"/>
      <c r="E403" s="19"/>
      <c r="F403" s="19"/>
      <c r="G403" s="19"/>
      <c r="H403" s="19"/>
      <c r="I403" s="19"/>
      <c r="J403" s="247"/>
    </row>
    <row r="404">
      <c r="A404" s="19"/>
      <c r="C404" s="19"/>
      <c r="D404" s="19"/>
      <c r="E404" s="19"/>
      <c r="F404" s="19"/>
      <c r="G404" s="19"/>
      <c r="H404" s="19"/>
      <c r="I404" s="19"/>
      <c r="J404" s="247"/>
    </row>
    <row r="405">
      <c r="A405" s="19"/>
      <c r="C405" s="19"/>
      <c r="D405" s="19"/>
      <c r="E405" s="19"/>
      <c r="F405" s="19"/>
      <c r="G405" s="19"/>
      <c r="H405" s="19"/>
      <c r="I405" s="19"/>
      <c r="J405" s="247"/>
    </row>
    <row r="406">
      <c r="A406" s="19"/>
      <c r="C406" s="19"/>
      <c r="D406" s="19"/>
      <c r="E406" s="19"/>
      <c r="F406" s="19"/>
      <c r="G406" s="19"/>
      <c r="H406" s="19"/>
      <c r="I406" s="19"/>
      <c r="J406" s="247"/>
    </row>
    <row r="407">
      <c r="A407" s="19"/>
      <c r="C407" s="19"/>
      <c r="D407" s="19"/>
      <c r="E407" s="19"/>
      <c r="F407" s="19"/>
      <c r="G407" s="19"/>
      <c r="H407" s="19"/>
      <c r="I407" s="19"/>
      <c r="J407" s="247"/>
    </row>
    <row r="408">
      <c r="A408" s="19"/>
      <c r="C408" s="19"/>
      <c r="D408" s="19"/>
      <c r="E408" s="19"/>
      <c r="F408" s="19"/>
      <c r="G408" s="19"/>
      <c r="H408" s="19"/>
      <c r="I408" s="19"/>
      <c r="J408" s="247"/>
    </row>
    <row r="409">
      <c r="A409" s="19"/>
      <c r="C409" s="19"/>
      <c r="D409" s="19"/>
      <c r="E409" s="19"/>
      <c r="F409" s="19"/>
      <c r="G409" s="19"/>
      <c r="H409" s="19"/>
      <c r="I409" s="19"/>
      <c r="J409" s="247"/>
    </row>
    <row r="410">
      <c r="A410" s="19"/>
      <c r="C410" s="19"/>
      <c r="D410" s="19"/>
      <c r="E410" s="19"/>
      <c r="F410" s="19"/>
      <c r="G410" s="19"/>
      <c r="H410" s="19"/>
      <c r="I410" s="19"/>
      <c r="J410" s="247"/>
    </row>
    <row r="411">
      <c r="A411" s="19"/>
      <c r="C411" s="19"/>
      <c r="D411" s="19"/>
      <c r="E411" s="19"/>
      <c r="F411" s="19"/>
      <c r="G411" s="19"/>
      <c r="H411" s="19"/>
      <c r="I411" s="19"/>
      <c r="J411" s="247"/>
    </row>
    <row r="412">
      <c r="A412" s="19"/>
      <c r="C412" s="19"/>
      <c r="D412" s="19"/>
      <c r="E412" s="19"/>
      <c r="F412" s="19"/>
      <c r="G412" s="19"/>
      <c r="H412" s="19"/>
      <c r="I412" s="19"/>
      <c r="J412" s="247"/>
    </row>
    <row r="413">
      <c r="A413" s="19"/>
      <c r="C413" s="19"/>
      <c r="D413" s="19"/>
      <c r="E413" s="19"/>
      <c r="F413" s="19"/>
      <c r="G413" s="19"/>
      <c r="H413" s="19"/>
      <c r="I413" s="19"/>
      <c r="J413" s="247"/>
    </row>
    <row r="414">
      <c r="A414" s="19"/>
      <c r="C414" s="19"/>
      <c r="D414" s="19"/>
      <c r="E414" s="19"/>
      <c r="F414" s="19"/>
      <c r="G414" s="19"/>
      <c r="H414" s="19"/>
      <c r="I414" s="19"/>
      <c r="J414" s="247"/>
    </row>
    <row r="415">
      <c r="A415" s="19"/>
      <c r="C415" s="19"/>
      <c r="D415" s="19"/>
      <c r="E415" s="19"/>
      <c r="F415" s="19"/>
      <c r="G415" s="19"/>
      <c r="H415" s="19"/>
      <c r="I415" s="19"/>
      <c r="J415" s="247"/>
    </row>
    <row r="416">
      <c r="A416" s="19"/>
      <c r="C416" s="19"/>
      <c r="D416" s="19"/>
      <c r="E416" s="19"/>
      <c r="F416" s="19"/>
      <c r="G416" s="19"/>
      <c r="H416" s="19"/>
      <c r="I416" s="19"/>
      <c r="J416" s="247"/>
    </row>
    <row r="417">
      <c r="A417" s="19"/>
      <c r="C417" s="19"/>
      <c r="D417" s="19"/>
      <c r="E417" s="19"/>
      <c r="F417" s="19"/>
      <c r="G417" s="19"/>
      <c r="H417" s="19"/>
      <c r="I417" s="19"/>
      <c r="J417" s="247"/>
    </row>
    <row r="418">
      <c r="A418" s="19"/>
      <c r="C418" s="19"/>
      <c r="D418" s="19"/>
      <c r="E418" s="19"/>
      <c r="F418" s="19"/>
      <c r="G418" s="19"/>
      <c r="H418" s="19"/>
      <c r="I418" s="19"/>
      <c r="J418" s="247"/>
    </row>
    <row r="419">
      <c r="A419" s="19"/>
      <c r="C419" s="19"/>
      <c r="D419" s="19"/>
      <c r="E419" s="19"/>
      <c r="F419" s="19"/>
      <c r="G419" s="19"/>
      <c r="H419" s="19"/>
      <c r="I419" s="19"/>
      <c r="J419" s="247"/>
    </row>
    <row r="420">
      <c r="A420" s="19"/>
      <c r="C420" s="19"/>
      <c r="D420" s="19"/>
      <c r="E420" s="19"/>
      <c r="F420" s="19"/>
      <c r="G420" s="19"/>
      <c r="H420" s="19"/>
      <c r="I420" s="19"/>
      <c r="J420" s="247"/>
    </row>
    <row r="421">
      <c r="A421" s="19"/>
      <c r="C421" s="19"/>
      <c r="D421" s="19"/>
      <c r="E421" s="19"/>
      <c r="F421" s="19"/>
      <c r="G421" s="19"/>
      <c r="H421" s="19"/>
      <c r="I421" s="19"/>
      <c r="J421" s="247"/>
    </row>
    <row r="422">
      <c r="A422" s="19"/>
      <c r="C422" s="19"/>
      <c r="D422" s="19"/>
      <c r="E422" s="19"/>
      <c r="F422" s="19"/>
      <c r="G422" s="19"/>
      <c r="H422" s="19"/>
      <c r="I422" s="19"/>
      <c r="J422" s="247"/>
    </row>
    <row r="423">
      <c r="A423" s="19"/>
      <c r="C423" s="19"/>
      <c r="D423" s="19"/>
      <c r="E423" s="19"/>
      <c r="F423" s="19"/>
      <c r="G423" s="19"/>
      <c r="H423" s="19"/>
      <c r="I423" s="19"/>
      <c r="J423" s="247"/>
    </row>
    <row r="424">
      <c r="A424" s="19"/>
      <c r="C424" s="19"/>
      <c r="D424" s="19"/>
      <c r="E424" s="19"/>
      <c r="F424" s="19"/>
      <c r="G424" s="19"/>
      <c r="H424" s="19"/>
      <c r="I424" s="19"/>
      <c r="J424" s="247"/>
    </row>
    <row r="425">
      <c r="A425" s="19"/>
      <c r="C425" s="19"/>
      <c r="D425" s="19"/>
      <c r="E425" s="19"/>
      <c r="F425" s="19"/>
      <c r="G425" s="19"/>
      <c r="H425" s="19"/>
      <c r="I425" s="19"/>
      <c r="J425" s="247"/>
    </row>
    <row r="426">
      <c r="A426" s="19"/>
      <c r="C426" s="19"/>
      <c r="D426" s="19"/>
      <c r="E426" s="19"/>
      <c r="F426" s="19"/>
      <c r="G426" s="19"/>
      <c r="H426" s="19"/>
      <c r="I426" s="19"/>
      <c r="J426" s="247"/>
    </row>
    <row r="427">
      <c r="A427" s="19"/>
      <c r="C427" s="19"/>
      <c r="D427" s="19"/>
      <c r="E427" s="19"/>
      <c r="F427" s="19"/>
      <c r="G427" s="19"/>
      <c r="H427" s="19"/>
      <c r="I427" s="19"/>
      <c r="J427" s="247"/>
    </row>
    <row r="428">
      <c r="A428" s="19"/>
      <c r="C428" s="19"/>
      <c r="D428" s="19"/>
      <c r="E428" s="19"/>
      <c r="F428" s="19"/>
      <c r="G428" s="19"/>
      <c r="H428" s="19"/>
      <c r="I428" s="19"/>
      <c r="J428" s="247"/>
    </row>
    <row r="429">
      <c r="A429" s="19"/>
      <c r="C429" s="19"/>
      <c r="D429" s="19"/>
      <c r="E429" s="19"/>
      <c r="F429" s="19"/>
      <c r="G429" s="19"/>
      <c r="H429" s="19"/>
      <c r="I429" s="19"/>
      <c r="J429" s="247"/>
    </row>
    <row r="430">
      <c r="A430" s="19"/>
      <c r="C430" s="19"/>
      <c r="D430" s="19"/>
      <c r="E430" s="19"/>
      <c r="F430" s="19"/>
      <c r="G430" s="19"/>
      <c r="H430" s="19"/>
      <c r="I430" s="19"/>
      <c r="J430" s="247"/>
    </row>
    <row r="431">
      <c r="A431" s="19"/>
      <c r="C431" s="19"/>
      <c r="D431" s="19"/>
      <c r="E431" s="19"/>
      <c r="F431" s="19"/>
      <c r="G431" s="19"/>
      <c r="H431" s="19"/>
      <c r="I431" s="19"/>
      <c r="J431" s="247"/>
    </row>
    <row r="432">
      <c r="A432" s="19"/>
      <c r="C432" s="19"/>
      <c r="D432" s="19"/>
      <c r="E432" s="19"/>
      <c r="F432" s="19"/>
      <c r="G432" s="19"/>
      <c r="H432" s="19"/>
      <c r="I432" s="19"/>
      <c r="J432" s="247"/>
    </row>
    <row r="433">
      <c r="A433" s="19"/>
      <c r="C433" s="19"/>
      <c r="D433" s="19"/>
      <c r="E433" s="19"/>
      <c r="F433" s="19"/>
      <c r="G433" s="19"/>
      <c r="H433" s="19"/>
      <c r="I433" s="19"/>
      <c r="J433" s="247"/>
    </row>
    <row r="434">
      <c r="A434" s="19"/>
      <c r="C434" s="19"/>
      <c r="D434" s="19"/>
      <c r="E434" s="19"/>
      <c r="F434" s="19"/>
      <c r="G434" s="19"/>
      <c r="H434" s="19"/>
      <c r="I434" s="19"/>
      <c r="J434" s="247"/>
    </row>
    <row r="435">
      <c r="A435" s="19"/>
      <c r="C435" s="19"/>
      <c r="D435" s="19"/>
      <c r="E435" s="19"/>
      <c r="F435" s="19"/>
      <c r="G435" s="19"/>
      <c r="H435" s="19"/>
      <c r="I435" s="19"/>
      <c r="J435" s="247"/>
    </row>
    <row r="436">
      <c r="A436" s="19"/>
      <c r="C436" s="19"/>
      <c r="D436" s="19"/>
      <c r="E436" s="19"/>
      <c r="F436" s="19"/>
      <c r="G436" s="19"/>
      <c r="H436" s="19"/>
      <c r="I436" s="19"/>
      <c r="J436" s="247"/>
    </row>
    <row r="437">
      <c r="A437" s="19"/>
      <c r="C437" s="19"/>
      <c r="D437" s="19"/>
      <c r="E437" s="19"/>
      <c r="F437" s="19"/>
      <c r="G437" s="19"/>
      <c r="H437" s="19"/>
      <c r="I437" s="19"/>
      <c r="J437" s="247"/>
    </row>
    <row r="438">
      <c r="A438" s="19"/>
      <c r="C438" s="19"/>
      <c r="D438" s="19"/>
      <c r="E438" s="19"/>
      <c r="F438" s="19"/>
      <c r="G438" s="19"/>
      <c r="H438" s="19"/>
      <c r="I438" s="19"/>
      <c r="J438" s="247"/>
    </row>
    <row r="439">
      <c r="A439" s="19"/>
      <c r="C439" s="19"/>
      <c r="D439" s="19"/>
      <c r="E439" s="19"/>
      <c r="F439" s="19"/>
      <c r="G439" s="19"/>
      <c r="H439" s="19"/>
      <c r="I439" s="19"/>
      <c r="J439" s="247"/>
    </row>
    <row r="440">
      <c r="A440" s="19"/>
      <c r="C440" s="19"/>
      <c r="D440" s="19"/>
      <c r="E440" s="19"/>
      <c r="F440" s="19"/>
      <c r="G440" s="19"/>
      <c r="H440" s="19"/>
      <c r="I440" s="19"/>
      <c r="J440" s="247"/>
    </row>
    <row r="441">
      <c r="A441" s="19"/>
      <c r="C441" s="19"/>
      <c r="D441" s="19"/>
      <c r="E441" s="19"/>
      <c r="F441" s="19"/>
      <c r="G441" s="19"/>
      <c r="H441" s="19"/>
      <c r="I441" s="19"/>
      <c r="J441" s="247"/>
    </row>
    <row r="442">
      <c r="A442" s="19"/>
      <c r="C442" s="19"/>
      <c r="D442" s="19"/>
      <c r="E442" s="19"/>
      <c r="F442" s="19"/>
      <c r="G442" s="19"/>
      <c r="H442" s="19"/>
      <c r="I442" s="19"/>
      <c r="J442" s="247"/>
    </row>
    <row r="443">
      <c r="A443" s="19"/>
      <c r="C443" s="19"/>
      <c r="D443" s="19"/>
      <c r="E443" s="19"/>
      <c r="F443" s="19"/>
      <c r="G443" s="19"/>
      <c r="H443" s="19"/>
      <c r="I443" s="19"/>
      <c r="J443" s="247"/>
    </row>
    <row r="444">
      <c r="A444" s="19"/>
      <c r="C444" s="19"/>
      <c r="D444" s="19"/>
      <c r="E444" s="19"/>
      <c r="F444" s="19"/>
      <c r="G444" s="19"/>
      <c r="H444" s="19"/>
      <c r="I444" s="19"/>
      <c r="J444" s="247"/>
    </row>
    <row r="445">
      <c r="A445" s="19"/>
      <c r="C445" s="19"/>
      <c r="D445" s="19"/>
      <c r="E445" s="19"/>
      <c r="F445" s="19"/>
      <c r="G445" s="19"/>
      <c r="H445" s="19"/>
      <c r="I445" s="19"/>
      <c r="J445" s="247"/>
    </row>
    <row r="446">
      <c r="A446" s="19"/>
      <c r="C446" s="19"/>
      <c r="D446" s="19"/>
      <c r="E446" s="19"/>
      <c r="F446" s="19"/>
      <c r="G446" s="19"/>
      <c r="H446" s="19"/>
      <c r="I446" s="19"/>
      <c r="J446" s="247"/>
    </row>
    <row r="447">
      <c r="A447" s="19"/>
      <c r="C447" s="19"/>
      <c r="D447" s="19"/>
      <c r="E447" s="19"/>
      <c r="F447" s="19"/>
      <c r="G447" s="19"/>
      <c r="H447" s="19"/>
      <c r="I447" s="19"/>
      <c r="J447" s="247"/>
    </row>
    <row r="448">
      <c r="A448" s="19"/>
      <c r="C448" s="19"/>
      <c r="D448" s="19"/>
      <c r="E448" s="19"/>
      <c r="F448" s="19"/>
      <c r="G448" s="19"/>
      <c r="H448" s="19"/>
      <c r="I448" s="19"/>
      <c r="J448" s="247"/>
    </row>
    <row r="449">
      <c r="A449" s="19"/>
      <c r="C449" s="19"/>
      <c r="D449" s="19"/>
      <c r="E449" s="19"/>
      <c r="F449" s="19"/>
      <c r="G449" s="19"/>
      <c r="H449" s="19"/>
      <c r="I449" s="19"/>
      <c r="J449" s="247"/>
    </row>
    <row r="450">
      <c r="A450" s="19"/>
      <c r="C450" s="19"/>
      <c r="D450" s="19"/>
      <c r="E450" s="19"/>
      <c r="F450" s="19"/>
      <c r="G450" s="19"/>
      <c r="H450" s="19"/>
      <c r="I450" s="19"/>
      <c r="J450" s="247"/>
    </row>
    <row r="451">
      <c r="A451" s="19"/>
      <c r="C451" s="19"/>
      <c r="D451" s="19"/>
      <c r="E451" s="19"/>
      <c r="F451" s="19"/>
      <c r="G451" s="19"/>
      <c r="H451" s="19"/>
      <c r="I451" s="19"/>
      <c r="J451" s="247"/>
    </row>
    <row r="452">
      <c r="A452" s="19"/>
      <c r="C452" s="19"/>
      <c r="D452" s="19"/>
      <c r="E452" s="19"/>
      <c r="F452" s="19"/>
      <c r="G452" s="19"/>
      <c r="H452" s="19"/>
      <c r="I452" s="19"/>
      <c r="J452" s="247"/>
    </row>
    <row r="453">
      <c r="A453" s="19"/>
      <c r="C453" s="19"/>
      <c r="D453" s="19"/>
      <c r="E453" s="19"/>
      <c r="F453" s="19"/>
      <c r="G453" s="19"/>
      <c r="H453" s="19"/>
      <c r="I453" s="19"/>
      <c r="J453" s="247"/>
    </row>
    <row r="454">
      <c r="A454" s="19"/>
      <c r="C454" s="19"/>
      <c r="D454" s="19"/>
      <c r="E454" s="19"/>
      <c r="F454" s="19"/>
      <c r="G454" s="19"/>
      <c r="H454" s="19"/>
      <c r="I454" s="19"/>
      <c r="J454" s="247"/>
    </row>
    <row r="455">
      <c r="A455" s="19"/>
      <c r="C455" s="19"/>
      <c r="D455" s="19"/>
      <c r="E455" s="19"/>
      <c r="F455" s="19"/>
      <c r="G455" s="19"/>
      <c r="H455" s="19"/>
      <c r="I455" s="19"/>
      <c r="J455" s="247"/>
    </row>
    <row r="456">
      <c r="A456" s="19"/>
      <c r="C456" s="19"/>
      <c r="D456" s="19"/>
      <c r="E456" s="19"/>
      <c r="F456" s="19"/>
      <c r="G456" s="19"/>
      <c r="H456" s="19"/>
      <c r="I456" s="19"/>
      <c r="J456" s="247"/>
    </row>
    <row r="457">
      <c r="A457" s="19"/>
      <c r="C457" s="19"/>
      <c r="D457" s="19"/>
      <c r="E457" s="19"/>
      <c r="F457" s="19"/>
      <c r="G457" s="19"/>
      <c r="H457" s="19"/>
      <c r="I457" s="19"/>
      <c r="J457" s="247"/>
    </row>
    <row r="458">
      <c r="A458" s="19"/>
      <c r="C458" s="19"/>
      <c r="D458" s="19"/>
      <c r="E458" s="19"/>
      <c r="F458" s="19"/>
      <c r="G458" s="19"/>
      <c r="H458" s="19"/>
      <c r="I458" s="19"/>
      <c r="J458" s="247"/>
    </row>
    <row r="459">
      <c r="A459" s="19"/>
      <c r="C459" s="19"/>
      <c r="D459" s="19"/>
      <c r="E459" s="19"/>
      <c r="F459" s="19"/>
      <c r="G459" s="19"/>
      <c r="H459" s="19"/>
      <c r="I459" s="19"/>
      <c r="J459" s="247"/>
    </row>
    <row r="460">
      <c r="A460" s="19"/>
      <c r="C460" s="19"/>
      <c r="D460" s="19"/>
      <c r="E460" s="19"/>
      <c r="F460" s="19"/>
      <c r="G460" s="19"/>
      <c r="H460" s="19"/>
      <c r="I460" s="19"/>
      <c r="J460" s="247"/>
    </row>
    <row r="461">
      <c r="A461" s="19"/>
      <c r="C461" s="19"/>
      <c r="D461" s="19"/>
      <c r="E461" s="19"/>
      <c r="F461" s="19"/>
      <c r="G461" s="19"/>
      <c r="H461" s="19"/>
      <c r="I461" s="19"/>
      <c r="J461" s="247"/>
    </row>
    <row r="462">
      <c r="A462" s="19"/>
      <c r="C462" s="19"/>
      <c r="D462" s="19"/>
      <c r="E462" s="19"/>
      <c r="F462" s="19"/>
      <c r="G462" s="19"/>
      <c r="H462" s="19"/>
      <c r="I462" s="19"/>
      <c r="J462" s="247"/>
    </row>
    <row r="463">
      <c r="A463" s="19"/>
      <c r="C463" s="19"/>
      <c r="D463" s="19"/>
      <c r="E463" s="19"/>
      <c r="F463" s="19"/>
      <c r="G463" s="19"/>
      <c r="H463" s="19"/>
      <c r="I463" s="19"/>
      <c r="J463" s="247"/>
    </row>
    <row r="464">
      <c r="A464" s="19"/>
      <c r="C464" s="19"/>
      <c r="D464" s="19"/>
      <c r="E464" s="19"/>
      <c r="F464" s="19"/>
      <c r="G464" s="19"/>
      <c r="H464" s="19"/>
      <c r="I464" s="19"/>
      <c r="J464" s="247"/>
    </row>
    <row r="465">
      <c r="A465" s="19"/>
      <c r="C465" s="19"/>
      <c r="D465" s="19"/>
      <c r="E465" s="19"/>
      <c r="F465" s="19"/>
      <c r="G465" s="19"/>
      <c r="H465" s="19"/>
      <c r="I465" s="19"/>
      <c r="J465" s="247"/>
    </row>
    <row r="466">
      <c r="A466" s="19"/>
      <c r="C466" s="19"/>
      <c r="D466" s="19"/>
      <c r="E466" s="19"/>
      <c r="F466" s="19"/>
      <c r="G466" s="19"/>
      <c r="H466" s="19"/>
      <c r="I466" s="19"/>
      <c r="J466" s="247"/>
    </row>
    <row r="467">
      <c r="A467" s="19"/>
      <c r="C467" s="19"/>
      <c r="D467" s="19"/>
      <c r="E467" s="19"/>
      <c r="F467" s="19"/>
      <c r="G467" s="19"/>
      <c r="H467" s="19"/>
      <c r="I467" s="19"/>
      <c r="J467" s="247"/>
    </row>
    <row r="468">
      <c r="A468" s="19"/>
      <c r="C468" s="19"/>
      <c r="D468" s="19"/>
      <c r="E468" s="19"/>
      <c r="F468" s="19"/>
      <c r="G468" s="19"/>
      <c r="H468" s="19"/>
      <c r="I468" s="19"/>
      <c r="J468" s="247"/>
    </row>
    <row r="469">
      <c r="A469" s="19"/>
      <c r="C469" s="19"/>
      <c r="D469" s="19"/>
      <c r="E469" s="19"/>
      <c r="F469" s="19"/>
      <c r="G469" s="19"/>
      <c r="H469" s="19"/>
      <c r="I469" s="19"/>
      <c r="J469" s="247"/>
    </row>
    <row r="470">
      <c r="A470" s="19"/>
      <c r="C470" s="19"/>
      <c r="D470" s="19"/>
      <c r="E470" s="19"/>
      <c r="F470" s="19"/>
      <c r="G470" s="19"/>
      <c r="H470" s="19"/>
      <c r="I470" s="19"/>
      <c r="J470" s="247"/>
    </row>
    <row r="471">
      <c r="A471" s="19"/>
      <c r="C471" s="19"/>
      <c r="D471" s="19"/>
      <c r="E471" s="19"/>
      <c r="F471" s="19"/>
      <c r="G471" s="19"/>
      <c r="H471" s="19"/>
      <c r="I471" s="19"/>
      <c r="J471" s="247"/>
    </row>
    <row r="472">
      <c r="A472" s="19"/>
      <c r="C472" s="19"/>
      <c r="D472" s="19"/>
      <c r="E472" s="19"/>
      <c r="F472" s="19"/>
      <c r="G472" s="19"/>
      <c r="H472" s="19"/>
      <c r="I472" s="19"/>
      <c r="J472" s="247"/>
    </row>
    <row r="473">
      <c r="A473" s="19"/>
      <c r="C473" s="19"/>
      <c r="D473" s="19"/>
      <c r="E473" s="19"/>
      <c r="F473" s="19"/>
      <c r="G473" s="19"/>
      <c r="H473" s="19"/>
      <c r="I473" s="19"/>
      <c r="J473" s="247"/>
    </row>
    <row r="474">
      <c r="A474" s="19"/>
      <c r="C474" s="19"/>
      <c r="D474" s="19"/>
      <c r="E474" s="19"/>
      <c r="F474" s="19"/>
      <c r="G474" s="19"/>
      <c r="H474" s="19"/>
      <c r="I474" s="19"/>
      <c r="J474" s="247"/>
    </row>
    <row r="475">
      <c r="A475" s="19"/>
      <c r="C475" s="19"/>
      <c r="D475" s="19"/>
      <c r="E475" s="19"/>
      <c r="F475" s="19"/>
      <c r="G475" s="19"/>
      <c r="H475" s="19"/>
      <c r="I475" s="19"/>
      <c r="J475" s="247"/>
    </row>
    <row r="476">
      <c r="A476" s="19"/>
      <c r="C476" s="19"/>
      <c r="D476" s="19"/>
      <c r="E476" s="19"/>
      <c r="F476" s="19"/>
      <c r="G476" s="19"/>
      <c r="H476" s="19"/>
      <c r="I476" s="19"/>
      <c r="J476" s="247"/>
    </row>
    <row r="477">
      <c r="A477" s="19"/>
      <c r="C477" s="19"/>
      <c r="D477" s="19"/>
      <c r="E477" s="19"/>
      <c r="F477" s="19"/>
      <c r="G477" s="19"/>
      <c r="H477" s="19"/>
      <c r="I477" s="19"/>
      <c r="J477" s="247"/>
    </row>
    <row r="478">
      <c r="A478" s="19"/>
      <c r="C478" s="19"/>
      <c r="D478" s="19"/>
      <c r="E478" s="19"/>
      <c r="F478" s="19"/>
      <c r="G478" s="19"/>
      <c r="H478" s="19"/>
      <c r="I478" s="19"/>
      <c r="J478" s="247"/>
    </row>
    <row r="479">
      <c r="A479" s="19"/>
      <c r="C479" s="19"/>
      <c r="D479" s="19"/>
      <c r="E479" s="19"/>
      <c r="F479" s="19"/>
      <c r="G479" s="19"/>
      <c r="H479" s="19"/>
      <c r="I479" s="19"/>
      <c r="J479" s="247"/>
    </row>
    <row r="480">
      <c r="A480" s="19"/>
      <c r="C480" s="19"/>
      <c r="D480" s="19"/>
      <c r="E480" s="19"/>
      <c r="F480" s="19"/>
      <c r="G480" s="19"/>
      <c r="H480" s="19"/>
      <c r="I480" s="19"/>
      <c r="J480" s="247"/>
    </row>
    <row r="481">
      <c r="A481" s="19"/>
      <c r="C481" s="19"/>
      <c r="D481" s="19"/>
      <c r="E481" s="19"/>
      <c r="F481" s="19"/>
      <c r="G481" s="19"/>
      <c r="H481" s="19"/>
      <c r="I481" s="19"/>
      <c r="J481" s="247"/>
    </row>
    <row r="482">
      <c r="A482" s="19"/>
      <c r="C482" s="19"/>
      <c r="D482" s="19"/>
      <c r="E482" s="19"/>
      <c r="F482" s="19"/>
      <c r="G482" s="19"/>
      <c r="H482" s="19"/>
      <c r="I482" s="19"/>
      <c r="J482" s="247"/>
    </row>
    <row r="483">
      <c r="A483" s="19"/>
      <c r="C483" s="19"/>
      <c r="D483" s="19"/>
      <c r="E483" s="19"/>
      <c r="F483" s="19"/>
      <c r="G483" s="19"/>
      <c r="H483" s="19"/>
      <c r="I483" s="19"/>
      <c r="J483" s="247"/>
    </row>
    <row r="484">
      <c r="A484" s="19"/>
      <c r="C484" s="19"/>
      <c r="D484" s="19"/>
      <c r="E484" s="19"/>
      <c r="F484" s="19"/>
      <c r="G484" s="19"/>
      <c r="H484" s="19"/>
      <c r="I484" s="19"/>
      <c r="J484" s="247"/>
    </row>
    <row r="485">
      <c r="A485" s="19"/>
      <c r="C485" s="19"/>
      <c r="D485" s="19"/>
      <c r="E485" s="19"/>
      <c r="F485" s="19"/>
      <c r="G485" s="19"/>
      <c r="H485" s="19"/>
      <c r="I485" s="19"/>
      <c r="J485" s="247"/>
    </row>
    <row r="486">
      <c r="A486" s="19"/>
      <c r="C486" s="19"/>
      <c r="D486" s="19"/>
      <c r="E486" s="19"/>
      <c r="F486" s="19"/>
      <c r="G486" s="19"/>
      <c r="H486" s="19"/>
      <c r="I486" s="19"/>
      <c r="J486" s="247"/>
    </row>
    <row r="487">
      <c r="A487" s="19"/>
      <c r="C487" s="19"/>
      <c r="D487" s="19"/>
      <c r="E487" s="19"/>
      <c r="F487" s="19"/>
      <c r="G487" s="19"/>
      <c r="H487" s="19"/>
      <c r="I487" s="19"/>
      <c r="J487" s="247"/>
    </row>
    <row r="488">
      <c r="A488" s="19"/>
      <c r="C488" s="19"/>
      <c r="D488" s="19"/>
      <c r="E488" s="19"/>
      <c r="F488" s="19"/>
      <c r="G488" s="19"/>
      <c r="H488" s="19"/>
      <c r="I488" s="19"/>
      <c r="J488" s="247"/>
    </row>
    <row r="489">
      <c r="A489" s="19"/>
      <c r="C489" s="19"/>
      <c r="D489" s="19"/>
      <c r="E489" s="19"/>
      <c r="F489" s="19"/>
      <c r="G489" s="19"/>
      <c r="H489" s="19"/>
      <c r="I489" s="19"/>
      <c r="J489" s="247"/>
    </row>
    <row r="490">
      <c r="A490" s="19"/>
      <c r="C490" s="19"/>
      <c r="D490" s="19"/>
      <c r="E490" s="19"/>
      <c r="F490" s="19"/>
      <c r="G490" s="19"/>
      <c r="H490" s="19"/>
      <c r="I490" s="19"/>
      <c r="J490" s="247"/>
    </row>
    <row r="491">
      <c r="A491" s="19"/>
      <c r="C491" s="19"/>
      <c r="D491" s="19"/>
      <c r="E491" s="19"/>
      <c r="F491" s="19"/>
      <c r="G491" s="19"/>
      <c r="H491" s="19"/>
      <c r="I491" s="19"/>
      <c r="J491" s="247"/>
    </row>
    <row r="492">
      <c r="A492" s="19"/>
      <c r="C492" s="19"/>
      <c r="D492" s="19"/>
      <c r="E492" s="19"/>
      <c r="F492" s="19"/>
      <c r="G492" s="19"/>
      <c r="H492" s="19"/>
      <c r="I492" s="19"/>
      <c r="J492" s="247"/>
    </row>
    <row r="493">
      <c r="A493" s="19"/>
      <c r="C493" s="19"/>
      <c r="D493" s="19"/>
      <c r="E493" s="19"/>
      <c r="F493" s="19"/>
      <c r="G493" s="19"/>
      <c r="H493" s="19"/>
      <c r="I493" s="19"/>
      <c r="J493" s="247"/>
    </row>
    <row r="494">
      <c r="A494" s="19"/>
      <c r="C494" s="19"/>
      <c r="D494" s="19"/>
      <c r="E494" s="19"/>
      <c r="F494" s="19"/>
      <c r="G494" s="19"/>
      <c r="H494" s="19"/>
      <c r="I494" s="19"/>
      <c r="J494" s="247"/>
    </row>
    <row r="495">
      <c r="A495" s="19"/>
      <c r="C495" s="19"/>
      <c r="D495" s="19"/>
      <c r="E495" s="19"/>
      <c r="F495" s="19"/>
      <c r="G495" s="19"/>
      <c r="H495" s="19"/>
      <c r="I495" s="19"/>
      <c r="J495" s="247"/>
    </row>
    <row r="496">
      <c r="A496" s="19"/>
      <c r="C496" s="19"/>
      <c r="D496" s="19"/>
      <c r="E496" s="19"/>
      <c r="F496" s="19"/>
      <c r="G496" s="19"/>
      <c r="H496" s="19"/>
      <c r="I496" s="19"/>
      <c r="J496" s="247"/>
    </row>
    <row r="497">
      <c r="A497" s="19"/>
      <c r="C497" s="19"/>
      <c r="D497" s="19"/>
      <c r="E497" s="19"/>
      <c r="F497" s="19"/>
      <c r="G497" s="19"/>
      <c r="H497" s="19"/>
      <c r="I497" s="19"/>
      <c r="J497" s="247"/>
    </row>
    <row r="498">
      <c r="A498" s="19"/>
      <c r="C498" s="19"/>
      <c r="D498" s="19"/>
      <c r="E498" s="19"/>
      <c r="F498" s="19"/>
      <c r="G498" s="19"/>
      <c r="H498" s="19"/>
      <c r="I498" s="19"/>
      <c r="J498" s="247"/>
    </row>
    <row r="499">
      <c r="A499" s="19"/>
      <c r="C499" s="19"/>
      <c r="D499" s="19"/>
      <c r="E499" s="19"/>
      <c r="F499" s="19"/>
      <c r="G499" s="19"/>
      <c r="H499" s="19"/>
      <c r="I499" s="19"/>
      <c r="J499" s="247"/>
    </row>
    <row r="500">
      <c r="A500" s="19"/>
      <c r="C500" s="19"/>
      <c r="D500" s="19"/>
      <c r="E500" s="19"/>
      <c r="F500" s="19"/>
      <c r="G500" s="19"/>
      <c r="H500" s="19"/>
      <c r="I500" s="19"/>
      <c r="J500" s="247"/>
    </row>
    <row r="501">
      <c r="A501" s="19"/>
      <c r="C501" s="19"/>
      <c r="D501" s="19"/>
      <c r="E501" s="19"/>
      <c r="F501" s="19"/>
      <c r="G501" s="19"/>
      <c r="H501" s="19"/>
      <c r="I501" s="19"/>
      <c r="J501" s="247"/>
    </row>
    <row r="502">
      <c r="A502" s="19"/>
      <c r="C502" s="19"/>
      <c r="D502" s="19"/>
      <c r="E502" s="19"/>
      <c r="F502" s="19"/>
      <c r="G502" s="19"/>
      <c r="H502" s="19"/>
      <c r="I502" s="19"/>
      <c r="J502" s="247"/>
    </row>
    <row r="503">
      <c r="A503" s="19"/>
      <c r="C503" s="19"/>
      <c r="D503" s="19"/>
      <c r="E503" s="19"/>
      <c r="F503" s="19"/>
      <c r="G503" s="19"/>
      <c r="H503" s="19"/>
      <c r="I503" s="19"/>
      <c r="J503" s="247"/>
    </row>
    <row r="504">
      <c r="A504" s="19"/>
      <c r="C504" s="19"/>
      <c r="D504" s="19"/>
      <c r="E504" s="19"/>
      <c r="F504" s="19"/>
      <c r="G504" s="19"/>
      <c r="H504" s="19"/>
      <c r="I504" s="19"/>
      <c r="J504" s="247"/>
    </row>
    <row r="505">
      <c r="A505" s="19"/>
      <c r="C505" s="19"/>
      <c r="D505" s="19"/>
      <c r="E505" s="19"/>
      <c r="F505" s="19"/>
      <c r="G505" s="19"/>
      <c r="H505" s="19"/>
      <c r="I505" s="19"/>
      <c r="J505" s="247"/>
    </row>
    <row r="506">
      <c r="A506" s="19"/>
      <c r="C506" s="19"/>
      <c r="D506" s="19"/>
      <c r="E506" s="19"/>
      <c r="F506" s="19"/>
      <c r="G506" s="19"/>
      <c r="H506" s="19"/>
      <c r="I506" s="19"/>
      <c r="J506" s="247"/>
    </row>
    <row r="507">
      <c r="A507" s="19"/>
      <c r="C507" s="19"/>
      <c r="D507" s="19"/>
      <c r="E507" s="19"/>
      <c r="F507" s="19"/>
      <c r="G507" s="19"/>
      <c r="H507" s="19"/>
      <c r="I507" s="19"/>
      <c r="J507" s="247"/>
    </row>
    <row r="508">
      <c r="A508" s="19"/>
      <c r="C508" s="19"/>
      <c r="D508" s="19"/>
      <c r="E508" s="19"/>
      <c r="F508" s="19"/>
      <c r="G508" s="19"/>
      <c r="H508" s="19"/>
      <c r="I508" s="19"/>
      <c r="J508" s="247"/>
    </row>
    <row r="509">
      <c r="A509" s="19"/>
      <c r="C509" s="19"/>
      <c r="D509" s="19"/>
      <c r="E509" s="19"/>
      <c r="F509" s="19"/>
      <c r="G509" s="19"/>
      <c r="H509" s="19"/>
      <c r="I509" s="19"/>
      <c r="J509" s="247"/>
    </row>
    <row r="510">
      <c r="A510" s="19"/>
      <c r="C510" s="19"/>
      <c r="D510" s="19"/>
      <c r="E510" s="19"/>
      <c r="F510" s="19"/>
      <c r="G510" s="19"/>
      <c r="H510" s="19"/>
      <c r="I510" s="19"/>
      <c r="J510" s="247"/>
    </row>
    <row r="511">
      <c r="A511" s="19"/>
      <c r="C511" s="19"/>
      <c r="D511" s="19"/>
      <c r="E511" s="19"/>
      <c r="F511" s="19"/>
      <c r="G511" s="19"/>
      <c r="H511" s="19"/>
      <c r="I511" s="19"/>
      <c r="J511" s="247"/>
    </row>
    <row r="512">
      <c r="A512" s="19"/>
      <c r="C512" s="19"/>
      <c r="D512" s="19"/>
      <c r="E512" s="19"/>
      <c r="F512" s="19"/>
      <c r="G512" s="19"/>
      <c r="H512" s="19"/>
      <c r="I512" s="19"/>
      <c r="J512" s="247"/>
    </row>
    <row r="513">
      <c r="A513" s="19"/>
      <c r="C513" s="19"/>
      <c r="D513" s="19"/>
      <c r="E513" s="19"/>
      <c r="F513" s="19"/>
      <c r="G513" s="19"/>
      <c r="H513" s="19"/>
      <c r="I513" s="19"/>
      <c r="J513" s="247"/>
    </row>
    <row r="514">
      <c r="A514" s="19"/>
      <c r="C514" s="19"/>
      <c r="D514" s="19"/>
      <c r="E514" s="19"/>
      <c r="F514" s="19"/>
      <c r="G514" s="19"/>
      <c r="H514" s="19"/>
      <c r="I514" s="19"/>
      <c r="J514" s="247"/>
    </row>
    <row r="515">
      <c r="A515" s="19"/>
      <c r="C515" s="19"/>
      <c r="D515" s="19"/>
      <c r="E515" s="19"/>
      <c r="F515" s="19"/>
      <c r="G515" s="19"/>
      <c r="H515" s="19"/>
      <c r="I515" s="19"/>
      <c r="J515" s="247"/>
    </row>
    <row r="516">
      <c r="A516" s="19"/>
      <c r="C516" s="19"/>
      <c r="D516" s="19"/>
      <c r="E516" s="19"/>
      <c r="F516" s="19"/>
      <c r="G516" s="19"/>
      <c r="H516" s="19"/>
      <c r="I516" s="19"/>
      <c r="J516" s="247"/>
    </row>
    <row r="517">
      <c r="A517" s="19"/>
      <c r="C517" s="19"/>
      <c r="D517" s="19"/>
      <c r="E517" s="19"/>
      <c r="F517" s="19"/>
      <c r="G517" s="19"/>
      <c r="H517" s="19"/>
      <c r="I517" s="19"/>
      <c r="J517" s="247"/>
    </row>
    <row r="518">
      <c r="A518" s="19"/>
      <c r="C518" s="19"/>
      <c r="D518" s="19"/>
      <c r="E518" s="19"/>
      <c r="F518" s="19"/>
      <c r="G518" s="19"/>
      <c r="H518" s="19"/>
      <c r="I518" s="19"/>
      <c r="J518" s="247"/>
    </row>
    <row r="519">
      <c r="A519" s="19"/>
      <c r="C519" s="19"/>
      <c r="D519" s="19"/>
      <c r="E519" s="19"/>
      <c r="F519" s="19"/>
      <c r="G519" s="19"/>
      <c r="H519" s="19"/>
      <c r="I519" s="19"/>
      <c r="J519" s="247"/>
    </row>
    <row r="520">
      <c r="A520" s="19"/>
      <c r="C520" s="19"/>
      <c r="D520" s="19"/>
      <c r="E520" s="19"/>
      <c r="F520" s="19"/>
      <c r="G520" s="19"/>
      <c r="H520" s="19"/>
      <c r="I520" s="19"/>
      <c r="J520" s="247"/>
    </row>
    <row r="521">
      <c r="A521" s="19"/>
      <c r="C521" s="19"/>
      <c r="D521" s="19"/>
      <c r="E521" s="19"/>
      <c r="F521" s="19"/>
      <c r="G521" s="19"/>
      <c r="H521" s="19"/>
      <c r="I521" s="19"/>
      <c r="J521" s="247"/>
    </row>
    <row r="522">
      <c r="A522" s="19"/>
      <c r="C522" s="19"/>
      <c r="D522" s="19"/>
      <c r="E522" s="19"/>
      <c r="F522" s="19"/>
      <c r="G522" s="19"/>
      <c r="H522" s="19"/>
      <c r="I522" s="19"/>
      <c r="J522" s="247"/>
    </row>
    <row r="523">
      <c r="A523" s="19"/>
      <c r="C523" s="19"/>
      <c r="D523" s="19"/>
      <c r="E523" s="19"/>
      <c r="F523" s="19"/>
      <c r="G523" s="19"/>
      <c r="H523" s="19"/>
      <c r="I523" s="19"/>
      <c r="J523" s="247"/>
    </row>
    <row r="524">
      <c r="A524" s="19"/>
      <c r="C524" s="19"/>
      <c r="D524" s="19"/>
      <c r="E524" s="19"/>
      <c r="F524" s="19"/>
      <c r="G524" s="19"/>
      <c r="H524" s="19"/>
      <c r="I524" s="19"/>
      <c r="J524" s="247"/>
    </row>
    <row r="525">
      <c r="A525" s="19"/>
      <c r="C525" s="19"/>
      <c r="D525" s="19"/>
      <c r="E525" s="19"/>
      <c r="F525" s="19"/>
      <c r="G525" s="19"/>
      <c r="H525" s="19"/>
      <c r="I525" s="19"/>
      <c r="J525" s="247"/>
    </row>
    <row r="526">
      <c r="A526" s="19"/>
      <c r="C526" s="19"/>
      <c r="D526" s="19"/>
      <c r="E526" s="19"/>
      <c r="F526" s="19"/>
      <c r="G526" s="19"/>
      <c r="H526" s="19"/>
      <c r="I526" s="19"/>
      <c r="J526" s="247"/>
    </row>
    <row r="527">
      <c r="A527" s="19"/>
      <c r="C527" s="19"/>
      <c r="D527" s="19"/>
      <c r="E527" s="19"/>
      <c r="F527" s="19"/>
      <c r="G527" s="19"/>
      <c r="H527" s="19"/>
      <c r="I527" s="19"/>
      <c r="J527" s="247"/>
    </row>
    <row r="528">
      <c r="A528" s="19"/>
      <c r="C528" s="19"/>
      <c r="D528" s="19"/>
      <c r="E528" s="19"/>
      <c r="F528" s="19"/>
      <c r="G528" s="19"/>
      <c r="H528" s="19"/>
      <c r="I528" s="19"/>
      <c r="J528" s="247"/>
    </row>
    <row r="529">
      <c r="A529" s="19"/>
      <c r="C529" s="19"/>
      <c r="D529" s="19"/>
      <c r="E529" s="19"/>
      <c r="F529" s="19"/>
      <c r="G529" s="19"/>
      <c r="H529" s="19"/>
      <c r="I529" s="19"/>
      <c r="J529" s="247"/>
    </row>
    <row r="530">
      <c r="A530" s="19"/>
      <c r="C530" s="19"/>
      <c r="D530" s="19"/>
      <c r="E530" s="19"/>
      <c r="F530" s="19"/>
      <c r="G530" s="19"/>
      <c r="H530" s="19"/>
      <c r="I530" s="19"/>
      <c r="J530" s="247"/>
    </row>
    <row r="531">
      <c r="A531" s="19"/>
      <c r="C531" s="19"/>
      <c r="D531" s="19"/>
      <c r="E531" s="19"/>
      <c r="F531" s="19"/>
      <c r="G531" s="19"/>
      <c r="H531" s="19"/>
      <c r="I531" s="19"/>
      <c r="J531" s="247"/>
    </row>
    <row r="532">
      <c r="A532" s="19"/>
      <c r="C532" s="19"/>
      <c r="D532" s="19"/>
      <c r="E532" s="19"/>
      <c r="F532" s="19"/>
      <c r="G532" s="19"/>
      <c r="H532" s="19"/>
      <c r="I532" s="19"/>
      <c r="J532" s="247"/>
    </row>
    <row r="533">
      <c r="A533" s="19"/>
      <c r="C533" s="19"/>
      <c r="D533" s="19"/>
      <c r="E533" s="19"/>
      <c r="F533" s="19"/>
      <c r="G533" s="19"/>
      <c r="H533" s="19"/>
      <c r="I533" s="19"/>
      <c r="J533" s="247"/>
    </row>
    <row r="534">
      <c r="A534" s="19"/>
      <c r="C534" s="19"/>
      <c r="D534" s="19"/>
      <c r="E534" s="19"/>
      <c r="F534" s="19"/>
      <c r="G534" s="19"/>
      <c r="H534" s="19"/>
      <c r="I534" s="19"/>
      <c r="J534" s="247"/>
    </row>
    <row r="535">
      <c r="A535" s="19"/>
      <c r="C535" s="19"/>
      <c r="D535" s="19"/>
      <c r="E535" s="19"/>
      <c r="F535" s="19"/>
      <c r="G535" s="19"/>
      <c r="H535" s="19"/>
      <c r="I535" s="19"/>
      <c r="J535" s="247"/>
    </row>
    <row r="536">
      <c r="A536" s="19"/>
      <c r="C536" s="19"/>
      <c r="D536" s="19"/>
      <c r="E536" s="19"/>
      <c r="F536" s="19"/>
      <c r="G536" s="19"/>
      <c r="H536" s="19"/>
      <c r="I536" s="19"/>
      <c r="J536" s="247"/>
    </row>
    <row r="537">
      <c r="A537" s="19"/>
      <c r="C537" s="19"/>
      <c r="D537" s="19"/>
      <c r="E537" s="19"/>
      <c r="F537" s="19"/>
      <c r="G537" s="19"/>
      <c r="H537" s="19"/>
      <c r="I537" s="19"/>
      <c r="J537" s="247"/>
    </row>
    <row r="538">
      <c r="A538" s="19"/>
      <c r="C538" s="19"/>
      <c r="D538" s="19"/>
      <c r="E538" s="19"/>
      <c r="F538" s="19"/>
      <c r="G538" s="19"/>
      <c r="H538" s="19"/>
      <c r="I538" s="19"/>
      <c r="J538" s="247"/>
    </row>
    <row r="539">
      <c r="A539" s="19"/>
      <c r="C539" s="19"/>
      <c r="D539" s="19"/>
      <c r="E539" s="19"/>
      <c r="F539" s="19"/>
      <c r="G539" s="19"/>
      <c r="H539" s="19"/>
      <c r="I539" s="19"/>
      <c r="J539" s="247"/>
    </row>
    <row r="540">
      <c r="A540" s="19"/>
      <c r="C540" s="19"/>
      <c r="D540" s="19"/>
      <c r="E540" s="19"/>
      <c r="F540" s="19"/>
      <c r="G540" s="19"/>
      <c r="H540" s="19"/>
      <c r="I540" s="19"/>
      <c r="J540" s="247"/>
    </row>
    <row r="541">
      <c r="A541" s="19"/>
      <c r="C541" s="19"/>
      <c r="D541" s="19"/>
      <c r="E541" s="19"/>
      <c r="F541" s="19"/>
      <c r="G541" s="19"/>
      <c r="H541" s="19"/>
      <c r="I541" s="19"/>
      <c r="J541" s="247"/>
    </row>
    <row r="542">
      <c r="A542" s="19"/>
      <c r="C542" s="19"/>
      <c r="D542" s="19"/>
      <c r="E542" s="19"/>
      <c r="F542" s="19"/>
      <c r="G542" s="19"/>
      <c r="H542" s="19"/>
      <c r="I542" s="19"/>
      <c r="J542" s="247"/>
    </row>
    <row r="543">
      <c r="A543" s="19"/>
      <c r="C543" s="19"/>
      <c r="D543" s="19"/>
      <c r="E543" s="19"/>
      <c r="F543" s="19"/>
      <c r="G543" s="19"/>
      <c r="H543" s="19"/>
      <c r="I543" s="19"/>
      <c r="J543" s="247"/>
    </row>
    <row r="544">
      <c r="A544" s="19"/>
      <c r="C544" s="19"/>
      <c r="D544" s="19"/>
      <c r="E544" s="19"/>
      <c r="F544" s="19"/>
      <c r="G544" s="19"/>
      <c r="H544" s="19"/>
      <c r="I544" s="19"/>
      <c r="J544" s="247"/>
    </row>
    <row r="545">
      <c r="A545" s="19"/>
      <c r="C545" s="19"/>
      <c r="D545" s="19"/>
      <c r="E545" s="19"/>
      <c r="F545" s="19"/>
      <c r="G545" s="19"/>
      <c r="H545" s="19"/>
      <c r="I545" s="19"/>
      <c r="J545" s="247"/>
    </row>
    <row r="546">
      <c r="A546" s="19"/>
      <c r="C546" s="19"/>
      <c r="D546" s="19"/>
      <c r="E546" s="19"/>
      <c r="F546" s="19"/>
      <c r="G546" s="19"/>
      <c r="H546" s="19"/>
      <c r="I546" s="19"/>
      <c r="J546" s="247"/>
    </row>
    <row r="547">
      <c r="A547" s="19"/>
      <c r="C547" s="19"/>
      <c r="D547" s="19"/>
      <c r="E547" s="19"/>
      <c r="F547" s="19"/>
      <c r="G547" s="19"/>
      <c r="H547" s="19"/>
      <c r="I547" s="19"/>
      <c r="J547" s="247"/>
    </row>
    <row r="548">
      <c r="A548" s="19"/>
      <c r="C548" s="19"/>
      <c r="D548" s="19"/>
      <c r="E548" s="19"/>
      <c r="F548" s="19"/>
      <c r="G548" s="19"/>
      <c r="H548" s="19"/>
      <c r="I548" s="19"/>
      <c r="J548" s="247"/>
    </row>
    <row r="549">
      <c r="A549" s="19"/>
      <c r="C549" s="19"/>
      <c r="D549" s="19"/>
      <c r="E549" s="19"/>
      <c r="F549" s="19"/>
      <c r="G549" s="19"/>
      <c r="H549" s="19"/>
      <c r="I549" s="19"/>
      <c r="J549" s="247"/>
    </row>
    <row r="550">
      <c r="A550" s="19"/>
      <c r="C550" s="19"/>
      <c r="D550" s="19"/>
      <c r="E550" s="19"/>
      <c r="F550" s="19"/>
      <c r="G550" s="19"/>
      <c r="H550" s="19"/>
      <c r="I550" s="19"/>
      <c r="J550" s="247"/>
    </row>
    <row r="551">
      <c r="A551" s="19"/>
      <c r="C551" s="19"/>
      <c r="D551" s="19"/>
      <c r="E551" s="19"/>
      <c r="F551" s="19"/>
      <c r="G551" s="19"/>
      <c r="H551" s="19"/>
      <c r="I551" s="19"/>
      <c r="J551" s="247"/>
    </row>
    <row r="552">
      <c r="A552" s="19"/>
      <c r="C552" s="19"/>
      <c r="D552" s="19"/>
      <c r="E552" s="19"/>
      <c r="F552" s="19"/>
      <c r="G552" s="19"/>
      <c r="H552" s="19"/>
      <c r="I552" s="19"/>
      <c r="J552" s="247"/>
    </row>
    <row r="553">
      <c r="A553" s="19"/>
      <c r="C553" s="19"/>
      <c r="D553" s="19"/>
      <c r="E553" s="19"/>
      <c r="F553" s="19"/>
      <c r="G553" s="19"/>
      <c r="H553" s="19"/>
      <c r="I553" s="19"/>
      <c r="J553" s="247"/>
    </row>
    <row r="554">
      <c r="A554" s="19"/>
      <c r="C554" s="19"/>
      <c r="D554" s="19"/>
      <c r="E554" s="19"/>
      <c r="F554" s="19"/>
      <c r="G554" s="19"/>
      <c r="H554" s="19"/>
      <c r="I554" s="19"/>
      <c r="J554" s="247"/>
    </row>
    <row r="555">
      <c r="A555" s="19"/>
      <c r="C555" s="19"/>
      <c r="D555" s="19"/>
      <c r="E555" s="19"/>
      <c r="F555" s="19"/>
      <c r="G555" s="19"/>
      <c r="H555" s="19"/>
      <c r="I555" s="19"/>
      <c r="J555" s="247"/>
    </row>
    <row r="556">
      <c r="A556" s="19"/>
      <c r="C556" s="19"/>
      <c r="D556" s="19"/>
      <c r="E556" s="19"/>
      <c r="F556" s="19"/>
      <c r="G556" s="19"/>
      <c r="H556" s="19"/>
      <c r="I556" s="19"/>
      <c r="J556" s="247"/>
    </row>
    <row r="557">
      <c r="A557" s="19"/>
      <c r="C557" s="19"/>
      <c r="D557" s="19"/>
      <c r="E557" s="19"/>
      <c r="F557" s="19"/>
      <c r="G557" s="19"/>
      <c r="H557" s="19"/>
      <c r="I557" s="19"/>
      <c r="J557" s="247"/>
    </row>
    <row r="558">
      <c r="A558" s="19"/>
      <c r="C558" s="19"/>
      <c r="D558" s="19"/>
      <c r="E558" s="19"/>
      <c r="F558" s="19"/>
      <c r="G558" s="19"/>
      <c r="H558" s="19"/>
      <c r="I558" s="19"/>
      <c r="J558" s="247"/>
    </row>
    <row r="559">
      <c r="A559" s="19"/>
      <c r="C559" s="19"/>
      <c r="D559" s="19"/>
      <c r="E559" s="19"/>
      <c r="F559" s="19"/>
      <c r="G559" s="19"/>
      <c r="H559" s="19"/>
      <c r="I559" s="19"/>
      <c r="J559" s="247"/>
    </row>
    <row r="560">
      <c r="A560" s="19"/>
      <c r="C560" s="19"/>
      <c r="D560" s="19"/>
      <c r="E560" s="19"/>
      <c r="F560" s="19"/>
      <c r="G560" s="19"/>
      <c r="H560" s="19"/>
      <c r="I560" s="19"/>
      <c r="J560" s="247"/>
    </row>
    <row r="561">
      <c r="A561" s="19"/>
      <c r="C561" s="19"/>
      <c r="D561" s="19"/>
      <c r="E561" s="19"/>
      <c r="F561" s="19"/>
      <c r="G561" s="19"/>
      <c r="H561" s="19"/>
      <c r="I561" s="19"/>
      <c r="J561" s="247"/>
    </row>
    <row r="562">
      <c r="A562" s="19"/>
      <c r="C562" s="19"/>
      <c r="D562" s="19"/>
      <c r="E562" s="19"/>
      <c r="F562" s="19"/>
      <c r="G562" s="19"/>
      <c r="H562" s="19"/>
      <c r="I562" s="19"/>
      <c r="J562" s="247"/>
    </row>
    <row r="563">
      <c r="A563" s="19"/>
      <c r="C563" s="19"/>
      <c r="D563" s="19"/>
      <c r="E563" s="19"/>
      <c r="F563" s="19"/>
      <c r="G563" s="19"/>
      <c r="H563" s="19"/>
      <c r="I563" s="19"/>
      <c r="J563" s="247"/>
    </row>
    <row r="564">
      <c r="A564" s="19"/>
      <c r="C564" s="19"/>
      <c r="D564" s="19"/>
      <c r="E564" s="19"/>
      <c r="F564" s="19"/>
      <c r="G564" s="19"/>
      <c r="H564" s="19"/>
      <c r="I564" s="19"/>
      <c r="J564" s="247"/>
    </row>
    <row r="565">
      <c r="A565" s="19"/>
      <c r="C565" s="19"/>
      <c r="D565" s="19"/>
      <c r="E565" s="19"/>
      <c r="F565" s="19"/>
      <c r="G565" s="19"/>
      <c r="H565" s="19"/>
      <c r="I565" s="19"/>
      <c r="J565" s="247"/>
    </row>
    <row r="566">
      <c r="A566" s="19"/>
      <c r="C566" s="19"/>
      <c r="D566" s="19"/>
      <c r="E566" s="19"/>
      <c r="F566" s="19"/>
      <c r="G566" s="19"/>
      <c r="H566" s="19"/>
      <c r="I566" s="19"/>
      <c r="J566" s="247"/>
    </row>
    <row r="567">
      <c r="A567" s="19"/>
      <c r="C567" s="19"/>
      <c r="D567" s="19"/>
      <c r="E567" s="19"/>
      <c r="F567" s="19"/>
      <c r="G567" s="19"/>
      <c r="H567" s="19"/>
      <c r="I567" s="19"/>
      <c r="J567" s="247"/>
    </row>
    <row r="568">
      <c r="A568" s="19"/>
      <c r="C568" s="19"/>
      <c r="D568" s="19"/>
      <c r="E568" s="19"/>
      <c r="F568" s="19"/>
      <c r="G568" s="19"/>
      <c r="H568" s="19"/>
      <c r="I568" s="19"/>
      <c r="J568" s="247"/>
    </row>
    <row r="569">
      <c r="A569" s="19"/>
      <c r="C569" s="19"/>
      <c r="D569" s="19"/>
      <c r="E569" s="19"/>
      <c r="F569" s="19"/>
      <c r="G569" s="19"/>
      <c r="H569" s="19"/>
      <c r="I569" s="19"/>
      <c r="J569" s="247"/>
    </row>
    <row r="570">
      <c r="A570" s="19"/>
      <c r="C570" s="19"/>
      <c r="D570" s="19"/>
      <c r="E570" s="19"/>
      <c r="F570" s="19"/>
      <c r="G570" s="19"/>
      <c r="H570" s="19"/>
      <c r="I570" s="19"/>
      <c r="J570" s="247"/>
    </row>
    <row r="571">
      <c r="A571" s="19"/>
      <c r="C571" s="19"/>
      <c r="D571" s="19"/>
      <c r="E571" s="19"/>
      <c r="F571" s="19"/>
      <c r="G571" s="19"/>
      <c r="H571" s="19"/>
      <c r="I571" s="19"/>
      <c r="J571" s="247"/>
    </row>
    <row r="572">
      <c r="A572" s="19"/>
      <c r="C572" s="19"/>
      <c r="D572" s="19"/>
      <c r="E572" s="19"/>
      <c r="F572" s="19"/>
      <c r="G572" s="19"/>
      <c r="H572" s="19"/>
      <c r="I572" s="19"/>
      <c r="J572" s="247"/>
    </row>
    <row r="573">
      <c r="A573" s="19"/>
      <c r="C573" s="19"/>
      <c r="D573" s="19"/>
      <c r="E573" s="19"/>
      <c r="F573" s="19"/>
      <c r="G573" s="19"/>
      <c r="H573" s="19"/>
      <c r="I573" s="19"/>
      <c r="J573" s="247"/>
    </row>
    <row r="574">
      <c r="A574" s="19"/>
      <c r="C574" s="19"/>
      <c r="D574" s="19"/>
      <c r="E574" s="19"/>
      <c r="F574" s="19"/>
      <c r="G574" s="19"/>
      <c r="H574" s="19"/>
      <c r="I574" s="19"/>
      <c r="J574" s="247"/>
    </row>
    <row r="575">
      <c r="A575" s="19"/>
      <c r="C575" s="19"/>
      <c r="D575" s="19"/>
      <c r="E575" s="19"/>
      <c r="F575" s="19"/>
      <c r="G575" s="19"/>
      <c r="H575" s="19"/>
      <c r="I575" s="19"/>
      <c r="J575" s="247"/>
    </row>
    <row r="576">
      <c r="A576" s="19"/>
      <c r="C576" s="19"/>
      <c r="D576" s="19"/>
      <c r="E576" s="19"/>
      <c r="F576" s="19"/>
      <c r="G576" s="19"/>
      <c r="H576" s="19"/>
      <c r="I576" s="19"/>
      <c r="J576" s="247"/>
    </row>
    <row r="577">
      <c r="A577" s="19"/>
      <c r="C577" s="19"/>
      <c r="D577" s="19"/>
      <c r="E577" s="19"/>
      <c r="F577" s="19"/>
      <c r="G577" s="19"/>
      <c r="H577" s="19"/>
      <c r="I577" s="19"/>
      <c r="J577" s="247"/>
    </row>
    <row r="578">
      <c r="A578" s="19"/>
      <c r="C578" s="19"/>
      <c r="D578" s="19"/>
      <c r="E578" s="19"/>
      <c r="F578" s="19"/>
      <c r="G578" s="19"/>
      <c r="H578" s="19"/>
      <c r="I578" s="19"/>
      <c r="J578" s="247"/>
    </row>
    <row r="579">
      <c r="A579" s="19"/>
      <c r="C579" s="19"/>
      <c r="D579" s="19"/>
      <c r="E579" s="19"/>
      <c r="F579" s="19"/>
      <c r="G579" s="19"/>
      <c r="H579" s="19"/>
      <c r="I579" s="19"/>
      <c r="J579" s="247"/>
    </row>
    <row r="580">
      <c r="A580" s="19"/>
      <c r="C580" s="19"/>
      <c r="D580" s="19"/>
      <c r="E580" s="19"/>
      <c r="F580" s="19"/>
      <c r="G580" s="19"/>
      <c r="H580" s="19"/>
      <c r="I580" s="19"/>
      <c r="J580" s="247"/>
    </row>
    <row r="581">
      <c r="A581" s="19"/>
      <c r="C581" s="19"/>
      <c r="D581" s="19"/>
      <c r="E581" s="19"/>
      <c r="F581" s="19"/>
      <c r="G581" s="19"/>
      <c r="H581" s="19"/>
      <c r="I581" s="19"/>
      <c r="J581" s="247"/>
    </row>
    <row r="582">
      <c r="A582" s="19"/>
      <c r="C582" s="19"/>
      <c r="D582" s="19"/>
      <c r="E582" s="19"/>
      <c r="F582" s="19"/>
      <c r="G582" s="19"/>
      <c r="H582" s="19"/>
      <c r="I582" s="19"/>
      <c r="J582" s="247"/>
    </row>
    <row r="583">
      <c r="A583" s="19"/>
      <c r="C583" s="19"/>
      <c r="D583" s="19"/>
      <c r="E583" s="19"/>
      <c r="F583" s="19"/>
      <c r="G583" s="19"/>
      <c r="H583" s="19"/>
      <c r="I583" s="19"/>
      <c r="J583" s="247"/>
    </row>
    <row r="584">
      <c r="A584" s="19"/>
      <c r="C584" s="19"/>
      <c r="D584" s="19"/>
      <c r="E584" s="19"/>
      <c r="F584" s="19"/>
      <c r="G584" s="19"/>
      <c r="H584" s="19"/>
      <c r="I584" s="19"/>
      <c r="J584" s="247"/>
    </row>
    <row r="585">
      <c r="A585" s="19"/>
      <c r="C585" s="19"/>
      <c r="D585" s="19"/>
      <c r="E585" s="19"/>
      <c r="F585" s="19"/>
      <c r="G585" s="19"/>
      <c r="H585" s="19"/>
      <c r="I585" s="19"/>
      <c r="J585" s="247"/>
    </row>
    <row r="586">
      <c r="A586" s="19"/>
      <c r="C586" s="19"/>
      <c r="D586" s="19"/>
      <c r="E586" s="19"/>
      <c r="F586" s="19"/>
      <c r="G586" s="19"/>
      <c r="H586" s="19"/>
      <c r="I586" s="19"/>
      <c r="J586" s="247"/>
    </row>
    <row r="587">
      <c r="A587" s="19"/>
      <c r="C587" s="19"/>
      <c r="D587" s="19"/>
      <c r="E587" s="19"/>
      <c r="F587" s="19"/>
      <c r="G587" s="19"/>
      <c r="H587" s="19"/>
      <c r="I587" s="19"/>
      <c r="J587" s="247"/>
    </row>
    <row r="588">
      <c r="A588" s="19"/>
      <c r="C588" s="19"/>
      <c r="D588" s="19"/>
      <c r="E588" s="19"/>
      <c r="F588" s="19"/>
      <c r="G588" s="19"/>
      <c r="H588" s="19"/>
      <c r="I588" s="19"/>
      <c r="J588" s="247"/>
    </row>
    <row r="589">
      <c r="A589" s="19"/>
      <c r="C589" s="19"/>
      <c r="D589" s="19"/>
      <c r="E589" s="19"/>
      <c r="F589" s="19"/>
      <c r="G589" s="19"/>
      <c r="H589" s="19"/>
      <c r="I589" s="19"/>
      <c r="J589" s="247"/>
    </row>
    <row r="590">
      <c r="A590" s="19"/>
      <c r="C590" s="19"/>
      <c r="D590" s="19"/>
      <c r="E590" s="19"/>
      <c r="F590" s="19"/>
      <c r="G590" s="19"/>
      <c r="H590" s="19"/>
      <c r="I590" s="19"/>
      <c r="J590" s="247"/>
    </row>
    <row r="591">
      <c r="A591" s="19"/>
      <c r="C591" s="19"/>
      <c r="D591" s="19"/>
      <c r="E591" s="19"/>
      <c r="F591" s="19"/>
      <c r="G591" s="19"/>
      <c r="H591" s="19"/>
      <c r="I591" s="19"/>
      <c r="J591" s="247"/>
    </row>
    <row r="592">
      <c r="A592" s="19"/>
      <c r="C592" s="19"/>
      <c r="D592" s="19"/>
      <c r="E592" s="19"/>
      <c r="F592" s="19"/>
      <c r="G592" s="19"/>
      <c r="H592" s="19"/>
      <c r="I592" s="19"/>
      <c r="J592" s="247"/>
    </row>
    <row r="593">
      <c r="A593" s="19"/>
      <c r="C593" s="19"/>
      <c r="D593" s="19"/>
      <c r="E593" s="19"/>
      <c r="F593" s="19"/>
      <c r="G593" s="19"/>
      <c r="H593" s="19"/>
      <c r="I593" s="19"/>
      <c r="J593" s="247"/>
    </row>
    <row r="594">
      <c r="A594" s="19"/>
      <c r="C594" s="19"/>
      <c r="D594" s="19"/>
      <c r="E594" s="19"/>
      <c r="F594" s="19"/>
      <c r="G594" s="19"/>
      <c r="H594" s="19"/>
      <c r="I594" s="19"/>
      <c r="J594" s="247"/>
    </row>
    <row r="595">
      <c r="A595" s="19"/>
      <c r="C595" s="19"/>
      <c r="D595" s="19"/>
      <c r="E595" s="19"/>
      <c r="F595" s="19"/>
      <c r="G595" s="19"/>
      <c r="H595" s="19"/>
      <c r="I595" s="19"/>
      <c r="J595" s="247"/>
    </row>
    <row r="596">
      <c r="A596" s="19"/>
      <c r="C596" s="19"/>
      <c r="D596" s="19"/>
      <c r="E596" s="19"/>
      <c r="F596" s="19"/>
      <c r="G596" s="19"/>
      <c r="H596" s="19"/>
      <c r="I596" s="19"/>
      <c r="J596" s="247"/>
    </row>
    <row r="597">
      <c r="A597" s="19"/>
      <c r="C597" s="19"/>
      <c r="D597" s="19"/>
      <c r="E597" s="19"/>
      <c r="F597" s="19"/>
      <c r="G597" s="19"/>
      <c r="H597" s="19"/>
      <c r="I597" s="19"/>
      <c r="J597" s="247"/>
    </row>
    <row r="598">
      <c r="A598" s="19"/>
      <c r="C598" s="19"/>
      <c r="D598" s="19"/>
      <c r="E598" s="19"/>
      <c r="F598" s="19"/>
      <c r="G598" s="19"/>
      <c r="H598" s="19"/>
      <c r="I598" s="19"/>
      <c r="J598" s="247"/>
    </row>
    <row r="599">
      <c r="A599" s="19"/>
      <c r="C599" s="19"/>
      <c r="D599" s="19"/>
      <c r="E599" s="19"/>
      <c r="F599" s="19"/>
      <c r="G599" s="19"/>
      <c r="H599" s="19"/>
      <c r="I599" s="19"/>
      <c r="J599" s="247"/>
    </row>
    <row r="600">
      <c r="A600" s="19"/>
      <c r="C600" s="19"/>
      <c r="D600" s="19"/>
      <c r="E600" s="19"/>
      <c r="F600" s="19"/>
      <c r="G600" s="19"/>
      <c r="H600" s="19"/>
      <c r="I600" s="19"/>
      <c r="J600" s="247"/>
    </row>
    <row r="601">
      <c r="A601" s="19"/>
      <c r="C601" s="19"/>
      <c r="D601" s="19"/>
      <c r="E601" s="19"/>
      <c r="F601" s="19"/>
      <c r="G601" s="19"/>
      <c r="H601" s="19"/>
      <c r="I601" s="19"/>
      <c r="J601" s="247"/>
    </row>
    <row r="602">
      <c r="A602" s="19"/>
      <c r="C602" s="19"/>
      <c r="D602" s="19"/>
      <c r="E602" s="19"/>
      <c r="F602" s="19"/>
      <c r="G602" s="19"/>
      <c r="H602" s="19"/>
      <c r="I602" s="19"/>
      <c r="J602" s="247"/>
    </row>
    <row r="603">
      <c r="A603" s="19"/>
      <c r="C603" s="19"/>
      <c r="D603" s="19"/>
      <c r="E603" s="19"/>
      <c r="F603" s="19"/>
      <c r="G603" s="19"/>
      <c r="H603" s="19"/>
      <c r="I603" s="19"/>
      <c r="J603" s="247"/>
    </row>
    <row r="604">
      <c r="A604" s="19"/>
      <c r="C604" s="19"/>
      <c r="D604" s="19"/>
      <c r="E604" s="19"/>
      <c r="F604" s="19"/>
      <c r="G604" s="19"/>
      <c r="H604" s="19"/>
      <c r="I604" s="19"/>
      <c r="J604" s="247"/>
    </row>
    <row r="605">
      <c r="A605" s="19"/>
      <c r="C605" s="19"/>
      <c r="D605" s="19"/>
      <c r="E605" s="19"/>
      <c r="F605" s="19"/>
      <c r="G605" s="19"/>
      <c r="H605" s="19"/>
      <c r="I605" s="19"/>
      <c r="J605" s="247"/>
    </row>
    <row r="606">
      <c r="A606" s="19"/>
      <c r="C606" s="19"/>
      <c r="D606" s="19"/>
      <c r="E606" s="19"/>
      <c r="F606" s="19"/>
      <c r="G606" s="19"/>
      <c r="H606" s="19"/>
      <c r="I606" s="19"/>
      <c r="J606" s="247"/>
    </row>
    <row r="607">
      <c r="A607" s="19"/>
      <c r="C607" s="19"/>
      <c r="D607" s="19"/>
      <c r="E607" s="19"/>
      <c r="F607" s="19"/>
      <c r="G607" s="19"/>
      <c r="H607" s="19"/>
      <c r="I607" s="19"/>
      <c r="J607" s="247"/>
    </row>
    <row r="608">
      <c r="A608" s="19"/>
      <c r="C608" s="19"/>
      <c r="D608" s="19"/>
      <c r="E608" s="19"/>
      <c r="F608" s="19"/>
      <c r="G608" s="19"/>
      <c r="H608" s="19"/>
      <c r="I608" s="19"/>
      <c r="J608" s="247"/>
    </row>
    <row r="609">
      <c r="A609" s="19"/>
      <c r="C609" s="19"/>
      <c r="D609" s="19"/>
      <c r="E609" s="19"/>
      <c r="F609" s="19"/>
      <c r="G609" s="19"/>
      <c r="H609" s="19"/>
      <c r="I609" s="19"/>
      <c r="J609" s="247"/>
    </row>
    <row r="610">
      <c r="A610" s="19"/>
      <c r="C610" s="19"/>
      <c r="D610" s="19"/>
      <c r="E610" s="19"/>
      <c r="F610" s="19"/>
      <c r="G610" s="19"/>
      <c r="H610" s="19"/>
      <c r="I610" s="19"/>
      <c r="J610" s="247"/>
    </row>
    <row r="611">
      <c r="A611" s="19"/>
      <c r="C611" s="19"/>
      <c r="D611" s="19"/>
      <c r="E611" s="19"/>
      <c r="F611" s="19"/>
      <c r="G611" s="19"/>
      <c r="H611" s="19"/>
      <c r="I611" s="19"/>
      <c r="J611" s="247"/>
    </row>
    <row r="612">
      <c r="A612" s="19"/>
      <c r="C612" s="19"/>
      <c r="D612" s="19"/>
      <c r="E612" s="19"/>
      <c r="F612" s="19"/>
      <c r="G612" s="19"/>
      <c r="H612" s="19"/>
      <c r="I612" s="19"/>
      <c r="J612" s="247"/>
    </row>
    <row r="613">
      <c r="A613" s="19"/>
      <c r="C613" s="19"/>
      <c r="D613" s="19"/>
      <c r="E613" s="19"/>
      <c r="F613" s="19"/>
      <c r="G613" s="19"/>
      <c r="H613" s="19"/>
      <c r="I613" s="19"/>
      <c r="J613" s="247"/>
    </row>
    <row r="614">
      <c r="A614" s="19"/>
      <c r="C614" s="19"/>
      <c r="D614" s="19"/>
      <c r="E614" s="19"/>
      <c r="F614" s="19"/>
      <c r="G614" s="19"/>
      <c r="H614" s="19"/>
      <c r="I614" s="19"/>
      <c r="J614" s="247"/>
    </row>
    <row r="615">
      <c r="A615" s="19"/>
      <c r="C615" s="19"/>
      <c r="D615" s="19"/>
      <c r="E615" s="19"/>
      <c r="F615" s="19"/>
      <c r="G615" s="19"/>
      <c r="H615" s="19"/>
      <c r="I615" s="19"/>
      <c r="J615" s="247"/>
    </row>
    <row r="616">
      <c r="A616" s="19"/>
      <c r="C616" s="19"/>
      <c r="D616" s="19"/>
      <c r="E616" s="19"/>
      <c r="F616" s="19"/>
      <c r="G616" s="19"/>
      <c r="H616" s="19"/>
      <c r="I616" s="19"/>
      <c r="J616" s="247"/>
    </row>
    <row r="617">
      <c r="A617" s="19"/>
      <c r="C617" s="19"/>
      <c r="D617" s="19"/>
      <c r="E617" s="19"/>
      <c r="F617" s="19"/>
      <c r="G617" s="19"/>
      <c r="H617" s="19"/>
      <c r="I617" s="19"/>
      <c r="J617" s="247"/>
    </row>
    <row r="618">
      <c r="A618" s="19"/>
      <c r="C618" s="19"/>
      <c r="D618" s="19"/>
      <c r="E618" s="19"/>
      <c r="F618" s="19"/>
      <c r="G618" s="19"/>
      <c r="H618" s="19"/>
      <c r="I618" s="19"/>
      <c r="J618" s="247"/>
    </row>
    <row r="619">
      <c r="A619" s="19"/>
      <c r="C619" s="19"/>
      <c r="D619" s="19"/>
      <c r="E619" s="19"/>
      <c r="F619" s="19"/>
      <c r="G619" s="19"/>
      <c r="H619" s="19"/>
      <c r="I619" s="19"/>
      <c r="J619" s="247"/>
    </row>
    <row r="620">
      <c r="A620" s="19"/>
      <c r="C620" s="19"/>
      <c r="D620" s="19"/>
      <c r="E620" s="19"/>
      <c r="F620" s="19"/>
      <c r="G620" s="19"/>
      <c r="H620" s="19"/>
      <c r="I620" s="19"/>
      <c r="J620" s="247"/>
    </row>
    <row r="621">
      <c r="A621" s="19"/>
      <c r="C621" s="19"/>
      <c r="D621" s="19"/>
      <c r="E621" s="19"/>
      <c r="F621" s="19"/>
      <c r="G621" s="19"/>
      <c r="H621" s="19"/>
      <c r="I621" s="19"/>
      <c r="J621" s="247"/>
    </row>
    <row r="622">
      <c r="A622" s="19"/>
      <c r="C622" s="19"/>
      <c r="D622" s="19"/>
      <c r="E622" s="19"/>
      <c r="F622" s="19"/>
      <c r="G622" s="19"/>
      <c r="H622" s="19"/>
      <c r="I622" s="19"/>
      <c r="J622" s="247"/>
    </row>
    <row r="623">
      <c r="A623" s="19"/>
      <c r="C623" s="19"/>
      <c r="D623" s="19"/>
      <c r="E623" s="19"/>
      <c r="F623" s="19"/>
      <c r="G623" s="19"/>
      <c r="H623" s="19"/>
      <c r="I623" s="19"/>
      <c r="J623" s="247"/>
    </row>
    <row r="624">
      <c r="A624" s="19"/>
      <c r="C624" s="19"/>
      <c r="D624" s="19"/>
      <c r="E624" s="19"/>
      <c r="F624" s="19"/>
      <c r="G624" s="19"/>
      <c r="H624" s="19"/>
      <c r="I624" s="19"/>
      <c r="J624" s="247"/>
    </row>
    <row r="625">
      <c r="A625" s="19"/>
      <c r="C625" s="19"/>
      <c r="D625" s="19"/>
      <c r="E625" s="19"/>
      <c r="F625" s="19"/>
      <c r="G625" s="19"/>
      <c r="H625" s="19"/>
      <c r="I625" s="19"/>
      <c r="J625" s="247"/>
    </row>
    <row r="626">
      <c r="A626" s="19"/>
      <c r="C626" s="19"/>
      <c r="D626" s="19"/>
      <c r="E626" s="19"/>
      <c r="F626" s="19"/>
      <c r="G626" s="19"/>
      <c r="H626" s="19"/>
      <c r="I626" s="19"/>
      <c r="J626" s="247"/>
    </row>
    <row r="627">
      <c r="A627" s="19"/>
      <c r="C627" s="19"/>
      <c r="D627" s="19"/>
      <c r="E627" s="19"/>
      <c r="F627" s="19"/>
      <c r="G627" s="19"/>
      <c r="H627" s="19"/>
      <c r="I627" s="19"/>
      <c r="J627" s="247"/>
    </row>
    <row r="628">
      <c r="A628" s="19"/>
      <c r="C628" s="19"/>
      <c r="D628" s="19"/>
      <c r="E628" s="19"/>
      <c r="F628" s="19"/>
      <c r="G628" s="19"/>
      <c r="H628" s="19"/>
      <c r="I628" s="19"/>
      <c r="J628" s="247"/>
    </row>
    <row r="629">
      <c r="A629" s="19"/>
      <c r="C629" s="19"/>
      <c r="D629" s="19"/>
      <c r="E629" s="19"/>
      <c r="F629" s="19"/>
      <c r="G629" s="19"/>
      <c r="H629" s="19"/>
      <c r="I629" s="19"/>
      <c r="J629" s="247"/>
    </row>
    <row r="630">
      <c r="A630" s="19"/>
      <c r="C630" s="19"/>
      <c r="D630" s="19"/>
      <c r="E630" s="19"/>
      <c r="F630" s="19"/>
      <c r="G630" s="19"/>
      <c r="H630" s="19"/>
      <c r="I630" s="19"/>
      <c r="J630" s="247"/>
    </row>
    <row r="631">
      <c r="A631" s="19"/>
      <c r="C631" s="19"/>
      <c r="D631" s="19"/>
      <c r="E631" s="19"/>
      <c r="F631" s="19"/>
      <c r="G631" s="19"/>
      <c r="H631" s="19"/>
      <c r="I631" s="19"/>
      <c r="J631" s="247"/>
    </row>
    <row r="632">
      <c r="A632" s="19"/>
      <c r="C632" s="19"/>
      <c r="D632" s="19"/>
      <c r="E632" s="19"/>
      <c r="F632" s="19"/>
      <c r="G632" s="19"/>
      <c r="H632" s="19"/>
      <c r="I632" s="19"/>
      <c r="J632" s="247"/>
    </row>
    <row r="633">
      <c r="A633" s="19"/>
      <c r="C633" s="19"/>
      <c r="D633" s="19"/>
      <c r="E633" s="19"/>
      <c r="F633" s="19"/>
      <c r="G633" s="19"/>
      <c r="H633" s="19"/>
      <c r="I633" s="19"/>
      <c r="J633" s="247"/>
    </row>
    <row r="634">
      <c r="A634" s="19"/>
      <c r="C634" s="19"/>
      <c r="D634" s="19"/>
      <c r="E634" s="19"/>
      <c r="F634" s="19"/>
      <c r="G634" s="19"/>
      <c r="H634" s="19"/>
      <c r="I634" s="19"/>
      <c r="J634" s="247"/>
    </row>
    <row r="635">
      <c r="A635" s="19"/>
      <c r="C635" s="19"/>
      <c r="D635" s="19"/>
      <c r="E635" s="19"/>
      <c r="F635" s="19"/>
      <c r="G635" s="19"/>
      <c r="H635" s="19"/>
      <c r="I635" s="19"/>
      <c r="J635" s="247"/>
    </row>
    <row r="636">
      <c r="A636" s="19"/>
      <c r="C636" s="19"/>
      <c r="D636" s="19"/>
      <c r="E636" s="19"/>
      <c r="F636" s="19"/>
      <c r="G636" s="19"/>
      <c r="H636" s="19"/>
      <c r="I636" s="19"/>
      <c r="J636" s="247"/>
    </row>
    <row r="637">
      <c r="A637" s="19"/>
      <c r="C637" s="19"/>
      <c r="D637" s="19"/>
      <c r="E637" s="19"/>
      <c r="F637" s="19"/>
      <c r="G637" s="19"/>
      <c r="H637" s="19"/>
      <c r="I637" s="19"/>
      <c r="J637" s="247"/>
    </row>
    <row r="638">
      <c r="A638" s="19"/>
      <c r="C638" s="19"/>
      <c r="D638" s="19"/>
      <c r="E638" s="19"/>
      <c r="F638" s="19"/>
      <c r="G638" s="19"/>
      <c r="H638" s="19"/>
      <c r="I638" s="19"/>
      <c r="J638" s="247"/>
    </row>
    <row r="639">
      <c r="A639" s="19"/>
      <c r="C639" s="19"/>
      <c r="D639" s="19"/>
      <c r="E639" s="19"/>
      <c r="F639" s="19"/>
      <c r="G639" s="19"/>
      <c r="H639" s="19"/>
      <c r="I639" s="19"/>
      <c r="J639" s="247"/>
    </row>
    <row r="640">
      <c r="A640" s="19"/>
      <c r="C640" s="19"/>
      <c r="D640" s="19"/>
      <c r="E640" s="19"/>
      <c r="F640" s="19"/>
      <c r="G640" s="19"/>
      <c r="H640" s="19"/>
      <c r="I640" s="19"/>
      <c r="J640" s="247"/>
    </row>
    <row r="641">
      <c r="A641" s="19"/>
      <c r="C641" s="19"/>
      <c r="D641" s="19"/>
      <c r="E641" s="19"/>
      <c r="F641" s="19"/>
      <c r="G641" s="19"/>
      <c r="H641" s="19"/>
      <c r="I641" s="19"/>
      <c r="J641" s="247"/>
    </row>
    <row r="642">
      <c r="A642" s="19"/>
      <c r="C642" s="19"/>
      <c r="D642" s="19"/>
      <c r="E642" s="19"/>
      <c r="F642" s="19"/>
      <c r="G642" s="19"/>
      <c r="H642" s="19"/>
      <c r="I642" s="19"/>
      <c r="J642" s="247"/>
    </row>
    <row r="643">
      <c r="A643" s="19"/>
      <c r="C643" s="19"/>
      <c r="D643" s="19"/>
      <c r="E643" s="19"/>
      <c r="F643" s="19"/>
      <c r="G643" s="19"/>
      <c r="H643" s="19"/>
      <c r="I643" s="19"/>
      <c r="J643" s="247"/>
    </row>
    <row r="644">
      <c r="A644" s="19"/>
      <c r="C644" s="19"/>
      <c r="D644" s="19"/>
      <c r="E644" s="19"/>
      <c r="F644" s="19"/>
      <c r="G644" s="19"/>
      <c r="H644" s="19"/>
      <c r="I644" s="19"/>
      <c r="J644" s="247"/>
    </row>
    <row r="645">
      <c r="A645" s="19"/>
      <c r="C645" s="19"/>
      <c r="D645" s="19"/>
      <c r="E645" s="19"/>
      <c r="F645" s="19"/>
      <c r="G645" s="19"/>
      <c r="H645" s="19"/>
      <c r="I645" s="19"/>
      <c r="J645" s="247"/>
    </row>
    <row r="646">
      <c r="A646" s="19"/>
      <c r="C646" s="19"/>
      <c r="D646" s="19"/>
      <c r="E646" s="19"/>
      <c r="F646" s="19"/>
      <c r="G646" s="19"/>
      <c r="H646" s="19"/>
      <c r="I646" s="19"/>
      <c r="J646" s="247"/>
    </row>
    <row r="647">
      <c r="A647" s="19"/>
      <c r="C647" s="19"/>
      <c r="D647" s="19"/>
      <c r="E647" s="19"/>
      <c r="F647" s="19"/>
      <c r="G647" s="19"/>
      <c r="H647" s="19"/>
      <c r="I647" s="19"/>
      <c r="J647" s="247"/>
    </row>
    <row r="648">
      <c r="A648" s="19"/>
      <c r="C648" s="19"/>
      <c r="D648" s="19"/>
      <c r="E648" s="19"/>
      <c r="F648" s="19"/>
      <c r="G648" s="19"/>
      <c r="H648" s="19"/>
      <c r="I648" s="19"/>
      <c r="J648" s="247"/>
    </row>
    <row r="649">
      <c r="A649" s="19"/>
      <c r="C649" s="19"/>
      <c r="D649" s="19"/>
      <c r="E649" s="19"/>
      <c r="F649" s="19"/>
      <c r="G649" s="19"/>
      <c r="H649" s="19"/>
      <c r="I649" s="19"/>
      <c r="J649" s="247"/>
    </row>
    <row r="650">
      <c r="A650" s="19"/>
      <c r="C650" s="19"/>
      <c r="D650" s="19"/>
      <c r="E650" s="19"/>
      <c r="F650" s="19"/>
      <c r="G650" s="19"/>
      <c r="H650" s="19"/>
      <c r="I650" s="19"/>
      <c r="J650" s="247"/>
    </row>
    <row r="651">
      <c r="A651" s="19"/>
      <c r="C651" s="19"/>
      <c r="D651" s="19"/>
      <c r="E651" s="19"/>
      <c r="F651" s="19"/>
      <c r="G651" s="19"/>
      <c r="H651" s="19"/>
      <c r="I651" s="19"/>
      <c r="J651" s="247"/>
    </row>
    <row r="652">
      <c r="A652" s="19"/>
      <c r="C652" s="19"/>
      <c r="D652" s="19"/>
      <c r="E652" s="19"/>
      <c r="F652" s="19"/>
      <c r="G652" s="19"/>
      <c r="H652" s="19"/>
      <c r="I652" s="19"/>
      <c r="J652" s="247"/>
    </row>
    <row r="653">
      <c r="A653" s="19"/>
      <c r="C653" s="19"/>
      <c r="D653" s="19"/>
      <c r="E653" s="19"/>
      <c r="F653" s="19"/>
      <c r="G653" s="19"/>
      <c r="H653" s="19"/>
      <c r="I653" s="19"/>
      <c r="J653" s="247"/>
    </row>
    <row r="654">
      <c r="A654" s="19"/>
      <c r="C654" s="19"/>
      <c r="D654" s="19"/>
      <c r="E654" s="19"/>
      <c r="F654" s="19"/>
      <c r="G654" s="19"/>
      <c r="H654" s="19"/>
      <c r="I654" s="19"/>
      <c r="J654" s="247"/>
    </row>
    <row r="655">
      <c r="A655" s="19"/>
      <c r="C655" s="19"/>
      <c r="D655" s="19"/>
      <c r="E655" s="19"/>
      <c r="F655" s="19"/>
      <c r="G655" s="19"/>
      <c r="H655" s="19"/>
      <c r="I655" s="19"/>
      <c r="J655" s="247"/>
    </row>
    <row r="656">
      <c r="A656" s="19"/>
      <c r="C656" s="19"/>
      <c r="D656" s="19"/>
      <c r="E656" s="19"/>
      <c r="F656" s="19"/>
      <c r="G656" s="19"/>
      <c r="H656" s="19"/>
      <c r="I656" s="19"/>
      <c r="J656" s="247"/>
    </row>
    <row r="657">
      <c r="A657" s="19"/>
      <c r="C657" s="19"/>
      <c r="D657" s="19"/>
      <c r="E657" s="19"/>
      <c r="F657" s="19"/>
      <c r="G657" s="19"/>
      <c r="H657" s="19"/>
      <c r="I657" s="19"/>
      <c r="J657" s="247"/>
    </row>
    <row r="658">
      <c r="A658" s="19"/>
      <c r="C658" s="19"/>
      <c r="D658" s="19"/>
      <c r="E658" s="19"/>
      <c r="F658" s="19"/>
      <c r="G658" s="19"/>
      <c r="H658" s="19"/>
      <c r="I658" s="19"/>
      <c r="J658" s="247"/>
    </row>
    <row r="659">
      <c r="A659" s="19"/>
      <c r="C659" s="19"/>
      <c r="D659" s="19"/>
      <c r="E659" s="19"/>
      <c r="F659" s="19"/>
      <c r="G659" s="19"/>
      <c r="H659" s="19"/>
      <c r="I659" s="19"/>
      <c r="J659" s="247"/>
    </row>
    <row r="660">
      <c r="A660" s="19"/>
      <c r="C660" s="19"/>
      <c r="D660" s="19"/>
      <c r="E660" s="19"/>
      <c r="F660" s="19"/>
      <c r="G660" s="19"/>
      <c r="H660" s="19"/>
      <c r="I660" s="19"/>
      <c r="J660" s="247"/>
    </row>
    <row r="661">
      <c r="A661" s="19"/>
      <c r="C661" s="19"/>
      <c r="D661" s="19"/>
      <c r="E661" s="19"/>
      <c r="F661" s="19"/>
      <c r="G661" s="19"/>
      <c r="H661" s="19"/>
      <c r="I661" s="19"/>
      <c r="J661" s="247"/>
    </row>
    <row r="662">
      <c r="A662" s="19"/>
      <c r="C662" s="19"/>
      <c r="D662" s="19"/>
      <c r="E662" s="19"/>
      <c r="F662" s="19"/>
      <c r="G662" s="19"/>
      <c r="H662" s="19"/>
      <c r="I662" s="19"/>
      <c r="J662" s="247"/>
    </row>
    <row r="663">
      <c r="A663" s="19"/>
      <c r="C663" s="19"/>
      <c r="D663" s="19"/>
      <c r="E663" s="19"/>
      <c r="F663" s="19"/>
      <c r="G663" s="19"/>
      <c r="H663" s="19"/>
      <c r="I663" s="19"/>
      <c r="J663" s="247"/>
    </row>
    <row r="664">
      <c r="A664" s="19"/>
      <c r="C664" s="19"/>
      <c r="D664" s="19"/>
      <c r="E664" s="19"/>
      <c r="F664" s="19"/>
      <c r="G664" s="19"/>
      <c r="H664" s="19"/>
      <c r="I664" s="19"/>
      <c r="J664" s="247"/>
    </row>
    <row r="665">
      <c r="A665" s="19"/>
      <c r="C665" s="19"/>
      <c r="D665" s="19"/>
      <c r="E665" s="19"/>
      <c r="F665" s="19"/>
      <c r="G665" s="19"/>
      <c r="H665" s="19"/>
      <c r="I665" s="19"/>
      <c r="J665" s="247"/>
    </row>
    <row r="666">
      <c r="A666" s="19"/>
      <c r="C666" s="19"/>
      <c r="D666" s="19"/>
      <c r="E666" s="19"/>
      <c r="F666" s="19"/>
      <c r="G666" s="19"/>
      <c r="H666" s="19"/>
      <c r="I666" s="19"/>
      <c r="J666" s="247"/>
    </row>
    <row r="667">
      <c r="A667" s="19"/>
      <c r="C667" s="19"/>
      <c r="D667" s="19"/>
      <c r="E667" s="19"/>
      <c r="F667" s="19"/>
      <c r="G667" s="19"/>
      <c r="H667" s="19"/>
      <c r="I667" s="19"/>
      <c r="J667" s="247"/>
    </row>
    <row r="668">
      <c r="A668" s="19"/>
      <c r="C668" s="19"/>
      <c r="D668" s="19"/>
      <c r="E668" s="19"/>
      <c r="F668" s="19"/>
      <c r="G668" s="19"/>
      <c r="H668" s="19"/>
      <c r="I668" s="19"/>
      <c r="J668" s="247"/>
    </row>
    <row r="669">
      <c r="A669" s="19"/>
      <c r="C669" s="19"/>
      <c r="D669" s="19"/>
      <c r="E669" s="19"/>
      <c r="F669" s="19"/>
      <c r="G669" s="19"/>
      <c r="H669" s="19"/>
      <c r="I669" s="19"/>
      <c r="J669" s="247"/>
    </row>
    <row r="670">
      <c r="A670" s="19"/>
      <c r="C670" s="19"/>
      <c r="D670" s="19"/>
      <c r="E670" s="19"/>
      <c r="F670" s="19"/>
      <c r="G670" s="19"/>
      <c r="H670" s="19"/>
      <c r="I670" s="19"/>
      <c r="J670" s="247"/>
    </row>
    <row r="671">
      <c r="A671" s="19"/>
      <c r="C671" s="19"/>
      <c r="D671" s="19"/>
      <c r="E671" s="19"/>
      <c r="F671" s="19"/>
      <c r="G671" s="19"/>
      <c r="H671" s="19"/>
      <c r="I671" s="19"/>
      <c r="J671" s="247"/>
    </row>
    <row r="672">
      <c r="A672" s="19"/>
      <c r="C672" s="19"/>
      <c r="D672" s="19"/>
      <c r="E672" s="19"/>
      <c r="F672" s="19"/>
      <c r="G672" s="19"/>
      <c r="H672" s="19"/>
      <c r="I672" s="19"/>
      <c r="J672" s="247"/>
    </row>
    <row r="673">
      <c r="A673" s="19"/>
      <c r="C673" s="19"/>
      <c r="D673" s="19"/>
      <c r="E673" s="19"/>
      <c r="F673" s="19"/>
      <c r="G673" s="19"/>
      <c r="H673" s="19"/>
      <c r="I673" s="19"/>
      <c r="J673" s="247"/>
    </row>
    <row r="674">
      <c r="A674" s="19"/>
      <c r="C674" s="19"/>
      <c r="D674" s="19"/>
      <c r="E674" s="19"/>
      <c r="F674" s="19"/>
      <c r="G674" s="19"/>
      <c r="H674" s="19"/>
      <c r="I674" s="19"/>
      <c r="J674" s="247"/>
    </row>
    <row r="675">
      <c r="A675" s="19"/>
      <c r="C675" s="19"/>
      <c r="D675" s="19"/>
      <c r="E675" s="19"/>
      <c r="F675" s="19"/>
      <c r="G675" s="19"/>
      <c r="H675" s="19"/>
      <c r="I675" s="19"/>
      <c r="J675" s="247"/>
    </row>
    <row r="676">
      <c r="A676" s="19"/>
      <c r="C676" s="19"/>
      <c r="D676" s="19"/>
      <c r="E676" s="19"/>
      <c r="F676" s="19"/>
      <c r="G676" s="19"/>
      <c r="H676" s="19"/>
      <c r="I676" s="19"/>
      <c r="J676" s="247"/>
    </row>
    <row r="677">
      <c r="A677" s="19"/>
      <c r="C677" s="19"/>
      <c r="D677" s="19"/>
      <c r="E677" s="19"/>
      <c r="F677" s="19"/>
      <c r="G677" s="19"/>
      <c r="H677" s="19"/>
      <c r="I677" s="19"/>
      <c r="J677" s="247"/>
    </row>
    <row r="678">
      <c r="A678" s="19"/>
      <c r="C678" s="19"/>
      <c r="D678" s="19"/>
      <c r="E678" s="19"/>
      <c r="F678" s="19"/>
      <c r="G678" s="19"/>
      <c r="H678" s="19"/>
      <c r="I678" s="19"/>
      <c r="J678" s="247"/>
    </row>
    <row r="679">
      <c r="A679" s="19"/>
      <c r="C679" s="19"/>
      <c r="D679" s="19"/>
      <c r="E679" s="19"/>
      <c r="F679" s="19"/>
      <c r="G679" s="19"/>
      <c r="H679" s="19"/>
      <c r="I679" s="19"/>
      <c r="J679" s="247"/>
    </row>
    <row r="680">
      <c r="A680" s="19"/>
      <c r="C680" s="19"/>
      <c r="D680" s="19"/>
      <c r="E680" s="19"/>
      <c r="F680" s="19"/>
      <c r="G680" s="19"/>
      <c r="H680" s="19"/>
      <c r="I680" s="19"/>
      <c r="J680" s="247"/>
    </row>
    <row r="681">
      <c r="A681" s="19"/>
      <c r="C681" s="19"/>
      <c r="D681" s="19"/>
      <c r="E681" s="19"/>
      <c r="F681" s="19"/>
      <c r="G681" s="19"/>
      <c r="H681" s="19"/>
      <c r="I681" s="19"/>
      <c r="J681" s="247"/>
    </row>
    <row r="682">
      <c r="A682" s="19"/>
      <c r="C682" s="19"/>
      <c r="D682" s="19"/>
      <c r="E682" s="19"/>
      <c r="F682" s="19"/>
      <c r="G682" s="19"/>
      <c r="H682" s="19"/>
      <c r="I682" s="19"/>
      <c r="J682" s="247"/>
    </row>
    <row r="683">
      <c r="A683" s="19"/>
      <c r="C683" s="19"/>
      <c r="D683" s="19"/>
      <c r="E683" s="19"/>
      <c r="F683" s="19"/>
      <c r="G683" s="19"/>
      <c r="H683" s="19"/>
      <c r="I683" s="19"/>
      <c r="J683" s="247"/>
    </row>
    <row r="684">
      <c r="A684" s="19"/>
      <c r="C684" s="19"/>
      <c r="D684" s="19"/>
      <c r="E684" s="19"/>
      <c r="F684" s="19"/>
      <c r="G684" s="19"/>
      <c r="H684" s="19"/>
      <c r="I684" s="19"/>
      <c r="J684" s="247"/>
    </row>
    <row r="685">
      <c r="A685" s="19"/>
      <c r="C685" s="19"/>
      <c r="D685" s="19"/>
      <c r="E685" s="19"/>
      <c r="F685" s="19"/>
      <c r="G685" s="19"/>
      <c r="H685" s="19"/>
      <c r="I685" s="19"/>
      <c r="J685" s="247"/>
    </row>
    <row r="686">
      <c r="A686" s="19"/>
      <c r="C686" s="19"/>
      <c r="D686" s="19"/>
      <c r="E686" s="19"/>
      <c r="F686" s="19"/>
      <c r="G686" s="19"/>
      <c r="H686" s="19"/>
      <c r="I686" s="19"/>
      <c r="J686" s="247"/>
    </row>
    <row r="687">
      <c r="A687" s="19"/>
      <c r="C687" s="19"/>
      <c r="D687" s="19"/>
      <c r="E687" s="19"/>
      <c r="F687" s="19"/>
      <c r="G687" s="19"/>
      <c r="H687" s="19"/>
      <c r="I687" s="19"/>
      <c r="J687" s="247"/>
    </row>
    <row r="688">
      <c r="A688" s="19"/>
      <c r="C688" s="19"/>
      <c r="D688" s="19"/>
      <c r="E688" s="19"/>
      <c r="F688" s="19"/>
      <c r="G688" s="19"/>
      <c r="H688" s="19"/>
      <c r="I688" s="19"/>
      <c r="J688" s="247"/>
    </row>
    <row r="689">
      <c r="A689" s="19"/>
      <c r="C689" s="19"/>
      <c r="D689" s="19"/>
      <c r="E689" s="19"/>
      <c r="F689" s="19"/>
      <c r="G689" s="19"/>
      <c r="H689" s="19"/>
      <c r="I689" s="19"/>
      <c r="J689" s="247"/>
    </row>
    <row r="690">
      <c r="A690" s="19"/>
      <c r="C690" s="19"/>
      <c r="D690" s="19"/>
      <c r="E690" s="19"/>
      <c r="F690" s="19"/>
      <c r="G690" s="19"/>
      <c r="H690" s="19"/>
      <c r="I690" s="19"/>
      <c r="J690" s="247"/>
    </row>
    <row r="691">
      <c r="A691" s="19"/>
      <c r="C691" s="19"/>
      <c r="D691" s="19"/>
      <c r="E691" s="19"/>
      <c r="F691" s="19"/>
      <c r="G691" s="19"/>
      <c r="H691" s="19"/>
      <c r="I691" s="19"/>
      <c r="J691" s="247"/>
    </row>
    <row r="692">
      <c r="A692" s="19"/>
      <c r="C692" s="19"/>
      <c r="D692" s="19"/>
      <c r="E692" s="19"/>
      <c r="F692" s="19"/>
      <c r="G692" s="19"/>
      <c r="H692" s="19"/>
      <c r="I692" s="19"/>
      <c r="J692" s="247"/>
    </row>
    <row r="693">
      <c r="A693" s="19"/>
      <c r="C693" s="19"/>
      <c r="D693" s="19"/>
      <c r="E693" s="19"/>
      <c r="F693" s="19"/>
      <c r="G693" s="19"/>
      <c r="H693" s="19"/>
      <c r="I693" s="19"/>
      <c r="J693" s="247"/>
    </row>
    <row r="694">
      <c r="A694" s="19"/>
      <c r="C694" s="19"/>
      <c r="D694" s="19"/>
      <c r="E694" s="19"/>
      <c r="F694" s="19"/>
      <c r="G694" s="19"/>
      <c r="H694" s="19"/>
      <c r="I694" s="19"/>
      <c r="J694" s="247"/>
    </row>
    <row r="695">
      <c r="A695" s="19"/>
      <c r="C695" s="19"/>
      <c r="D695" s="19"/>
      <c r="E695" s="19"/>
      <c r="F695" s="19"/>
      <c r="G695" s="19"/>
      <c r="H695" s="19"/>
      <c r="I695" s="19"/>
      <c r="J695" s="247"/>
    </row>
    <row r="696">
      <c r="A696" s="19"/>
      <c r="C696" s="19"/>
      <c r="D696" s="19"/>
      <c r="E696" s="19"/>
      <c r="F696" s="19"/>
      <c r="G696" s="19"/>
      <c r="H696" s="19"/>
      <c r="I696" s="19"/>
      <c r="J696" s="247"/>
    </row>
    <row r="697">
      <c r="A697" s="19"/>
      <c r="C697" s="19"/>
      <c r="D697" s="19"/>
      <c r="E697" s="19"/>
      <c r="F697" s="19"/>
      <c r="G697" s="19"/>
      <c r="H697" s="19"/>
      <c r="I697" s="19"/>
      <c r="J697" s="247"/>
    </row>
    <row r="698">
      <c r="A698" s="19"/>
      <c r="C698" s="19"/>
      <c r="D698" s="19"/>
      <c r="E698" s="19"/>
      <c r="F698" s="19"/>
      <c r="G698" s="19"/>
      <c r="H698" s="19"/>
      <c r="I698" s="19"/>
      <c r="J698" s="247"/>
    </row>
    <row r="699">
      <c r="A699" s="19"/>
      <c r="C699" s="19"/>
      <c r="D699" s="19"/>
      <c r="E699" s="19"/>
      <c r="F699" s="19"/>
      <c r="G699" s="19"/>
      <c r="H699" s="19"/>
      <c r="I699" s="19"/>
      <c r="J699" s="247"/>
    </row>
    <row r="700">
      <c r="A700" s="19"/>
      <c r="C700" s="19"/>
      <c r="D700" s="19"/>
      <c r="E700" s="19"/>
      <c r="F700" s="19"/>
      <c r="G700" s="19"/>
      <c r="H700" s="19"/>
      <c r="I700" s="19"/>
      <c r="J700" s="247"/>
    </row>
    <row r="701">
      <c r="A701" s="19"/>
      <c r="C701" s="19"/>
      <c r="D701" s="19"/>
      <c r="E701" s="19"/>
      <c r="F701" s="19"/>
      <c r="G701" s="19"/>
      <c r="H701" s="19"/>
      <c r="I701" s="19"/>
      <c r="J701" s="247"/>
    </row>
    <row r="702">
      <c r="A702" s="19"/>
      <c r="C702" s="19"/>
      <c r="D702" s="19"/>
      <c r="E702" s="19"/>
      <c r="F702" s="19"/>
      <c r="G702" s="19"/>
      <c r="H702" s="19"/>
      <c r="I702" s="19"/>
      <c r="J702" s="247"/>
    </row>
    <row r="703">
      <c r="A703" s="19"/>
      <c r="C703" s="19"/>
      <c r="D703" s="19"/>
      <c r="E703" s="19"/>
      <c r="F703" s="19"/>
      <c r="G703" s="19"/>
      <c r="H703" s="19"/>
      <c r="I703" s="19"/>
      <c r="J703" s="247"/>
    </row>
    <row r="704">
      <c r="A704" s="19"/>
      <c r="C704" s="19"/>
      <c r="D704" s="19"/>
      <c r="E704" s="19"/>
      <c r="F704" s="19"/>
      <c r="G704" s="19"/>
      <c r="H704" s="19"/>
      <c r="I704" s="19"/>
      <c r="J704" s="247"/>
    </row>
    <row r="705">
      <c r="A705" s="19"/>
      <c r="C705" s="19"/>
      <c r="D705" s="19"/>
      <c r="E705" s="19"/>
      <c r="F705" s="19"/>
      <c r="G705" s="19"/>
      <c r="H705" s="19"/>
      <c r="I705" s="19"/>
      <c r="J705" s="247"/>
    </row>
    <row r="706">
      <c r="A706" s="19"/>
      <c r="C706" s="19"/>
      <c r="D706" s="19"/>
      <c r="E706" s="19"/>
      <c r="F706" s="19"/>
      <c r="G706" s="19"/>
      <c r="H706" s="19"/>
      <c r="I706" s="19"/>
      <c r="J706" s="247"/>
    </row>
    <row r="707">
      <c r="A707" s="19"/>
      <c r="C707" s="19"/>
      <c r="D707" s="19"/>
      <c r="E707" s="19"/>
      <c r="F707" s="19"/>
      <c r="G707" s="19"/>
      <c r="H707" s="19"/>
      <c r="I707" s="19"/>
      <c r="J707" s="247"/>
    </row>
    <row r="708">
      <c r="A708" s="19"/>
      <c r="C708" s="19"/>
      <c r="D708" s="19"/>
      <c r="E708" s="19"/>
      <c r="F708" s="19"/>
      <c r="G708" s="19"/>
      <c r="H708" s="19"/>
      <c r="I708" s="19"/>
      <c r="J708" s="247"/>
    </row>
    <row r="709">
      <c r="A709" s="19"/>
      <c r="C709" s="19"/>
      <c r="D709" s="19"/>
      <c r="E709" s="19"/>
      <c r="F709" s="19"/>
      <c r="G709" s="19"/>
      <c r="H709" s="19"/>
      <c r="I709" s="19"/>
      <c r="J709" s="247"/>
    </row>
    <row r="710">
      <c r="A710" s="19"/>
      <c r="C710" s="19"/>
      <c r="D710" s="19"/>
      <c r="E710" s="19"/>
      <c r="F710" s="19"/>
      <c r="G710" s="19"/>
      <c r="H710" s="19"/>
      <c r="I710" s="19"/>
      <c r="J710" s="247"/>
    </row>
    <row r="711">
      <c r="A711" s="19"/>
      <c r="C711" s="19"/>
      <c r="D711" s="19"/>
      <c r="E711" s="19"/>
      <c r="F711" s="19"/>
      <c r="G711" s="19"/>
      <c r="H711" s="19"/>
      <c r="I711" s="19"/>
      <c r="J711" s="247"/>
    </row>
    <row r="712">
      <c r="A712" s="19"/>
      <c r="C712" s="19"/>
      <c r="D712" s="19"/>
      <c r="E712" s="19"/>
      <c r="F712" s="19"/>
      <c r="G712" s="19"/>
      <c r="H712" s="19"/>
      <c r="I712" s="19"/>
      <c r="J712" s="247"/>
    </row>
    <row r="713">
      <c r="A713" s="19"/>
      <c r="C713" s="19"/>
      <c r="D713" s="19"/>
      <c r="E713" s="19"/>
      <c r="F713" s="19"/>
      <c r="G713" s="19"/>
      <c r="H713" s="19"/>
      <c r="I713" s="19"/>
      <c r="J713" s="247"/>
    </row>
    <row r="714">
      <c r="A714" s="19"/>
      <c r="C714" s="19"/>
      <c r="D714" s="19"/>
      <c r="E714" s="19"/>
      <c r="F714" s="19"/>
      <c r="G714" s="19"/>
      <c r="H714" s="19"/>
      <c r="I714" s="19"/>
      <c r="J714" s="247"/>
    </row>
    <row r="715">
      <c r="A715" s="19"/>
      <c r="C715" s="19"/>
      <c r="D715" s="19"/>
      <c r="E715" s="19"/>
      <c r="F715" s="19"/>
      <c r="G715" s="19"/>
      <c r="H715" s="19"/>
      <c r="I715" s="19"/>
      <c r="J715" s="247"/>
    </row>
    <row r="716">
      <c r="A716" s="19"/>
      <c r="C716" s="19"/>
      <c r="D716" s="19"/>
      <c r="E716" s="19"/>
      <c r="F716" s="19"/>
      <c r="G716" s="19"/>
      <c r="H716" s="19"/>
      <c r="I716" s="19"/>
      <c r="J716" s="247"/>
    </row>
    <row r="717">
      <c r="A717" s="19"/>
      <c r="C717" s="19"/>
      <c r="D717" s="19"/>
      <c r="E717" s="19"/>
      <c r="F717" s="19"/>
      <c r="G717" s="19"/>
      <c r="H717" s="19"/>
      <c r="I717" s="19"/>
      <c r="J717" s="247"/>
    </row>
    <row r="718">
      <c r="A718" s="19"/>
      <c r="C718" s="19"/>
      <c r="D718" s="19"/>
      <c r="E718" s="19"/>
      <c r="F718" s="19"/>
      <c r="G718" s="19"/>
      <c r="H718" s="19"/>
      <c r="I718" s="19"/>
      <c r="J718" s="247"/>
    </row>
    <row r="719">
      <c r="A719" s="19"/>
      <c r="C719" s="19"/>
      <c r="D719" s="19"/>
      <c r="E719" s="19"/>
      <c r="F719" s="19"/>
      <c r="G719" s="19"/>
      <c r="H719" s="19"/>
      <c r="I719" s="19"/>
      <c r="J719" s="247"/>
    </row>
    <row r="720">
      <c r="A720" s="19"/>
      <c r="C720" s="19"/>
      <c r="D720" s="19"/>
      <c r="E720" s="19"/>
      <c r="F720" s="19"/>
      <c r="G720" s="19"/>
      <c r="H720" s="19"/>
      <c r="I720" s="19"/>
      <c r="J720" s="247"/>
    </row>
    <row r="721">
      <c r="A721" s="19"/>
      <c r="C721" s="19"/>
      <c r="D721" s="19"/>
      <c r="E721" s="19"/>
      <c r="F721" s="19"/>
      <c r="G721" s="19"/>
      <c r="H721" s="19"/>
      <c r="I721" s="19"/>
      <c r="J721" s="247"/>
    </row>
    <row r="722">
      <c r="A722" s="19"/>
      <c r="C722" s="19"/>
      <c r="D722" s="19"/>
      <c r="E722" s="19"/>
      <c r="F722" s="19"/>
      <c r="G722" s="19"/>
      <c r="H722" s="19"/>
      <c r="I722" s="19"/>
      <c r="J722" s="247"/>
    </row>
    <row r="723">
      <c r="A723" s="19"/>
      <c r="C723" s="19"/>
      <c r="D723" s="19"/>
      <c r="E723" s="19"/>
      <c r="F723" s="19"/>
      <c r="G723" s="19"/>
      <c r="H723" s="19"/>
      <c r="I723" s="19"/>
      <c r="J723" s="247"/>
    </row>
    <row r="724">
      <c r="A724" s="19"/>
      <c r="C724" s="19"/>
      <c r="D724" s="19"/>
      <c r="E724" s="19"/>
      <c r="F724" s="19"/>
      <c r="G724" s="19"/>
      <c r="H724" s="19"/>
      <c r="I724" s="19"/>
      <c r="J724" s="247"/>
    </row>
    <row r="725">
      <c r="A725" s="19"/>
      <c r="C725" s="19"/>
      <c r="D725" s="19"/>
      <c r="E725" s="19"/>
      <c r="F725" s="19"/>
      <c r="G725" s="19"/>
      <c r="H725" s="19"/>
      <c r="I725" s="19"/>
      <c r="J725" s="247"/>
    </row>
    <row r="726">
      <c r="A726" s="19"/>
      <c r="C726" s="19"/>
      <c r="D726" s="19"/>
      <c r="E726" s="19"/>
      <c r="F726" s="19"/>
      <c r="G726" s="19"/>
      <c r="H726" s="19"/>
      <c r="I726" s="19"/>
      <c r="J726" s="247"/>
    </row>
    <row r="727">
      <c r="A727" s="19"/>
      <c r="C727" s="19"/>
      <c r="D727" s="19"/>
      <c r="E727" s="19"/>
      <c r="F727" s="19"/>
      <c r="G727" s="19"/>
      <c r="H727" s="19"/>
      <c r="I727" s="19"/>
      <c r="J727" s="247"/>
    </row>
    <row r="728">
      <c r="A728" s="19"/>
      <c r="C728" s="19"/>
      <c r="D728" s="19"/>
      <c r="E728" s="19"/>
      <c r="F728" s="19"/>
      <c r="G728" s="19"/>
      <c r="H728" s="19"/>
      <c r="I728" s="19"/>
      <c r="J728" s="247"/>
    </row>
    <row r="729">
      <c r="A729" s="19"/>
      <c r="C729" s="19"/>
      <c r="D729" s="19"/>
      <c r="E729" s="19"/>
      <c r="F729" s="19"/>
      <c r="G729" s="19"/>
      <c r="H729" s="19"/>
      <c r="I729" s="19"/>
      <c r="J729" s="247"/>
    </row>
    <row r="730">
      <c r="A730" s="19"/>
      <c r="C730" s="19"/>
      <c r="D730" s="19"/>
      <c r="E730" s="19"/>
      <c r="F730" s="19"/>
      <c r="G730" s="19"/>
      <c r="H730" s="19"/>
      <c r="I730" s="19"/>
      <c r="J730" s="247"/>
    </row>
    <row r="731">
      <c r="A731" s="19"/>
      <c r="C731" s="19"/>
      <c r="D731" s="19"/>
      <c r="E731" s="19"/>
      <c r="F731" s="19"/>
      <c r="G731" s="19"/>
      <c r="H731" s="19"/>
      <c r="I731" s="19"/>
      <c r="J731" s="247"/>
    </row>
    <row r="732">
      <c r="A732" s="19"/>
      <c r="C732" s="19"/>
      <c r="D732" s="19"/>
      <c r="E732" s="19"/>
      <c r="F732" s="19"/>
      <c r="G732" s="19"/>
      <c r="H732" s="19"/>
      <c r="I732" s="19"/>
      <c r="J732" s="247"/>
    </row>
    <row r="733">
      <c r="A733" s="19"/>
      <c r="C733" s="19"/>
      <c r="D733" s="19"/>
      <c r="E733" s="19"/>
      <c r="F733" s="19"/>
      <c r="G733" s="19"/>
      <c r="H733" s="19"/>
      <c r="I733" s="19"/>
      <c r="J733" s="247"/>
    </row>
    <row r="734">
      <c r="A734" s="19"/>
      <c r="C734" s="19"/>
      <c r="D734" s="19"/>
      <c r="E734" s="19"/>
      <c r="F734" s="19"/>
      <c r="G734" s="19"/>
      <c r="H734" s="19"/>
      <c r="I734" s="19"/>
      <c r="J734" s="247"/>
    </row>
    <row r="735">
      <c r="A735" s="19"/>
      <c r="C735" s="19"/>
      <c r="D735" s="19"/>
      <c r="E735" s="19"/>
      <c r="F735" s="19"/>
      <c r="G735" s="19"/>
      <c r="H735" s="19"/>
      <c r="I735" s="19"/>
      <c r="J735" s="247"/>
    </row>
    <row r="736">
      <c r="A736" s="19"/>
      <c r="C736" s="19"/>
      <c r="D736" s="19"/>
      <c r="E736" s="19"/>
      <c r="F736" s="19"/>
      <c r="G736" s="19"/>
      <c r="H736" s="19"/>
      <c r="I736" s="19"/>
      <c r="J736" s="247"/>
    </row>
    <row r="737">
      <c r="A737" s="19"/>
      <c r="C737" s="19"/>
      <c r="D737" s="19"/>
      <c r="E737" s="19"/>
      <c r="F737" s="19"/>
      <c r="G737" s="19"/>
      <c r="H737" s="19"/>
      <c r="I737" s="19"/>
      <c r="J737" s="247"/>
    </row>
    <row r="738">
      <c r="A738" s="19"/>
      <c r="C738" s="19"/>
      <c r="D738" s="19"/>
      <c r="E738" s="19"/>
      <c r="F738" s="19"/>
      <c r="G738" s="19"/>
      <c r="H738" s="19"/>
      <c r="I738" s="19"/>
      <c r="J738" s="247"/>
    </row>
    <row r="739">
      <c r="A739" s="19"/>
      <c r="C739" s="19"/>
      <c r="D739" s="19"/>
      <c r="E739" s="19"/>
      <c r="F739" s="19"/>
      <c r="G739" s="19"/>
      <c r="H739" s="19"/>
      <c r="I739" s="19"/>
      <c r="J739" s="247"/>
    </row>
    <row r="740">
      <c r="A740" s="19"/>
      <c r="C740" s="19"/>
      <c r="D740" s="19"/>
      <c r="E740" s="19"/>
      <c r="F740" s="19"/>
      <c r="G740" s="19"/>
      <c r="H740" s="19"/>
      <c r="I740" s="19"/>
      <c r="J740" s="247"/>
    </row>
    <row r="741">
      <c r="A741" s="19"/>
      <c r="C741" s="19"/>
      <c r="D741" s="19"/>
      <c r="E741" s="19"/>
      <c r="F741" s="19"/>
      <c r="G741" s="19"/>
      <c r="H741" s="19"/>
      <c r="I741" s="19"/>
      <c r="J741" s="247"/>
    </row>
    <row r="742">
      <c r="A742" s="19"/>
      <c r="C742" s="19"/>
      <c r="D742" s="19"/>
      <c r="E742" s="19"/>
      <c r="F742" s="19"/>
      <c r="G742" s="19"/>
      <c r="H742" s="19"/>
      <c r="I742" s="19"/>
      <c r="J742" s="247"/>
    </row>
    <row r="743">
      <c r="A743" s="19"/>
      <c r="C743" s="19"/>
      <c r="D743" s="19"/>
      <c r="E743" s="19"/>
      <c r="F743" s="19"/>
      <c r="G743" s="19"/>
      <c r="H743" s="19"/>
      <c r="I743" s="19"/>
      <c r="J743" s="247"/>
    </row>
    <row r="744">
      <c r="A744" s="19"/>
      <c r="C744" s="19"/>
      <c r="D744" s="19"/>
      <c r="E744" s="19"/>
      <c r="F744" s="19"/>
      <c r="G744" s="19"/>
      <c r="H744" s="19"/>
      <c r="I744" s="19"/>
      <c r="J744" s="247"/>
    </row>
    <row r="745">
      <c r="A745" s="19"/>
      <c r="C745" s="19"/>
      <c r="D745" s="19"/>
      <c r="E745" s="19"/>
      <c r="F745" s="19"/>
      <c r="G745" s="19"/>
      <c r="H745" s="19"/>
      <c r="I745" s="19"/>
      <c r="J745" s="247"/>
    </row>
    <row r="746">
      <c r="A746" s="19"/>
      <c r="C746" s="19"/>
      <c r="D746" s="19"/>
      <c r="E746" s="19"/>
      <c r="F746" s="19"/>
      <c r="G746" s="19"/>
      <c r="H746" s="19"/>
      <c r="I746" s="19"/>
      <c r="J746" s="247"/>
    </row>
    <row r="747">
      <c r="A747" s="19"/>
      <c r="C747" s="19"/>
      <c r="D747" s="19"/>
      <c r="E747" s="19"/>
      <c r="F747" s="19"/>
      <c r="G747" s="19"/>
      <c r="H747" s="19"/>
      <c r="I747" s="19"/>
      <c r="J747" s="247"/>
    </row>
    <row r="748">
      <c r="A748" s="19"/>
      <c r="C748" s="19"/>
      <c r="D748" s="19"/>
      <c r="E748" s="19"/>
      <c r="F748" s="19"/>
      <c r="G748" s="19"/>
      <c r="H748" s="19"/>
      <c r="I748" s="19"/>
      <c r="J748" s="247"/>
    </row>
    <row r="749">
      <c r="A749" s="19"/>
      <c r="C749" s="19"/>
      <c r="D749" s="19"/>
      <c r="E749" s="19"/>
      <c r="F749" s="19"/>
      <c r="G749" s="19"/>
      <c r="H749" s="19"/>
      <c r="I749" s="19"/>
      <c r="J749" s="247"/>
    </row>
    <row r="750">
      <c r="A750" s="19"/>
      <c r="C750" s="19"/>
      <c r="D750" s="19"/>
      <c r="E750" s="19"/>
      <c r="F750" s="19"/>
      <c r="G750" s="19"/>
      <c r="H750" s="19"/>
      <c r="I750" s="19"/>
      <c r="J750" s="247"/>
    </row>
    <row r="751">
      <c r="A751" s="19"/>
      <c r="C751" s="19"/>
      <c r="D751" s="19"/>
      <c r="E751" s="19"/>
      <c r="F751" s="19"/>
      <c r="G751" s="19"/>
      <c r="H751" s="19"/>
      <c r="I751" s="19"/>
      <c r="J751" s="247"/>
    </row>
    <row r="752">
      <c r="A752" s="19"/>
      <c r="C752" s="19"/>
      <c r="D752" s="19"/>
      <c r="E752" s="19"/>
      <c r="F752" s="19"/>
      <c r="G752" s="19"/>
      <c r="H752" s="19"/>
      <c r="I752" s="19"/>
      <c r="J752" s="247"/>
    </row>
    <row r="753">
      <c r="A753" s="19"/>
      <c r="C753" s="19"/>
      <c r="D753" s="19"/>
      <c r="E753" s="19"/>
      <c r="F753" s="19"/>
      <c r="G753" s="19"/>
      <c r="H753" s="19"/>
      <c r="I753" s="19"/>
      <c r="J753" s="247"/>
    </row>
    <row r="754">
      <c r="A754" s="19"/>
      <c r="C754" s="19"/>
      <c r="D754" s="19"/>
      <c r="E754" s="19"/>
      <c r="F754" s="19"/>
      <c r="G754" s="19"/>
      <c r="H754" s="19"/>
      <c r="I754" s="19"/>
      <c r="J754" s="247"/>
    </row>
    <row r="755">
      <c r="A755" s="19"/>
      <c r="C755" s="19"/>
      <c r="D755" s="19"/>
      <c r="E755" s="19"/>
      <c r="F755" s="19"/>
      <c r="G755" s="19"/>
      <c r="H755" s="19"/>
      <c r="I755" s="19"/>
      <c r="J755" s="247"/>
    </row>
    <row r="756">
      <c r="A756" s="19"/>
      <c r="C756" s="19"/>
      <c r="D756" s="19"/>
      <c r="E756" s="19"/>
      <c r="F756" s="19"/>
      <c r="G756" s="19"/>
      <c r="H756" s="19"/>
      <c r="I756" s="19"/>
      <c r="J756" s="247"/>
    </row>
    <row r="757">
      <c r="A757" s="19"/>
      <c r="C757" s="19"/>
      <c r="D757" s="19"/>
      <c r="E757" s="19"/>
      <c r="F757" s="19"/>
      <c r="G757" s="19"/>
      <c r="H757" s="19"/>
      <c r="I757" s="19"/>
      <c r="J757" s="247"/>
    </row>
    <row r="758">
      <c r="A758" s="19"/>
      <c r="C758" s="19"/>
      <c r="D758" s="19"/>
      <c r="E758" s="19"/>
      <c r="F758" s="19"/>
      <c r="G758" s="19"/>
      <c r="H758" s="19"/>
      <c r="I758" s="19"/>
      <c r="J758" s="247"/>
    </row>
    <row r="759">
      <c r="A759" s="19"/>
      <c r="C759" s="19"/>
      <c r="D759" s="19"/>
      <c r="E759" s="19"/>
      <c r="F759" s="19"/>
      <c r="G759" s="19"/>
      <c r="H759" s="19"/>
      <c r="I759" s="19"/>
      <c r="J759" s="247"/>
    </row>
    <row r="760">
      <c r="A760" s="19"/>
      <c r="C760" s="19"/>
      <c r="D760" s="19"/>
      <c r="E760" s="19"/>
      <c r="F760" s="19"/>
      <c r="G760" s="19"/>
      <c r="H760" s="19"/>
      <c r="I760" s="19"/>
      <c r="J760" s="247"/>
    </row>
    <row r="761">
      <c r="A761" s="19"/>
      <c r="C761" s="19"/>
      <c r="D761" s="19"/>
      <c r="E761" s="19"/>
      <c r="F761" s="19"/>
      <c r="G761" s="19"/>
      <c r="H761" s="19"/>
      <c r="I761" s="19"/>
      <c r="J761" s="247"/>
    </row>
    <row r="762">
      <c r="A762" s="19"/>
      <c r="C762" s="19"/>
      <c r="D762" s="19"/>
      <c r="E762" s="19"/>
      <c r="F762" s="19"/>
      <c r="G762" s="19"/>
      <c r="H762" s="19"/>
      <c r="I762" s="19"/>
      <c r="J762" s="247"/>
    </row>
    <row r="763">
      <c r="A763" s="19"/>
      <c r="C763" s="19"/>
      <c r="D763" s="19"/>
      <c r="E763" s="19"/>
      <c r="F763" s="19"/>
      <c r="G763" s="19"/>
      <c r="H763" s="19"/>
      <c r="I763" s="19"/>
      <c r="J763" s="247"/>
    </row>
    <row r="764">
      <c r="A764" s="19"/>
      <c r="C764" s="19"/>
      <c r="D764" s="19"/>
      <c r="E764" s="19"/>
      <c r="F764" s="19"/>
      <c r="G764" s="19"/>
      <c r="H764" s="19"/>
      <c r="I764" s="19"/>
      <c r="J764" s="247"/>
    </row>
    <row r="765">
      <c r="A765" s="19"/>
      <c r="C765" s="19"/>
      <c r="D765" s="19"/>
      <c r="E765" s="19"/>
      <c r="F765" s="19"/>
      <c r="G765" s="19"/>
      <c r="H765" s="19"/>
      <c r="I765" s="19"/>
      <c r="J765" s="247"/>
    </row>
    <row r="766">
      <c r="A766" s="19"/>
      <c r="C766" s="19"/>
      <c r="D766" s="19"/>
      <c r="E766" s="19"/>
      <c r="F766" s="19"/>
      <c r="G766" s="19"/>
      <c r="H766" s="19"/>
      <c r="I766" s="19"/>
      <c r="J766" s="247"/>
    </row>
    <row r="767">
      <c r="A767" s="19"/>
      <c r="C767" s="19"/>
      <c r="D767" s="19"/>
      <c r="E767" s="19"/>
      <c r="F767" s="19"/>
      <c r="G767" s="19"/>
      <c r="H767" s="19"/>
      <c r="I767" s="19"/>
      <c r="J767" s="247"/>
    </row>
    <row r="768">
      <c r="A768" s="19"/>
      <c r="C768" s="19"/>
      <c r="D768" s="19"/>
      <c r="E768" s="19"/>
      <c r="F768" s="19"/>
      <c r="G768" s="19"/>
      <c r="H768" s="19"/>
      <c r="I768" s="19"/>
      <c r="J768" s="247"/>
    </row>
    <row r="769">
      <c r="A769" s="19"/>
      <c r="C769" s="19"/>
      <c r="D769" s="19"/>
      <c r="E769" s="19"/>
      <c r="F769" s="19"/>
      <c r="G769" s="19"/>
      <c r="H769" s="19"/>
      <c r="I769" s="19"/>
      <c r="J769" s="247"/>
    </row>
    <row r="770">
      <c r="A770" s="19"/>
      <c r="C770" s="19"/>
      <c r="D770" s="19"/>
      <c r="E770" s="19"/>
      <c r="F770" s="19"/>
      <c r="G770" s="19"/>
      <c r="H770" s="19"/>
      <c r="I770" s="19"/>
      <c r="J770" s="247"/>
    </row>
    <row r="771">
      <c r="A771" s="19"/>
      <c r="C771" s="19"/>
      <c r="D771" s="19"/>
      <c r="E771" s="19"/>
      <c r="F771" s="19"/>
      <c r="G771" s="19"/>
      <c r="H771" s="19"/>
      <c r="I771" s="19"/>
      <c r="J771" s="247"/>
    </row>
    <row r="772">
      <c r="A772" s="19"/>
      <c r="C772" s="19"/>
      <c r="D772" s="19"/>
      <c r="E772" s="19"/>
      <c r="F772" s="19"/>
      <c r="G772" s="19"/>
      <c r="H772" s="19"/>
      <c r="I772" s="19"/>
      <c r="J772" s="247"/>
    </row>
    <row r="773">
      <c r="A773" s="19"/>
      <c r="C773" s="19"/>
      <c r="D773" s="19"/>
      <c r="E773" s="19"/>
      <c r="F773" s="19"/>
      <c r="G773" s="19"/>
      <c r="H773" s="19"/>
      <c r="I773" s="19"/>
      <c r="J773" s="247"/>
    </row>
    <row r="774">
      <c r="A774" s="19"/>
      <c r="C774" s="19"/>
      <c r="D774" s="19"/>
      <c r="E774" s="19"/>
      <c r="F774" s="19"/>
      <c r="G774" s="19"/>
      <c r="H774" s="19"/>
      <c r="I774" s="19"/>
      <c r="J774" s="247"/>
    </row>
    <row r="775">
      <c r="A775" s="19"/>
      <c r="C775" s="19"/>
      <c r="D775" s="19"/>
      <c r="E775" s="19"/>
      <c r="F775" s="19"/>
      <c r="G775" s="19"/>
      <c r="H775" s="19"/>
      <c r="I775" s="19"/>
      <c r="J775" s="247"/>
    </row>
    <row r="776">
      <c r="A776" s="19"/>
      <c r="C776" s="19"/>
      <c r="D776" s="19"/>
      <c r="E776" s="19"/>
      <c r="F776" s="19"/>
      <c r="G776" s="19"/>
      <c r="H776" s="19"/>
      <c r="I776" s="19"/>
      <c r="J776" s="247"/>
    </row>
    <row r="777">
      <c r="A777" s="19"/>
      <c r="C777" s="19"/>
      <c r="D777" s="19"/>
      <c r="E777" s="19"/>
      <c r="F777" s="19"/>
      <c r="G777" s="19"/>
      <c r="H777" s="19"/>
      <c r="I777" s="19"/>
      <c r="J777" s="247"/>
    </row>
    <row r="778">
      <c r="A778" s="19"/>
      <c r="C778" s="19"/>
      <c r="D778" s="19"/>
      <c r="E778" s="19"/>
      <c r="F778" s="19"/>
      <c r="G778" s="19"/>
      <c r="H778" s="19"/>
      <c r="I778" s="19"/>
      <c r="J778" s="247"/>
    </row>
    <row r="779">
      <c r="A779" s="19"/>
      <c r="C779" s="19"/>
      <c r="D779" s="19"/>
      <c r="E779" s="19"/>
      <c r="F779" s="19"/>
      <c r="G779" s="19"/>
      <c r="H779" s="19"/>
      <c r="I779" s="19"/>
      <c r="J779" s="247"/>
    </row>
    <row r="780">
      <c r="A780" s="19"/>
      <c r="C780" s="19"/>
      <c r="D780" s="19"/>
      <c r="E780" s="19"/>
      <c r="F780" s="19"/>
      <c r="G780" s="19"/>
      <c r="H780" s="19"/>
      <c r="I780" s="19"/>
      <c r="J780" s="247"/>
    </row>
    <row r="781">
      <c r="A781" s="19"/>
      <c r="C781" s="19"/>
      <c r="D781" s="19"/>
      <c r="E781" s="19"/>
      <c r="F781" s="19"/>
      <c r="G781" s="19"/>
      <c r="H781" s="19"/>
      <c r="I781" s="19"/>
      <c r="J781" s="247"/>
    </row>
    <row r="782">
      <c r="A782" s="19"/>
      <c r="C782" s="19"/>
      <c r="D782" s="19"/>
      <c r="E782" s="19"/>
      <c r="F782" s="19"/>
      <c r="G782" s="19"/>
      <c r="H782" s="19"/>
      <c r="I782" s="19"/>
      <c r="J782" s="247"/>
    </row>
    <row r="783">
      <c r="A783" s="19"/>
      <c r="C783" s="19"/>
      <c r="D783" s="19"/>
      <c r="E783" s="19"/>
      <c r="F783" s="19"/>
      <c r="G783" s="19"/>
      <c r="H783" s="19"/>
      <c r="I783" s="19"/>
      <c r="J783" s="247"/>
    </row>
    <row r="784">
      <c r="A784" s="19"/>
      <c r="C784" s="19"/>
      <c r="D784" s="19"/>
      <c r="E784" s="19"/>
      <c r="F784" s="19"/>
      <c r="G784" s="19"/>
      <c r="H784" s="19"/>
      <c r="I784" s="19"/>
      <c r="J784" s="247"/>
    </row>
    <row r="785">
      <c r="A785" s="19"/>
      <c r="C785" s="19"/>
      <c r="D785" s="19"/>
      <c r="E785" s="19"/>
      <c r="F785" s="19"/>
      <c r="G785" s="19"/>
      <c r="H785" s="19"/>
      <c r="I785" s="19"/>
      <c r="J785" s="247"/>
    </row>
    <row r="786">
      <c r="A786" s="19"/>
      <c r="C786" s="19"/>
      <c r="D786" s="19"/>
      <c r="E786" s="19"/>
      <c r="F786" s="19"/>
      <c r="G786" s="19"/>
      <c r="H786" s="19"/>
      <c r="I786" s="19"/>
      <c r="J786" s="247"/>
    </row>
    <row r="787">
      <c r="A787" s="19"/>
      <c r="C787" s="19"/>
      <c r="D787" s="19"/>
      <c r="E787" s="19"/>
      <c r="F787" s="19"/>
      <c r="G787" s="19"/>
      <c r="H787" s="19"/>
      <c r="I787" s="19"/>
      <c r="J787" s="247"/>
    </row>
    <row r="788">
      <c r="A788" s="19"/>
      <c r="C788" s="19"/>
      <c r="D788" s="19"/>
      <c r="E788" s="19"/>
      <c r="F788" s="19"/>
      <c r="G788" s="19"/>
      <c r="H788" s="19"/>
      <c r="I788" s="19"/>
      <c r="J788" s="247"/>
    </row>
    <row r="789">
      <c r="A789" s="19"/>
      <c r="C789" s="19"/>
      <c r="D789" s="19"/>
      <c r="E789" s="19"/>
      <c r="F789" s="19"/>
      <c r="G789" s="19"/>
      <c r="H789" s="19"/>
      <c r="I789" s="19"/>
      <c r="J789" s="247"/>
    </row>
    <row r="790">
      <c r="A790" s="19"/>
      <c r="C790" s="19"/>
      <c r="D790" s="19"/>
      <c r="E790" s="19"/>
      <c r="F790" s="19"/>
      <c r="G790" s="19"/>
      <c r="H790" s="19"/>
      <c r="I790" s="19"/>
      <c r="J790" s="247"/>
    </row>
    <row r="791">
      <c r="A791" s="19"/>
      <c r="C791" s="19"/>
      <c r="D791" s="19"/>
      <c r="E791" s="19"/>
      <c r="F791" s="19"/>
      <c r="G791" s="19"/>
      <c r="H791" s="19"/>
      <c r="I791" s="19"/>
      <c r="J791" s="247"/>
    </row>
    <row r="792">
      <c r="A792" s="19"/>
      <c r="C792" s="19"/>
      <c r="D792" s="19"/>
      <c r="E792" s="19"/>
      <c r="F792" s="19"/>
      <c r="G792" s="19"/>
      <c r="H792" s="19"/>
      <c r="I792" s="19"/>
      <c r="J792" s="247"/>
    </row>
    <row r="793">
      <c r="A793" s="19"/>
      <c r="C793" s="19"/>
      <c r="D793" s="19"/>
      <c r="E793" s="19"/>
      <c r="F793" s="19"/>
      <c r="G793" s="19"/>
      <c r="H793" s="19"/>
      <c r="I793" s="19"/>
      <c r="J793" s="247"/>
    </row>
    <row r="794">
      <c r="A794" s="19"/>
      <c r="C794" s="19"/>
      <c r="D794" s="19"/>
      <c r="E794" s="19"/>
      <c r="F794" s="19"/>
      <c r="G794" s="19"/>
      <c r="H794" s="19"/>
      <c r="I794" s="19"/>
      <c r="J794" s="247"/>
    </row>
    <row r="795">
      <c r="A795" s="19"/>
      <c r="C795" s="19"/>
      <c r="D795" s="19"/>
      <c r="E795" s="19"/>
      <c r="F795" s="19"/>
      <c r="G795" s="19"/>
      <c r="H795" s="19"/>
      <c r="I795" s="19"/>
      <c r="J795" s="247"/>
    </row>
    <row r="796">
      <c r="A796" s="19"/>
      <c r="C796" s="19"/>
      <c r="D796" s="19"/>
      <c r="E796" s="19"/>
      <c r="F796" s="19"/>
      <c r="G796" s="19"/>
      <c r="H796" s="19"/>
      <c r="I796" s="19"/>
      <c r="J796" s="247"/>
    </row>
    <row r="797">
      <c r="A797" s="19"/>
      <c r="C797" s="19"/>
      <c r="D797" s="19"/>
      <c r="E797" s="19"/>
      <c r="F797" s="19"/>
      <c r="G797" s="19"/>
      <c r="H797" s="19"/>
      <c r="I797" s="19"/>
      <c r="J797" s="247"/>
    </row>
    <row r="798">
      <c r="A798" s="19"/>
      <c r="C798" s="19"/>
      <c r="D798" s="19"/>
      <c r="E798" s="19"/>
      <c r="F798" s="19"/>
      <c r="G798" s="19"/>
      <c r="H798" s="19"/>
      <c r="I798" s="19"/>
      <c r="J798" s="247"/>
    </row>
    <row r="799">
      <c r="A799" s="19"/>
      <c r="C799" s="19"/>
      <c r="D799" s="19"/>
      <c r="E799" s="19"/>
      <c r="F799" s="19"/>
      <c r="G799" s="19"/>
      <c r="H799" s="19"/>
      <c r="I799" s="19"/>
      <c r="J799" s="247"/>
    </row>
    <row r="800">
      <c r="A800" s="19"/>
      <c r="C800" s="19"/>
      <c r="D800" s="19"/>
      <c r="E800" s="19"/>
      <c r="F800" s="19"/>
      <c r="G800" s="19"/>
      <c r="H800" s="19"/>
      <c r="I800" s="19"/>
      <c r="J800" s="247"/>
    </row>
    <row r="801">
      <c r="A801" s="19"/>
      <c r="C801" s="19"/>
      <c r="D801" s="19"/>
      <c r="E801" s="19"/>
      <c r="F801" s="19"/>
      <c r="G801" s="19"/>
      <c r="H801" s="19"/>
      <c r="I801" s="19"/>
      <c r="J801" s="247"/>
    </row>
    <row r="802">
      <c r="A802" s="19"/>
      <c r="C802" s="19"/>
      <c r="D802" s="19"/>
      <c r="E802" s="19"/>
      <c r="F802" s="19"/>
      <c r="G802" s="19"/>
      <c r="H802" s="19"/>
      <c r="I802" s="19"/>
      <c r="J802" s="247"/>
    </row>
    <row r="803">
      <c r="A803" s="19"/>
      <c r="C803" s="19"/>
      <c r="D803" s="19"/>
      <c r="E803" s="19"/>
      <c r="F803" s="19"/>
      <c r="G803" s="19"/>
      <c r="H803" s="19"/>
      <c r="I803" s="19"/>
      <c r="J803" s="247"/>
    </row>
    <row r="804">
      <c r="A804" s="19"/>
      <c r="C804" s="19"/>
      <c r="D804" s="19"/>
      <c r="E804" s="19"/>
      <c r="F804" s="19"/>
      <c r="G804" s="19"/>
      <c r="H804" s="19"/>
      <c r="I804" s="19"/>
      <c r="J804" s="247"/>
    </row>
    <row r="805">
      <c r="A805" s="19"/>
      <c r="C805" s="19"/>
      <c r="D805" s="19"/>
      <c r="E805" s="19"/>
      <c r="F805" s="19"/>
      <c r="G805" s="19"/>
      <c r="H805" s="19"/>
      <c r="I805" s="19"/>
      <c r="J805" s="247"/>
    </row>
    <row r="806">
      <c r="A806" s="19"/>
      <c r="C806" s="19"/>
      <c r="D806" s="19"/>
      <c r="E806" s="19"/>
      <c r="F806" s="19"/>
      <c r="G806" s="19"/>
      <c r="H806" s="19"/>
      <c r="I806" s="19"/>
      <c r="J806" s="247"/>
    </row>
    <row r="807">
      <c r="A807" s="19"/>
      <c r="C807" s="19"/>
      <c r="D807" s="19"/>
      <c r="E807" s="19"/>
      <c r="F807" s="19"/>
      <c r="G807" s="19"/>
      <c r="H807" s="19"/>
      <c r="I807" s="19"/>
      <c r="J807" s="247"/>
    </row>
    <row r="808">
      <c r="A808" s="19"/>
      <c r="C808" s="19"/>
      <c r="D808" s="19"/>
      <c r="E808" s="19"/>
      <c r="F808" s="19"/>
      <c r="G808" s="19"/>
      <c r="H808" s="19"/>
      <c r="I808" s="19"/>
      <c r="J808" s="247"/>
    </row>
    <row r="809">
      <c r="A809" s="19"/>
      <c r="C809" s="19"/>
      <c r="D809" s="19"/>
      <c r="E809" s="19"/>
      <c r="F809" s="19"/>
      <c r="G809" s="19"/>
      <c r="H809" s="19"/>
      <c r="I809" s="19"/>
      <c r="J809" s="247"/>
    </row>
    <row r="810">
      <c r="A810" s="19"/>
      <c r="C810" s="19"/>
      <c r="D810" s="19"/>
      <c r="E810" s="19"/>
      <c r="F810" s="19"/>
      <c r="G810" s="19"/>
      <c r="H810" s="19"/>
      <c r="I810" s="19"/>
      <c r="J810" s="247"/>
    </row>
    <row r="811">
      <c r="A811" s="19"/>
      <c r="C811" s="19"/>
      <c r="D811" s="19"/>
      <c r="E811" s="19"/>
      <c r="F811" s="19"/>
      <c r="G811" s="19"/>
      <c r="H811" s="19"/>
      <c r="I811" s="19"/>
      <c r="J811" s="247"/>
    </row>
    <row r="812">
      <c r="A812" s="19"/>
      <c r="C812" s="19"/>
      <c r="D812" s="19"/>
      <c r="E812" s="19"/>
      <c r="F812" s="19"/>
      <c r="G812" s="19"/>
      <c r="H812" s="19"/>
      <c r="I812" s="19"/>
      <c r="J812" s="247"/>
    </row>
    <row r="813">
      <c r="A813" s="19"/>
      <c r="C813" s="19"/>
      <c r="D813" s="19"/>
      <c r="E813" s="19"/>
      <c r="F813" s="19"/>
      <c r="G813" s="19"/>
      <c r="H813" s="19"/>
      <c r="I813" s="19"/>
      <c r="J813" s="247"/>
    </row>
    <row r="814">
      <c r="A814" s="19"/>
      <c r="C814" s="19"/>
      <c r="D814" s="19"/>
      <c r="E814" s="19"/>
      <c r="F814" s="19"/>
      <c r="G814" s="19"/>
      <c r="H814" s="19"/>
      <c r="I814" s="19"/>
      <c r="J814" s="247"/>
    </row>
    <row r="815">
      <c r="A815" s="19"/>
      <c r="C815" s="19"/>
      <c r="D815" s="19"/>
      <c r="E815" s="19"/>
      <c r="F815" s="19"/>
      <c r="G815" s="19"/>
      <c r="H815" s="19"/>
      <c r="I815" s="19"/>
      <c r="J815" s="247"/>
    </row>
    <row r="816">
      <c r="A816" s="19"/>
      <c r="C816" s="19"/>
      <c r="D816" s="19"/>
      <c r="E816" s="19"/>
      <c r="F816" s="19"/>
      <c r="G816" s="19"/>
      <c r="H816" s="19"/>
      <c r="I816" s="19"/>
      <c r="J816" s="247"/>
    </row>
    <row r="817">
      <c r="A817" s="19"/>
      <c r="C817" s="19"/>
      <c r="D817" s="19"/>
      <c r="E817" s="19"/>
      <c r="F817" s="19"/>
      <c r="G817" s="19"/>
      <c r="H817" s="19"/>
      <c r="I817" s="19"/>
      <c r="J817" s="247"/>
    </row>
    <row r="818">
      <c r="A818" s="19"/>
      <c r="C818" s="19"/>
      <c r="D818" s="19"/>
      <c r="E818" s="19"/>
      <c r="F818" s="19"/>
      <c r="G818" s="19"/>
      <c r="H818" s="19"/>
      <c r="I818" s="19"/>
      <c r="J818" s="247"/>
    </row>
    <row r="819">
      <c r="A819" s="19"/>
      <c r="C819" s="19"/>
      <c r="D819" s="19"/>
      <c r="E819" s="19"/>
      <c r="F819" s="19"/>
      <c r="G819" s="19"/>
      <c r="H819" s="19"/>
      <c r="I819" s="19"/>
      <c r="J819" s="247"/>
    </row>
    <row r="820">
      <c r="A820" s="19"/>
      <c r="C820" s="19"/>
      <c r="D820" s="19"/>
      <c r="E820" s="19"/>
      <c r="F820" s="19"/>
      <c r="G820" s="19"/>
      <c r="H820" s="19"/>
      <c r="I820" s="19"/>
      <c r="J820" s="247"/>
    </row>
    <row r="821">
      <c r="A821" s="19"/>
      <c r="C821" s="19"/>
      <c r="D821" s="19"/>
      <c r="E821" s="19"/>
      <c r="F821" s="19"/>
      <c r="G821" s="19"/>
      <c r="H821" s="19"/>
      <c r="I821" s="19"/>
      <c r="J821" s="247"/>
    </row>
    <row r="822">
      <c r="A822" s="19"/>
      <c r="C822" s="19"/>
      <c r="D822" s="19"/>
      <c r="E822" s="19"/>
      <c r="F822" s="19"/>
      <c r="G822" s="19"/>
      <c r="H822" s="19"/>
      <c r="I822" s="19"/>
      <c r="J822" s="247"/>
    </row>
    <row r="823">
      <c r="A823" s="19"/>
      <c r="C823" s="19"/>
      <c r="D823" s="19"/>
      <c r="E823" s="19"/>
      <c r="F823" s="19"/>
      <c r="G823" s="19"/>
      <c r="H823" s="19"/>
      <c r="I823" s="19"/>
      <c r="J823" s="247"/>
    </row>
    <row r="824">
      <c r="A824" s="19"/>
      <c r="C824" s="19"/>
      <c r="D824" s="19"/>
      <c r="E824" s="19"/>
      <c r="F824" s="19"/>
      <c r="G824" s="19"/>
      <c r="H824" s="19"/>
      <c r="I824" s="19"/>
      <c r="J824" s="247"/>
    </row>
    <row r="825">
      <c r="A825" s="19"/>
      <c r="C825" s="19"/>
      <c r="D825" s="19"/>
      <c r="E825" s="19"/>
      <c r="F825" s="19"/>
      <c r="G825" s="19"/>
      <c r="H825" s="19"/>
      <c r="I825" s="19"/>
      <c r="J825" s="247"/>
    </row>
    <row r="826">
      <c r="A826" s="19"/>
      <c r="C826" s="19"/>
      <c r="D826" s="19"/>
      <c r="E826" s="19"/>
      <c r="F826" s="19"/>
      <c r="G826" s="19"/>
      <c r="H826" s="19"/>
      <c r="I826" s="19"/>
      <c r="J826" s="247"/>
    </row>
    <row r="827">
      <c r="A827" s="19"/>
      <c r="C827" s="19"/>
      <c r="D827" s="19"/>
      <c r="E827" s="19"/>
      <c r="F827" s="19"/>
      <c r="G827" s="19"/>
      <c r="H827" s="19"/>
      <c r="I827" s="19"/>
      <c r="J827" s="247"/>
    </row>
    <row r="828">
      <c r="A828" s="19"/>
      <c r="C828" s="19"/>
      <c r="D828" s="19"/>
      <c r="E828" s="19"/>
      <c r="F828" s="19"/>
      <c r="G828" s="19"/>
      <c r="H828" s="19"/>
      <c r="I828" s="19"/>
      <c r="J828" s="247"/>
    </row>
    <row r="829">
      <c r="A829" s="19"/>
      <c r="C829" s="19"/>
      <c r="D829" s="19"/>
      <c r="E829" s="19"/>
      <c r="F829" s="19"/>
      <c r="G829" s="19"/>
      <c r="H829" s="19"/>
      <c r="I829" s="19"/>
      <c r="J829" s="247"/>
    </row>
    <row r="830">
      <c r="A830" s="19"/>
      <c r="C830" s="19"/>
      <c r="D830" s="19"/>
      <c r="E830" s="19"/>
      <c r="F830" s="19"/>
      <c r="G830" s="19"/>
      <c r="H830" s="19"/>
      <c r="I830" s="19"/>
      <c r="J830" s="247"/>
    </row>
    <row r="831">
      <c r="A831" s="19"/>
      <c r="C831" s="19"/>
      <c r="D831" s="19"/>
      <c r="E831" s="19"/>
      <c r="F831" s="19"/>
      <c r="G831" s="19"/>
      <c r="H831" s="19"/>
      <c r="I831" s="19"/>
      <c r="J831" s="247"/>
    </row>
    <row r="832">
      <c r="A832" s="19"/>
      <c r="C832" s="19"/>
      <c r="D832" s="19"/>
      <c r="E832" s="19"/>
      <c r="F832" s="19"/>
      <c r="G832" s="19"/>
      <c r="H832" s="19"/>
      <c r="I832" s="19"/>
      <c r="J832" s="247"/>
    </row>
    <row r="833">
      <c r="A833" s="19"/>
      <c r="C833" s="19"/>
      <c r="D833" s="19"/>
      <c r="E833" s="19"/>
      <c r="F833" s="19"/>
      <c r="G833" s="19"/>
      <c r="H833" s="19"/>
      <c r="I833" s="19"/>
      <c r="J833" s="247"/>
    </row>
    <row r="834">
      <c r="A834" s="19"/>
      <c r="C834" s="19"/>
      <c r="D834" s="19"/>
      <c r="E834" s="19"/>
      <c r="F834" s="19"/>
      <c r="G834" s="19"/>
      <c r="H834" s="19"/>
      <c r="I834" s="19"/>
      <c r="J834" s="247"/>
    </row>
    <row r="835">
      <c r="A835" s="19"/>
      <c r="C835" s="19"/>
      <c r="D835" s="19"/>
      <c r="E835" s="19"/>
      <c r="F835" s="19"/>
      <c r="G835" s="19"/>
      <c r="H835" s="19"/>
      <c r="I835" s="19"/>
      <c r="J835" s="247"/>
    </row>
    <row r="836">
      <c r="A836" s="19"/>
      <c r="C836" s="19"/>
      <c r="D836" s="19"/>
      <c r="E836" s="19"/>
      <c r="F836" s="19"/>
      <c r="G836" s="19"/>
      <c r="H836" s="19"/>
      <c r="I836" s="19"/>
      <c r="J836" s="247"/>
    </row>
    <row r="837">
      <c r="A837" s="19"/>
      <c r="C837" s="19"/>
      <c r="D837" s="19"/>
      <c r="E837" s="19"/>
      <c r="F837" s="19"/>
      <c r="G837" s="19"/>
      <c r="H837" s="19"/>
      <c r="I837" s="19"/>
      <c r="J837" s="247"/>
    </row>
    <row r="838">
      <c r="A838" s="19"/>
      <c r="C838" s="19"/>
      <c r="D838" s="19"/>
      <c r="E838" s="19"/>
      <c r="F838" s="19"/>
      <c r="G838" s="19"/>
      <c r="H838" s="19"/>
      <c r="I838" s="19"/>
      <c r="J838" s="247"/>
    </row>
    <row r="839">
      <c r="A839" s="19"/>
      <c r="C839" s="19"/>
      <c r="D839" s="19"/>
      <c r="E839" s="19"/>
      <c r="F839" s="19"/>
      <c r="G839" s="19"/>
      <c r="H839" s="19"/>
      <c r="I839" s="19"/>
      <c r="J839" s="247"/>
    </row>
    <row r="840">
      <c r="A840" s="19"/>
      <c r="C840" s="19"/>
      <c r="D840" s="19"/>
      <c r="E840" s="19"/>
      <c r="F840" s="19"/>
      <c r="G840" s="19"/>
      <c r="H840" s="19"/>
      <c r="I840" s="19"/>
      <c r="J840" s="247"/>
    </row>
    <row r="841">
      <c r="A841" s="19"/>
      <c r="C841" s="19"/>
      <c r="D841" s="19"/>
      <c r="E841" s="19"/>
      <c r="F841" s="19"/>
      <c r="G841" s="19"/>
      <c r="H841" s="19"/>
      <c r="I841" s="19"/>
      <c r="J841" s="247"/>
    </row>
    <row r="842">
      <c r="A842" s="19"/>
      <c r="C842" s="19"/>
      <c r="D842" s="19"/>
      <c r="E842" s="19"/>
      <c r="F842" s="19"/>
      <c r="G842" s="19"/>
      <c r="H842" s="19"/>
      <c r="I842" s="19"/>
      <c r="J842" s="247"/>
    </row>
    <row r="843">
      <c r="A843" s="19"/>
      <c r="C843" s="19"/>
      <c r="D843" s="19"/>
      <c r="E843" s="19"/>
      <c r="F843" s="19"/>
      <c r="G843" s="19"/>
      <c r="H843" s="19"/>
      <c r="I843" s="19"/>
      <c r="J843" s="247"/>
    </row>
    <row r="844">
      <c r="A844" s="19"/>
      <c r="C844" s="19"/>
      <c r="D844" s="19"/>
      <c r="E844" s="19"/>
      <c r="F844" s="19"/>
      <c r="G844" s="19"/>
      <c r="H844" s="19"/>
      <c r="I844" s="19"/>
      <c r="J844" s="247"/>
    </row>
    <row r="845">
      <c r="A845" s="19"/>
      <c r="C845" s="19"/>
      <c r="D845" s="19"/>
      <c r="E845" s="19"/>
      <c r="F845" s="19"/>
      <c r="G845" s="19"/>
      <c r="H845" s="19"/>
      <c r="I845" s="19"/>
      <c r="J845" s="247"/>
    </row>
    <row r="846">
      <c r="A846" s="19"/>
      <c r="C846" s="19"/>
      <c r="D846" s="19"/>
      <c r="E846" s="19"/>
      <c r="F846" s="19"/>
      <c r="G846" s="19"/>
      <c r="H846" s="19"/>
      <c r="I846" s="19"/>
      <c r="J846" s="247"/>
    </row>
    <row r="847">
      <c r="A847" s="19"/>
      <c r="C847" s="19"/>
      <c r="D847" s="19"/>
      <c r="E847" s="19"/>
      <c r="F847" s="19"/>
      <c r="G847" s="19"/>
      <c r="H847" s="19"/>
      <c r="I847" s="19"/>
      <c r="J847" s="247"/>
    </row>
    <row r="848">
      <c r="A848" s="19"/>
      <c r="C848" s="19"/>
      <c r="D848" s="19"/>
      <c r="E848" s="19"/>
      <c r="F848" s="19"/>
      <c r="G848" s="19"/>
      <c r="H848" s="19"/>
      <c r="I848" s="19"/>
      <c r="J848" s="247"/>
    </row>
    <row r="849">
      <c r="A849" s="19"/>
      <c r="C849" s="19"/>
      <c r="D849" s="19"/>
      <c r="E849" s="19"/>
      <c r="F849" s="19"/>
      <c r="G849" s="19"/>
      <c r="H849" s="19"/>
      <c r="I849" s="19"/>
      <c r="J849" s="247"/>
    </row>
    <row r="850">
      <c r="A850" s="19"/>
      <c r="C850" s="19"/>
      <c r="D850" s="19"/>
      <c r="E850" s="19"/>
      <c r="F850" s="19"/>
      <c r="G850" s="19"/>
      <c r="H850" s="19"/>
      <c r="I850" s="19"/>
      <c r="J850" s="247"/>
    </row>
    <row r="851">
      <c r="A851" s="19"/>
      <c r="C851" s="19"/>
      <c r="D851" s="19"/>
      <c r="E851" s="19"/>
      <c r="F851" s="19"/>
      <c r="G851" s="19"/>
      <c r="H851" s="19"/>
      <c r="I851" s="19"/>
      <c r="J851" s="247"/>
    </row>
    <row r="852">
      <c r="A852" s="19"/>
      <c r="C852" s="19"/>
      <c r="D852" s="19"/>
      <c r="E852" s="19"/>
      <c r="F852" s="19"/>
      <c r="G852" s="19"/>
      <c r="H852" s="19"/>
      <c r="I852" s="19"/>
      <c r="J852" s="247"/>
    </row>
    <row r="853">
      <c r="A853" s="19"/>
      <c r="C853" s="19"/>
      <c r="D853" s="19"/>
      <c r="E853" s="19"/>
      <c r="F853" s="19"/>
      <c r="G853" s="19"/>
      <c r="H853" s="19"/>
      <c r="I853" s="19"/>
      <c r="J853" s="247"/>
    </row>
    <row r="854">
      <c r="A854" s="19"/>
      <c r="C854" s="19"/>
      <c r="D854" s="19"/>
      <c r="E854" s="19"/>
      <c r="F854" s="19"/>
      <c r="G854" s="19"/>
      <c r="H854" s="19"/>
      <c r="I854" s="19"/>
      <c r="J854" s="247"/>
    </row>
    <row r="855">
      <c r="A855" s="19"/>
      <c r="C855" s="19"/>
      <c r="D855" s="19"/>
      <c r="E855" s="19"/>
      <c r="F855" s="19"/>
      <c r="G855" s="19"/>
      <c r="H855" s="19"/>
      <c r="I855" s="19"/>
      <c r="J855" s="247"/>
    </row>
    <row r="856">
      <c r="A856" s="19"/>
      <c r="C856" s="19"/>
      <c r="D856" s="19"/>
      <c r="E856" s="19"/>
      <c r="F856" s="19"/>
      <c r="G856" s="19"/>
      <c r="H856" s="19"/>
      <c r="I856" s="19"/>
      <c r="J856" s="247"/>
    </row>
    <row r="857">
      <c r="A857" s="19"/>
      <c r="C857" s="19"/>
      <c r="D857" s="19"/>
      <c r="E857" s="19"/>
      <c r="F857" s="19"/>
      <c r="G857" s="19"/>
      <c r="H857" s="19"/>
      <c r="I857" s="19"/>
      <c r="J857" s="247"/>
    </row>
    <row r="858">
      <c r="A858" s="19"/>
      <c r="C858" s="19"/>
      <c r="D858" s="19"/>
      <c r="E858" s="19"/>
      <c r="F858" s="19"/>
      <c r="G858" s="19"/>
      <c r="H858" s="19"/>
      <c r="I858" s="19"/>
      <c r="J858" s="247"/>
    </row>
    <row r="859">
      <c r="A859" s="19"/>
      <c r="C859" s="19"/>
      <c r="D859" s="19"/>
      <c r="E859" s="19"/>
      <c r="F859" s="19"/>
      <c r="G859" s="19"/>
      <c r="H859" s="19"/>
      <c r="I859" s="19"/>
      <c r="J859" s="247"/>
    </row>
    <row r="860">
      <c r="A860" s="19"/>
      <c r="C860" s="19"/>
      <c r="D860" s="19"/>
      <c r="E860" s="19"/>
      <c r="F860" s="19"/>
      <c r="G860" s="19"/>
      <c r="H860" s="19"/>
      <c r="I860" s="19"/>
      <c r="J860" s="247"/>
    </row>
    <row r="861">
      <c r="A861" s="19"/>
      <c r="C861" s="19"/>
      <c r="D861" s="19"/>
      <c r="E861" s="19"/>
      <c r="F861" s="19"/>
      <c r="G861" s="19"/>
      <c r="H861" s="19"/>
      <c r="I861" s="19"/>
      <c r="J861" s="247"/>
    </row>
    <row r="862">
      <c r="A862" s="19"/>
      <c r="C862" s="19"/>
      <c r="D862" s="19"/>
      <c r="E862" s="19"/>
      <c r="F862" s="19"/>
      <c r="G862" s="19"/>
      <c r="H862" s="19"/>
      <c r="I862" s="19"/>
      <c r="J862" s="247"/>
    </row>
    <row r="863">
      <c r="A863" s="19"/>
      <c r="C863" s="19"/>
      <c r="D863" s="19"/>
      <c r="E863" s="19"/>
      <c r="F863" s="19"/>
      <c r="G863" s="19"/>
      <c r="H863" s="19"/>
      <c r="I863" s="19"/>
      <c r="J863" s="247"/>
    </row>
    <row r="864">
      <c r="A864" s="19"/>
      <c r="C864" s="19"/>
      <c r="D864" s="19"/>
      <c r="E864" s="19"/>
      <c r="F864" s="19"/>
      <c r="G864" s="19"/>
      <c r="H864" s="19"/>
      <c r="I864" s="19"/>
      <c r="J864" s="247"/>
    </row>
    <row r="865">
      <c r="A865" s="19"/>
      <c r="C865" s="19"/>
      <c r="D865" s="19"/>
      <c r="E865" s="19"/>
      <c r="F865" s="19"/>
      <c r="G865" s="19"/>
      <c r="H865" s="19"/>
      <c r="I865" s="19"/>
      <c r="J865" s="247"/>
    </row>
    <row r="866">
      <c r="A866" s="19"/>
      <c r="C866" s="19"/>
      <c r="D866" s="19"/>
      <c r="E866" s="19"/>
      <c r="F866" s="19"/>
      <c r="G866" s="19"/>
      <c r="H866" s="19"/>
      <c r="I866" s="19"/>
      <c r="J866" s="247"/>
    </row>
    <row r="867">
      <c r="A867" s="19"/>
      <c r="C867" s="19"/>
      <c r="D867" s="19"/>
      <c r="E867" s="19"/>
      <c r="F867" s="19"/>
      <c r="G867" s="19"/>
      <c r="H867" s="19"/>
      <c r="I867" s="19"/>
      <c r="J867" s="247"/>
    </row>
    <row r="868">
      <c r="A868" s="19"/>
      <c r="C868" s="19"/>
      <c r="D868" s="19"/>
      <c r="E868" s="19"/>
      <c r="F868" s="19"/>
      <c r="G868" s="19"/>
      <c r="H868" s="19"/>
      <c r="I868" s="19"/>
      <c r="J868" s="247"/>
    </row>
    <row r="869">
      <c r="A869" s="19"/>
      <c r="C869" s="19"/>
      <c r="D869" s="19"/>
      <c r="E869" s="19"/>
      <c r="F869" s="19"/>
      <c r="G869" s="19"/>
      <c r="H869" s="19"/>
      <c r="I869" s="19"/>
      <c r="J869" s="247"/>
    </row>
    <row r="870">
      <c r="A870" s="19"/>
      <c r="C870" s="19"/>
      <c r="D870" s="19"/>
      <c r="E870" s="19"/>
      <c r="F870" s="19"/>
      <c r="G870" s="19"/>
      <c r="H870" s="19"/>
      <c r="I870" s="19"/>
      <c r="J870" s="247"/>
    </row>
    <row r="871">
      <c r="A871" s="19"/>
      <c r="C871" s="19"/>
      <c r="D871" s="19"/>
      <c r="E871" s="19"/>
      <c r="F871" s="19"/>
      <c r="G871" s="19"/>
      <c r="H871" s="19"/>
      <c r="I871" s="19"/>
      <c r="J871" s="247"/>
    </row>
    <row r="872">
      <c r="A872" s="19"/>
      <c r="C872" s="19"/>
      <c r="D872" s="19"/>
      <c r="E872" s="19"/>
      <c r="F872" s="19"/>
      <c r="G872" s="19"/>
      <c r="H872" s="19"/>
      <c r="I872" s="19"/>
      <c r="J872" s="247"/>
    </row>
    <row r="873">
      <c r="A873" s="19"/>
      <c r="C873" s="19"/>
      <c r="D873" s="19"/>
      <c r="E873" s="19"/>
      <c r="F873" s="19"/>
      <c r="G873" s="19"/>
      <c r="H873" s="19"/>
      <c r="I873" s="19"/>
      <c r="J873" s="247"/>
    </row>
    <row r="874">
      <c r="A874" s="19"/>
      <c r="C874" s="19"/>
      <c r="D874" s="19"/>
      <c r="E874" s="19"/>
      <c r="F874" s="19"/>
      <c r="G874" s="19"/>
      <c r="H874" s="19"/>
      <c r="I874" s="19"/>
      <c r="J874" s="247"/>
    </row>
    <row r="875">
      <c r="A875" s="19"/>
      <c r="C875" s="19"/>
      <c r="D875" s="19"/>
      <c r="E875" s="19"/>
      <c r="F875" s="19"/>
      <c r="G875" s="19"/>
      <c r="H875" s="19"/>
      <c r="I875" s="19"/>
      <c r="J875" s="247"/>
    </row>
    <row r="876">
      <c r="A876" s="19"/>
      <c r="C876" s="19"/>
      <c r="D876" s="19"/>
      <c r="E876" s="19"/>
      <c r="F876" s="19"/>
      <c r="G876" s="19"/>
      <c r="H876" s="19"/>
      <c r="I876" s="19"/>
      <c r="J876" s="247"/>
    </row>
    <row r="877">
      <c r="A877" s="19"/>
      <c r="C877" s="19"/>
      <c r="D877" s="19"/>
      <c r="E877" s="19"/>
      <c r="F877" s="19"/>
      <c r="G877" s="19"/>
      <c r="H877" s="19"/>
      <c r="I877" s="19"/>
      <c r="J877" s="247"/>
    </row>
    <row r="878">
      <c r="A878" s="19"/>
      <c r="C878" s="19"/>
      <c r="D878" s="19"/>
      <c r="E878" s="19"/>
      <c r="F878" s="19"/>
      <c r="G878" s="19"/>
      <c r="H878" s="19"/>
      <c r="I878" s="19"/>
      <c r="J878" s="247"/>
    </row>
    <row r="879">
      <c r="A879" s="19"/>
      <c r="C879" s="19"/>
      <c r="D879" s="19"/>
      <c r="E879" s="19"/>
      <c r="F879" s="19"/>
      <c r="G879" s="19"/>
      <c r="H879" s="19"/>
      <c r="I879" s="19"/>
      <c r="J879" s="247"/>
    </row>
    <row r="880">
      <c r="A880" s="19"/>
      <c r="C880" s="19"/>
      <c r="D880" s="19"/>
      <c r="E880" s="19"/>
      <c r="F880" s="19"/>
      <c r="G880" s="19"/>
      <c r="H880" s="19"/>
      <c r="I880" s="19"/>
      <c r="J880" s="247"/>
    </row>
    <row r="881">
      <c r="A881" s="19"/>
      <c r="C881" s="19"/>
      <c r="D881" s="19"/>
      <c r="E881" s="19"/>
      <c r="F881" s="19"/>
      <c r="G881" s="19"/>
      <c r="H881" s="19"/>
      <c r="I881" s="19"/>
      <c r="J881" s="247"/>
    </row>
    <row r="882">
      <c r="A882" s="19"/>
      <c r="C882" s="19"/>
      <c r="D882" s="19"/>
      <c r="E882" s="19"/>
      <c r="F882" s="19"/>
      <c r="G882" s="19"/>
      <c r="H882" s="19"/>
      <c r="I882" s="19"/>
      <c r="J882" s="247"/>
    </row>
    <row r="883">
      <c r="A883" s="19"/>
      <c r="C883" s="19"/>
      <c r="D883" s="19"/>
      <c r="E883" s="19"/>
      <c r="F883" s="19"/>
      <c r="G883" s="19"/>
      <c r="H883" s="19"/>
      <c r="I883" s="19"/>
      <c r="J883" s="247"/>
    </row>
    <row r="884">
      <c r="A884" s="19"/>
      <c r="C884" s="19"/>
      <c r="D884" s="19"/>
      <c r="E884" s="19"/>
      <c r="F884" s="19"/>
      <c r="G884" s="19"/>
      <c r="H884" s="19"/>
      <c r="I884" s="19"/>
      <c r="J884" s="247"/>
    </row>
    <row r="885">
      <c r="A885" s="19"/>
      <c r="C885" s="19"/>
      <c r="D885" s="19"/>
      <c r="E885" s="19"/>
      <c r="F885" s="19"/>
      <c r="G885" s="19"/>
      <c r="H885" s="19"/>
      <c r="I885" s="19"/>
      <c r="J885" s="247"/>
    </row>
    <row r="886">
      <c r="A886" s="19"/>
      <c r="C886" s="19"/>
      <c r="D886" s="19"/>
      <c r="E886" s="19"/>
      <c r="F886" s="19"/>
      <c r="G886" s="19"/>
      <c r="H886" s="19"/>
      <c r="I886" s="19"/>
      <c r="J886" s="247"/>
    </row>
    <row r="887">
      <c r="A887" s="19"/>
      <c r="C887" s="19"/>
      <c r="D887" s="19"/>
      <c r="E887" s="19"/>
      <c r="F887" s="19"/>
      <c r="G887" s="19"/>
      <c r="H887" s="19"/>
      <c r="I887" s="19"/>
      <c r="J887" s="247"/>
    </row>
    <row r="888">
      <c r="A888" s="19"/>
      <c r="C888" s="19"/>
      <c r="D888" s="19"/>
      <c r="E888" s="19"/>
      <c r="F888" s="19"/>
      <c r="G888" s="19"/>
      <c r="H888" s="19"/>
      <c r="I888" s="19"/>
      <c r="J888" s="247"/>
    </row>
    <row r="889">
      <c r="A889" s="19"/>
      <c r="C889" s="19"/>
      <c r="D889" s="19"/>
      <c r="E889" s="19"/>
      <c r="F889" s="19"/>
      <c r="G889" s="19"/>
      <c r="H889" s="19"/>
      <c r="I889" s="19"/>
      <c r="J889" s="247"/>
    </row>
    <row r="890">
      <c r="A890" s="19"/>
      <c r="C890" s="19"/>
      <c r="D890" s="19"/>
      <c r="E890" s="19"/>
      <c r="F890" s="19"/>
      <c r="G890" s="19"/>
      <c r="H890" s="19"/>
      <c r="I890" s="19"/>
      <c r="J890" s="247"/>
    </row>
    <row r="891">
      <c r="A891" s="19"/>
      <c r="C891" s="19"/>
      <c r="D891" s="19"/>
      <c r="E891" s="19"/>
      <c r="F891" s="19"/>
      <c r="G891" s="19"/>
      <c r="H891" s="19"/>
      <c r="I891" s="19"/>
      <c r="J891" s="247"/>
    </row>
    <row r="892">
      <c r="A892" s="19"/>
      <c r="C892" s="19"/>
      <c r="D892" s="19"/>
      <c r="E892" s="19"/>
      <c r="F892" s="19"/>
      <c r="G892" s="19"/>
      <c r="H892" s="19"/>
      <c r="I892" s="19"/>
      <c r="J892" s="247"/>
    </row>
    <row r="893">
      <c r="A893" s="19"/>
      <c r="C893" s="19"/>
      <c r="D893" s="19"/>
      <c r="E893" s="19"/>
      <c r="F893" s="19"/>
      <c r="G893" s="19"/>
      <c r="H893" s="19"/>
      <c r="I893" s="19"/>
      <c r="J893" s="247"/>
    </row>
    <row r="894">
      <c r="A894" s="19"/>
      <c r="C894" s="19"/>
      <c r="D894" s="19"/>
      <c r="E894" s="19"/>
      <c r="F894" s="19"/>
      <c r="G894" s="19"/>
      <c r="H894" s="19"/>
      <c r="I894" s="19"/>
      <c r="J894" s="247"/>
    </row>
    <row r="895">
      <c r="A895" s="19"/>
      <c r="C895" s="19"/>
      <c r="D895" s="19"/>
      <c r="E895" s="19"/>
      <c r="F895" s="19"/>
      <c r="G895" s="19"/>
      <c r="H895" s="19"/>
      <c r="I895" s="19"/>
      <c r="J895" s="247"/>
    </row>
    <row r="896">
      <c r="A896" s="19"/>
      <c r="C896" s="19"/>
      <c r="D896" s="19"/>
      <c r="E896" s="19"/>
      <c r="F896" s="19"/>
      <c r="G896" s="19"/>
      <c r="H896" s="19"/>
      <c r="I896" s="19"/>
      <c r="J896" s="247"/>
    </row>
    <row r="897">
      <c r="A897" s="19"/>
      <c r="C897" s="19"/>
      <c r="D897" s="19"/>
      <c r="E897" s="19"/>
      <c r="F897" s="19"/>
      <c r="G897" s="19"/>
      <c r="H897" s="19"/>
      <c r="I897" s="19"/>
      <c r="J897" s="247"/>
    </row>
    <row r="898">
      <c r="A898" s="19"/>
      <c r="C898" s="19"/>
      <c r="D898" s="19"/>
      <c r="E898" s="19"/>
      <c r="F898" s="19"/>
      <c r="G898" s="19"/>
      <c r="H898" s="19"/>
      <c r="I898" s="19"/>
      <c r="J898" s="247"/>
    </row>
    <row r="899">
      <c r="A899" s="19"/>
      <c r="C899" s="19"/>
      <c r="D899" s="19"/>
      <c r="E899" s="19"/>
      <c r="F899" s="19"/>
      <c r="G899" s="19"/>
      <c r="H899" s="19"/>
      <c r="I899" s="19"/>
      <c r="J899" s="247"/>
    </row>
    <row r="900">
      <c r="A900" s="19"/>
      <c r="C900" s="19"/>
      <c r="D900" s="19"/>
      <c r="E900" s="19"/>
      <c r="F900" s="19"/>
      <c r="G900" s="19"/>
      <c r="H900" s="19"/>
      <c r="I900" s="19"/>
      <c r="J900" s="247"/>
    </row>
    <row r="901">
      <c r="A901" s="19"/>
      <c r="C901" s="19"/>
      <c r="D901" s="19"/>
      <c r="E901" s="19"/>
      <c r="F901" s="19"/>
      <c r="G901" s="19"/>
      <c r="H901" s="19"/>
      <c r="I901" s="19"/>
      <c r="J901" s="247"/>
    </row>
    <row r="902">
      <c r="A902" s="19"/>
      <c r="C902" s="19"/>
      <c r="D902" s="19"/>
      <c r="E902" s="19"/>
      <c r="F902" s="19"/>
      <c r="G902" s="19"/>
      <c r="H902" s="19"/>
      <c r="I902" s="19"/>
      <c r="J902" s="247"/>
    </row>
    <row r="903">
      <c r="A903" s="19"/>
      <c r="C903" s="19"/>
      <c r="D903" s="19"/>
      <c r="E903" s="19"/>
      <c r="F903" s="19"/>
      <c r="G903" s="19"/>
      <c r="H903" s="19"/>
      <c r="I903" s="19"/>
      <c r="J903" s="247"/>
    </row>
    <row r="904">
      <c r="A904" s="19"/>
      <c r="C904" s="19"/>
      <c r="D904" s="19"/>
      <c r="E904" s="19"/>
      <c r="F904" s="19"/>
      <c r="G904" s="19"/>
      <c r="H904" s="19"/>
      <c r="I904" s="19"/>
      <c r="J904" s="247"/>
    </row>
    <row r="905">
      <c r="A905" s="19"/>
      <c r="C905" s="19"/>
      <c r="D905" s="19"/>
      <c r="E905" s="19"/>
      <c r="F905" s="19"/>
      <c r="G905" s="19"/>
      <c r="H905" s="19"/>
      <c r="I905" s="19"/>
      <c r="J905" s="247"/>
    </row>
    <row r="906">
      <c r="A906" s="19"/>
      <c r="C906" s="19"/>
      <c r="D906" s="19"/>
      <c r="E906" s="19"/>
      <c r="F906" s="19"/>
      <c r="G906" s="19"/>
      <c r="H906" s="19"/>
      <c r="I906" s="19"/>
      <c r="J906" s="247"/>
    </row>
    <row r="907">
      <c r="A907" s="19"/>
      <c r="C907" s="19"/>
      <c r="D907" s="19"/>
      <c r="E907" s="19"/>
      <c r="F907" s="19"/>
      <c r="G907" s="19"/>
      <c r="H907" s="19"/>
      <c r="I907" s="19"/>
      <c r="J907" s="247"/>
    </row>
    <row r="908">
      <c r="A908" s="19"/>
      <c r="C908" s="19"/>
      <c r="D908" s="19"/>
      <c r="E908" s="19"/>
      <c r="F908" s="19"/>
      <c r="G908" s="19"/>
      <c r="H908" s="19"/>
      <c r="I908" s="19"/>
      <c r="J908" s="247"/>
    </row>
    <row r="909">
      <c r="A909" s="19"/>
      <c r="C909" s="19"/>
      <c r="D909" s="19"/>
      <c r="E909" s="19"/>
      <c r="F909" s="19"/>
      <c r="G909" s="19"/>
      <c r="H909" s="19"/>
      <c r="I909" s="19"/>
      <c r="J909" s="247"/>
    </row>
    <row r="910">
      <c r="A910" s="19"/>
      <c r="C910" s="19"/>
      <c r="D910" s="19"/>
      <c r="E910" s="19"/>
      <c r="F910" s="19"/>
      <c r="G910" s="19"/>
      <c r="H910" s="19"/>
      <c r="I910" s="19"/>
      <c r="J910" s="247"/>
    </row>
    <row r="911">
      <c r="A911" s="19"/>
      <c r="C911" s="19"/>
      <c r="D911" s="19"/>
      <c r="E911" s="19"/>
      <c r="F911" s="19"/>
      <c r="G911" s="19"/>
      <c r="H911" s="19"/>
      <c r="I911" s="19"/>
      <c r="J911" s="247"/>
    </row>
    <row r="912">
      <c r="A912" s="19"/>
      <c r="C912" s="19"/>
      <c r="D912" s="19"/>
      <c r="E912" s="19"/>
      <c r="F912" s="19"/>
      <c r="G912" s="19"/>
      <c r="H912" s="19"/>
      <c r="I912" s="19"/>
      <c r="J912" s="247"/>
    </row>
    <row r="913">
      <c r="A913" s="19"/>
      <c r="C913" s="19"/>
      <c r="D913" s="19"/>
      <c r="E913" s="19"/>
      <c r="F913" s="19"/>
      <c r="G913" s="19"/>
      <c r="H913" s="19"/>
      <c r="I913" s="19"/>
      <c r="J913" s="247"/>
    </row>
    <row r="914">
      <c r="A914" s="19"/>
      <c r="C914" s="19"/>
      <c r="D914" s="19"/>
      <c r="E914" s="19"/>
      <c r="F914" s="19"/>
      <c r="G914" s="19"/>
      <c r="H914" s="19"/>
      <c r="I914" s="19"/>
      <c r="J914" s="247"/>
    </row>
    <row r="915">
      <c r="A915" s="19"/>
      <c r="C915" s="19"/>
      <c r="D915" s="19"/>
      <c r="E915" s="19"/>
      <c r="F915" s="19"/>
      <c r="G915" s="19"/>
      <c r="H915" s="19"/>
      <c r="I915" s="19"/>
      <c r="J915" s="247"/>
    </row>
    <row r="916">
      <c r="A916" s="19"/>
      <c r="C916" s="19"/>
      <c r="D916" s="19"/>
      <c r="E916" s="19"/>
      <c r="F916" s="19"/>
      <c r="G916" s="19"/>
      <c r="H916" s="19"/>
      <c r="I916" s="19"/>
      <c r="J916" s="247"/>
    </row>
    <row r="917">
      <c r="A917" s="19"/>
      <c r="C917" s="19"/>
      <c r="D917" s="19"/>
      <c r="E917" s="19"/>
      <c r="F917" s="19"/>
      <c r="G917" s="19"/>
      <c r="H917" s="19"/>
      <c r="I917" s="19"/>
      <c r="J917" s="247"/>
    </row>
    <row r="918">
      <c r="A918" s="19"/>
      <c r="C918" s="19"/>
      <c r="D918" s="19"/>
      <c r="E918" s="19"/>
      <c r="F918" s="19"/>
      <c r="G918" s="19"/>
      <c r="H918" s="19"/>
      <c r="I918" s="19"/>
      <c r="J918" s="247"/>
    </row>
    <row r="919">
      <c r="A919" s="19"/>
      <c r="C919" s="19"/>
      <c r="D919" s="19"/>
      <c r="E919" s="19"/>
      <c r="F919" s="19"/>
      <c r="G919" s="19"/>
      <c r="H919" s="19"/>
      <c r="I919" s="19"/>
      <c r="J919" s="247"/>
    </row>
    <row r="920">
      <c r="A920" s="19"/>
      <c r="C920" s="19"/>
      <c r="D920" s="19"/>
      <c r="E920" s="19"/>
      <c r="F920" s="19"/>
      <c r="G920" s="19"/>
      <c r="H920" s="19"/>
      <c r="I920" s="19"/>
      <c r="J920" s="247"/>
    </row>
    <row r="921">
      <c r="A921" s="19"/>
      <c r="C921" s="19"/>
      <c r="D921" s="19"/>
      <c r="E921" s="19"/>
      <c r="F921" s="19"/>
      <c r="G921" s="19"/>
      <c r="H921" s="19"/>
      <c r="I921" s="19"/>
      <c r="J921" s="247"/>
    </row>
    <row r="922">
      <c r="A922" s="19"/>
      <c r="C922" s="19"/>
      <c r="D922" s="19"/>
      <c r="E922" s="19"/>
      <c r="F922" s="19"/>
      <c r="G922" s="19"/>
      <c r="H922" s="19"/>
      <c r="I922" s="19"/>
      <c r="J922" s="247"/>
    </row>
    <row r="923">
      <c r="A923" s="19"/>
      <c r="C923" s="19"/>
      <c r="D923" s="19"/>
      <c r="E923" s="19"/>
      <c r="F923" s="19"/>
      <c r="G923" s="19"/>
      <c r="H923" s="19"/>
      <c r="I923" s="19"/>
      <c r="J923" s="247"/>
    </row>
    <row r="924">
      <c r="A924" s="19"/>
      <c r="C924" s="19"/>
      <c r="D924" s="19"/>
      <c r="E924" s="19"/>
      <c r="F924" s="19"/>
      <c r="G924" s="19"/>
      <c r="H924" s="19"/>
      <c r="I924" s="19"/>
      <c r="J924" s="247"/>
    </row>
    <row r="925">
      <c r="A925" s="19"/>
      <c r="C925" s="19"/>
      <c r="D925" s="19"/>
      <c r="E925" s="19"/>
      <c r="F925" s="19"/>
      <c r="G925" s="19"/>
      <c r="H925" s="19"/>
      <c r="I925" s="19"/>
      <c r="J925" s="247"/>
    </row>
    <row r="926">
      <c r="A926" s="19"/>
      <c r="C926" s="19"/>
      <c r="D926" s="19"/>
      <c r="E926" s="19"/>
      <c r="F926" s="19"/>
      <c r="G926" s="19"/>
      <c r="H926" s="19"/>
      <c r="I926" s="19"/>
      <c r="J926" s="247"/>
    </row>
    <row r="927">
      <c r="A927" s="19"/>
      <c r="C927" s="19"/>
      <c r="D927" s="19"/>
      <c r="E927" s="19"/>
      <c r="F927" s="19"/>
      <c r="G927" s="19"/>
      <c r="H927" s="19"/>
      <c r="I927" s="19"/>
      <c r="J927" s="247"/>
    </row>
    <row r="928">
      <c r="A928" s="19"/>
      <c r="C928" s="19"/>
      <c r="D928" s="19"/>
      <c r="E928" s="19"/>
      <c r="F928" s="19"/>
      <c r="G928" s="19"/>
      <c r="H928" s="19"/>
      <c r="I928" s="19"/>
      <c r="J928" s="247"/>
    </row>
    <row r="929">
      <c r="A929" s="19"/>
      <c r="C929" s="19"/>
      <c r="D929" s="19"/>
      <c r="E929" s="19"/>
      <c r="F929" s="19"/>
      <c r="G929" s="19"/>
      <c r="H929" s="19"/>
      <c r="I929" s="19"/>
      <c r="J929" s="247"/>
    </row>
    <row r="930">
      <c r="A930" s="19"/>
      <c r="C930" s="19"/>
      <c r="D930" s="19"/>
      <c r="E930" s="19"/>
      <c r="F930" s="19"/>
      <c r="G930" s="19"/>
      <c r="H930" s="19"/>
      <c r="I930" s="19"/>
      <c r="J930" s="247"/>
    </row>
    <row r="931">
      <c r="A931" s="19"/>
      <c r="C931" s="19"/>
      <c r="D931" s="19"/>
      <c r="E931" s="19"/>
      <c r="F931" s="19"/>
      <c r="G931" s="19"/>
      <c r="H931" s="19"/>
      <c r="I931" s="19"/>
      <c r="J931" s="247"/>
    </row>
    <row r="932">
      <c r="A932" s="19"/>
      <c r="C932" s="19"/>
      <c r="D932" s="19"/>
      <c r="E932" s="19"/>
      <c r="F932" s="19"/>
      <c r="G932" s="19"/>
      <c r="H932" s="19"/>
      <c r="I932" s="19"/>
      <c r="J932" s="247"/>
    </row>
    <row r="933">
      <c r="A933" s="19"/>
      <c r="C933" s="19"/>
      <c r="D933" s="19"/>
      <c r="E933" s="19"/>
      <c r="F933" s="19"/>
      <c r="G933" s="19"/>
      <c r="H933" s="19"/>
      <c r="I933" s="19"/>
      <c r="J933" s="247"/>
    </row>
    <row r="934">
      <c r="A934" s="19"/>
      <c r="C934" s="19"/>
      <c r="D934" s="19"/>
      <c r="E934" s="19"/>
      <c r="F934" s="19"/>
      <c r="G934" s="19"/>
      <c r="H934" s="19"/>
      <c r="I934" s="19"/>
      <c r="J934" s="247"/>
    </row>
    <row r="935">
      <c r="A935" s="19"/>
      <c r="C935" s="19"/>
      <c r="D935" s="19"/>
      <c r="E935" s="19"/>
      <c r="F935" s="19"/>
      <c r="G935" s="19"/>
      <c r="H935" s="19"/>
      <c r="I935" s="19"/>
      <c r="J935" s="247"/>
    </row>
    <row r="936">
      <c r="A936" s="19"/>
      <c r="C936" s="19"/>
      <c r="D936" s="19"/>
      <c r="E936" s="19"/>
      <c r="F936" s="19"/>
      <c r="G936" s="19"/>
      <c r="H936" s="19"/>
      <c r="I936" s="19"/>
      <c r="J936" s="247"/>
    </row>
    <row r="937">
      <c r="A937" s="19"/>
      <c r="C937" s="19"/>
      <c r="D937" s="19"/>
      <c r="E937" s="19"/>
      <c r="F937" s="19"/>
      <c r="G937" s="19"/>
      <c r="H937" s="19"/>
      <c r="I937" s="19"/>
      <c r="J937" s="247"/>
    </row>
    <row r="938">
      <c r="A938" s="19"/>
      <c r="C938" s="19"/>
      <c r="D938" s="19"/>
      <c r="E938" s="19"/>
      <c r="F938" s="19"/>
      <c r="G938" s="19"/>
      <c r="H938" s="19"/>
      <c r="I938" s="19"/>
      <c r="J938" s="247"/>
    </row>
    <row r="939">
      <c r="A939" s="19"/>
      <c r="C939" s="19"/>
      <c r="D939" s="19"/>
      <c r="E939" s="19"/>
      <c r="F939" s="19"/>
      <c r="G939" s="19"/>
      <c r="H939" s="19"/>
      <c r="I939" s="19"/>
      <c r="J939" s="247"/>
    </row>
    <row r="940">
      <c r="A940" s="19"/>
      <c r="C940" s="19"/>
      <c r="D940" s="19"/>
      <c r="E940" s="19"/>
      <c r="F940" s="19"/>
      <c r="G940" s="19"/>
      <c r="H940" s="19"/>
      <c r="I940" s="19"/>
      <c r="J940" s="247"/>
    </row>
    <row r="941">
      <c r="A941" s="19"/>
      <c r="C941" s="19"/>
      <c r="D941" s="19"/>
      <c r="E941" s="19"/>
      <c r="F941" s="19"/>
      <c r="G941" s="19"/>
      <c r="H941" s="19"/>
      <c r="I941" s="19"/>
      <c r="J941" s="247"/>
    </row>
    <row r="942">
      <c r="A942" s="19"/>
      <c r="C942" s="19"/>
      <c r="D942" s="19"/>
      <c r="E942" s="19"/>
      <c r="F942" s="19"/>
      <c r="G942" s="19"/>
      <c r="H942" s="19"/>
      <c r="I942" s="19"/>
      <c r="J942" s="247"/>
    </row>
    <row r="943">
      <c r="A943" s="19"/>
      <c r="C943" s="19"/>
      <c r="D943" s="19"/>
      <c r="E943" s="19"/>
      <c r="F943" s="19"/>
      <c r="G943" s="19"/>
      <c r="H943" s="19"/>
      <c r="I943" s="19"/>
      <c r="J943" s="247"/>
    </row>
    <row r="944">
      <c r="A944" s="19"/>
      <c r="C944" s="19"/>
      <c r="D944" s="19"/>
      <c r="E944" s="19"/>
      <c r="F944" s="19"/>
      <c r="G944" s="19"/>
      <c r="H944" s="19"/>
      <c r="I944" s="19"/>
      <c r="J944" s="247"/>
    </row>
    <row r="945">
      <c r="A945" s="19"/>
      <c r="C945" s="19"/>
      <c r="D945" s="19"/>
      <c r="E945" s="19"/>
      <c r="F945" s="19"/>
      <c r="G945" s="19"/>
      <c r="H945" s="19"/>
      <c r="I945" s="19"/>
      <c r="J945" s="247"/>
    </row>
    <row r="946">
      <c r="A946" s="19"/>
      <c r="C946" s="19"/>
      <c r="D946" s="19"/>
      <c r="E946" s="19"/>
      <c r="F946" s="19"/>
      <c r="G946" s="19"/>
      <c r="H946" s="19"/>
      <c r="I946" s="19"/>
      <c r="J946" s="247"/>
    </row>
    <row r="947">
      <c r="A947" s="19"/>
      <c r="C947" s="19"/>
      <c r="D947" s="19"/>
      <c r="E947" s="19"/>
      <c r="F947" s="19"/>
      <c r="G947" s="19"/>
      <c r="H947" s="19"/>
      <c r="I947" s="19"/>
      <c r="J947" s="247"/>
    </row>
    <row r="948">
      <c r="A948" s="19"/>
      <c r="C948" s="19"/>
      <c r="D948" s="19"/>
      <c r="E948" s="19"/>
      <c r="F948" s="19"/>
      <c r="G948" s="19"/>
      <c r="H948" s="19"/>
      <c r="I948" s="19"/>
      <c r="J948" s="247"/>
    </row>
    <row r="949">
      <c r="A949" s="19"/>
      <c r="C949" s="19"/>
      <c r="D949" s="19"/>
      <c r="E949" s="19"/>
      <c r="F949" s="19"/>
      <c r="G949" s="19"/>
      <c r="H949" s="19"/>
      <c r="I949" s="19"/>
      <c r="J949" s="247"/>
    </row>
    <row r="950">
      <c r="A950" s="19"/>
      <c r="C950" s="19"/>
      <c r="D950" s="19"/>
      <c r="E950" s="19"/>
      <c r="F950" s="19"/>
      <c r="G950" s="19"/>
      <c r="H950" s="19"/>
      <c r="I950" s="19"/>
      <c r="J950" s="247"/>
    </row>
    <row r="951">
      <c r="A951" s="19"/>
      <c r="C951" s="19"/>
      <c r="D951" s="19"/>
      <c r="E951" s="19"/>
      <c r="F951" s="19"/>
      <c r="G951" s="19"/>
      <c r="H951" s="19"/>
      <c r="I951" s="19"/>
      <c r="J951" s="247"/>
    </row>
    <row r="952">
      <c r="A952" s="19"/>
      <c r="C952" s="19"/>
      <c r="D952" s="19"/>
      <c r="E952" s="19"/>
      <c r="F952" s="19"/>
      <c r="G952" s="19"/>
      <c r="H952" s="19"/>
      <c r="I952" s="19"/>
      <c r="J952" s="247"/>
    </row>
    <row r="953">
      <c r="A953" s="19"/>
      <c r="C953" s="19"/>
      <c r="D953" s="19"/>
      <c r="E953" s="19"/>
      <c r="F953" s="19"/>
      <c r="G953" s="19"/>
      <c r="H953" s="19"/>
      <c r="I953" s="19"/>
      <c r="J953" s="247"/>
    </row>
    <row r="954">
      <c r="A954" s="19"/>
      <c r="C954" s="19"/>
      <c r="D954" s="19"/>
      <c r="E954" s="19"/>
      <c r="F954" s="19"/>
      <c r="G954" s="19"/>
      <c r="H954" s="19"/>
      <c r="I954" s="19"/>
      <c r="J954" s="247"/>
    </row>
    <row r="955">
      <c r="A955" s="19"/>
      <c r="C955" s="19"/>
      <c r="D955" s="19"/>
      <c r="E955" s="19"/>
      <c r="F955" s="19"/>
      <c r="G955" s="19"/>
      <c r="H955" s="19"/>
      <c r="I955" s="19"/>
      <c r="J955" s="247"/>
    </row>
    <row r="956">
      <c r="A956" s="19"/>
      <c r="C956" s="19"/>
      <c r="D956" s="19"/>
      <c r="E956" s="19"/>
      <c r="F956" s="19"/>
      <c r="G956" s="19"/>
      <c r="H956" s="19"/>
      <c r="I956" s="19"/>
      <c r="J956" s="247"/>
    </row>
    <row r="957">
      <c r="A957" s="19"/>
      <c r="C957" s="19"/>
      <c r="D957" s="19"/>
      <c r="E957" s="19"/>
      <c r="F957" s="19"/>
      <c r="G957" s="19"/>
      <c r="H957" s="19"/>
      <c r="I957" s="19"/>
      <c r="J957" s="247"/>
    </row>
    <row r="958">
      <c r="A958" s="19"/>
      <c r="C958" s="19"/>
      <c r="D958" s="19"/>
      <c r="E958" s="19"/>
      <c r="F958" s="19"/>
      <c r="G958" s="19"/>
      <c r="H958" s="19"/>
      <c r="I958" s="19"/>
      <c r="J958" s="247"/>
    </row>
    <row r="959">
      <c r="A959" s="19"/>
      <c r="C959" s="19"/>
      <c r="D959" s="19"/>
      <c r="E959" s="19"/>
      <c r="F959" s="19"/>
      <c r="G959" s="19"/>
      <c r="H959" s="19"/>
      <c r="I959" s="19"/>
      <c r="J959" s="247"/>
    </row>
    <row r="960">
      <c r="A960" s="19"/>
      <c r="C960" s="19"/>
      <c r="D960" s="19"/>
      <c r="E960" s="19"/>
      <c r="F960" s="19"/>
      <c r="G960" s="19"/>
      <c r="H960" s="19"/>
      <c r="I960" s="19"/>
      <c r="J960" s="247"/>
    </row>
    <row r="961">
      <c r="A961" s="19"/>
      <c r="C961" s="19"/>
      <c r="D961" s="19"/>
      <c r="E961" s="19"/>
      <c r="F961" s="19"/>
      <c r="G961" s="19"/>
      <c r="H961" s="19"/>
      <c r="I961" s="19"/>
      <c r="J961" s="247"/>
    </row>
    <row r="962">
      <c r="A962" s="19"/>
      <c r="C962" s="19"/>
      <c r="D962" s="19"/>
      <c r="E962" s="19"/>
      <c r="F962" s="19"/>
      <c r="G962" s="19"/>
      <c r="H962" s="19"/>
      <c r="I962" s="19"/>
      <c r="J962" s="247"/>
    </row>
    <row r="963">
      <c r="A963" s="19"/>
      <c r="C963" s="19"/>
      <c r="D963" s="19"/>
      <c r="E963" s="19"/>
      <c r="F963" s="19"/>
      <c r="G963" s="19"/>
      <c r="H963" s="19"/>
      <c r="I963" s="19"/>
      <c r="J963" s="247"/>
    </row>
    <row r="964">
      <c r="A964" s="19"/>
      <c r="C964" s="19"/>
      <c r="D964" s="19"/>
      <c r="E964" s="19"/>
      <c r="F964" s="19"/>
      <c r="G964" s="19"/>
      <c r="H964" s="19"/>
      <c r="I964" s="19"/>
      <c r="J964" s="247"/>
    </row>
    <row r="965">
      <c r="A965" s="19"/>
      <c r="C965" s="19"/>
      <c r="D965" s="19"/>
      <c r="E965" s="19"/>
      <c r="F965" s="19"/>
      <c r="G965" s="19"/>
      <c r="H965" s="19"/>
      <c r="I965" s="19"/>
      <c r="J965" s="247"/>
    </row>
    <row r="966">
      <c r="A966" s="19"/>
      <c r="C966" s="19"/>
      <c r="D966" s="19"/>
      <c r="E966" s="19"/>
      <c r="F966" s="19"/>
      <c r="G966" s="19"/>
      <c r="H966" s="19"/>
      <c r="I966" s="19"/>
      <c r="J966" s="247"/>
    </row>
    <row r="967">
      <c r="A967" s="19"/>
      <c r="C967" s="19"/>
      <c r="D967" s="19"/>
      <c r="E967" s="19"/>
      <c r="F967" s="19"/>
      <c r="G967" s="19"/>
      <c r="H967" s="19"/>
      <c r="I967" s="19"/>
      <c r="J967" s="247"/>
    </row>
    <row r="968">
      <c r="A968" s="19"/>
      <c r="C968" s="19"/>
      <c r="D968" s="19"/>
      <c r="E968" s="19"/>
      <c r="F968" s="19"/>
      <c r="G968" s="19"/>
      <c r="H968" s="19"/>
      <c r="I968" s="19"/>
      <c r="J968" s="247"/>
    </row>
    <row r="969">
      <c r="A969" s="19"/>
      <c r="C969" s="19"/>
      <c r="D969" s="19"/>
      <c r="E969" s="19"/>
      <c r="F969" s="19"/>
      <c r="G969" s="19"/>
      <c r="H969" s="19"/>
      <c r="I969" s="19"/>
      <c r="J969" s="247"/>
    </row>
    <row r="970">
      <c r="A970" s="19"/>
      <c r="C970" s="19"/>
      <c r="D970" s="19"/>
      <c r="E970" s="19"/>
      <c r="F970" s="19"/>
      <c r="G970" s="19"/>
      <c r="H970" s="19"/>
      <c r="I970" s="19"/>
      <c r="J970" s="247"/>
    </row>
    <row r="971">
      <c r="A971" s="19"/>
      <c r="C971" s="19"/>
      <c r="D971" s="19"/>
      <c r="E971" s="19"/>
      <c r="F971" s="19"/>
      <c r="G971" s="19"/>
      <c r="H971" s="19"/>
      <c r="I971" s="19"/>
      <c r="J971" s="247"/>
    </row>
    <row r="972">
      <c r="A972" s="19"/>
      <c r="C972" s="19"/>
      <c r="D972" s="19"/>
      <c r="E972" s="19"/>
      <c r="F972" s="19"/>
      <c r="G972" s="19"/>
      <c r="H972" s="19"/>
      <c r="I972" s="19"/>
      <c r="J972" s="247"/>
    </row>
    <row r="973">
      <c r="A973" s="19"/>
      <c r="C973" s="19"/>
      <c r="D973" s="19"/>
      <c r="E973" s="19"/>
      <c r="F973" s="19"/>
      <c r="G973" s="19"/>
      <c r="H973" s="19"/>
      <c r="I973" s="19"/>
      <c r="J973" s="247"/>
    </row>
    <row r="974">
      <c r="A974" s="19"/>
      <c r="C974" s="19"/>
      <c r="D974" s="19"/>
      <c r="E974" s="19"/>
      <c r="F974" s="19"/>
      <c r="G974" s="19"/>
      <c r="H974" s="19"/>
      <c r="I974" s="19"/>
      <c r="J974" s="247"/>
    </row>
    <row r="975">
      <c r="A975" s="19"/>
      <c r="C975" s="19"/>
      <c r="D975" s="19"/>
      <c r="E975" s="19"/>
      <c r="F975" s="19"/>
      <c r="G975" s="19"/>
      <c r="H975" s="19"/>
      <c r="I975" s="19"/>
      <c r="J975" s="247"/>
    </row>
    <row r="976">
      <c r="A976" s="19"/>
      <c r="C976" s="19"/>
      <c r="D976" s="19"/>
      <c r="E976" s="19"/>
      <c r="F976" s="19"/>
      <c r="G976" s="19"/>
      <c r="H976" s="19"/>
      <c r="I976" s="19"/>
      <c r="J976" s="247"/>
    </row>
    <row r="977">
      <c r="A977" s="19"/>
      <c r="C977" s="19"/>
      <c r="D977" s="19"/>
      <c r="E977" s="19"/>
      <c r="F977" s="19"/>
      <c r="G977" s="19"/>
      <c r="H977" s="19"/>
      <c r="I977" s="19"/>
      <c r="J977" s="247"/>
    </row>
    <row r="978">
      <c r="A978" s="19"/>
      <c r="C978" s="19"/>
      <c r="D978" s="19"/>
      <c r="E978" s="19"/>
      <c r="F978" s="19"/>
      <c r="G978" s="19"/>
      <c r="H978" s="19"/>
      <c r="I978" s="19"/>
      <c r="J978" s="247"/>
    </row>
    <row r="979">
      <c r="A979" s="19"/>
      <c r="C979" s="19"/>
      <c r="D979" s="19"/>
      <c r="E979" s="19"/>
      <c r="F979" s="19"/>
      <c r="G979" s="19"/>
      <c r="H979" s="19"/>
      <c r="I979" s="19"/>
      <c r="J979" s="247"/>
    </row>
    <row r="980">
      <c r="A980" s="19"/>
      <c r="C980" s="19"/>
      <c r="D980" s="19"/>
      <c r="E980" s="19"/>
      <c r="F980" s="19"/>
      <c r="G980" s="19"/>
      <c r="H980" s="19"/>
      <c r="I980" s="19"/>
      <c r="J980" s="247"/>
    </row>
    <row r="981">
      <c r="A981" s="19"/>
      <c r="C981" s="19"/>
      <c r="D981" s="19"/>
      <c r="E981" s="19"/>
      <c r="F981" s="19"/>
      <c r="G981" s="19"/>
      <c r="H981" s="19"/>
      <c r="I981" s="19"/>
      <c r="J981" s="247"/>
    </row>
    <row r="982">
      <c r="A982" s="19"/>
      <c r="C982" s="19"/>
      <c r="D982" s="19"/>
      <c r="E982" s="19"/>
      <c r="F982" s="19"/>
      <c r="G982" s="19"/>
      <c r="H982" s="19"/>
      <c r="I982" s="19"/>
      <c r="J982" s="247"/>
    </row>
    <row r="983">
      <c r="A983" s="19"/>
      <c r="C983" s="19"/>
      <c r="D983" s="19"/>
      <c r="E983" s="19"/>
      <c r="F983" s="19"/>
      <c r="G983" s="19"/>
      <c r="H983" s="19"/>
      <c r="I983" s="19"/>
      <c r="J983" s="247"/>
    </row>
    <row r="984">
      <c r="A984" s="19"/>
      <c r="C984" s="19"/>
      <c r="D984" s="19"/>
      <c r="E984" s="19"/>
      <c r="F984" s="19"/>
      <c r="G984" s="19"/>
      <c r="H984" s="19"/>
      <c r="I984" s="19"/>
      <c r="J984" s="247"/>
    </row>
    <row r="985">
      <c r="A985" s="19"/>
      <c r="C985" s="19"/>
      <c r="D985" s="19"/>
      <c r="E985" s="19"/>
      <c r="F985" s="19"/>
      <c r="G985" s="19"/>
      <c r="H985" s="19"/>
      <c r="I985" s="19"/>
      <c r="J985" s="247"/>
    </row>
    <row r="986">
      <c r="A986" s="19"/>
      <c r="C986" s="19"/>
      <c r="D986" s="19"/>
      <c r="E986" s="19"/>
      <c r="F986" s="19"/>
      <c r="G986" s="19"/>
      <c r="H986" s="19"/>
      <c r="I986" s="19"/>
      <c r="J986" s="247"/>
    </row>
    <row r="987">
      <c r="A987" s="19"/>
      <c r="C987" s="19"/>
      <c r="D987" s="19"/>
      <c r="E987" s="19"/>
      <c r="F987" s="19"/>
      <c r="G987" s="19"/>
      <c r="H987" s="19"/>
      <c r="I987" s="19"/>
      <c r="J987" s="247"/>
    </row>
    <row r="988">
      <c r="A988" s="19"/>
      <c r="C988" s="19"/>
      <c r="D988" s="19"/>
      <c r="E988" s="19"/>
      <c r="F988" s="19"/>
      <c r="G988" s="19"/>
      <c r="H988" s="19"/>
      <c r="I988" s="19"/>
      <c r="J988" s="247"/>
    </row>
    <row r="989">
      <c r="A989" s="19"/>
      <c r="C989" s="19"/>
      <c r="D989" s="19"/>
      <c r="E989" s="19"/>
      <c r="F989" s="19"/>
      <c r="G989" s="19"/>
      <c r="H989" s="19"/>
      <c r="I989" s="19"/>
      <c r="J989" s="247"/>
    </row>
    <row r="990">
      <c r="A990" s="19"/>
      <c r="C990" s="19"/>
      <c r="D990" s="19"/>
      <c r="E990" s="19"/>
      <c r="F990" s="19"/>
      <c r="G990" s="19"/>
      <c r="H990" s="19"/>
      <c r="I990" s="19"/>
      <c r="J990" s="247"/>
    </row>
    <row r="991">
      <c r="A991" s="19"/>
      <c r="C991" s="19"/>
      <c r="D991" s="19"/>
      <c r="E991" s="19"/>
      <c r="F991" s="19"/>
      <c r="G991" s="19"/>
      <c r="H991" s="19"/>
      <c r="I991" s="19"/>
      <c r="J991" s="247"/>
    </row>
    <row r="992">
      <c r="A992" s="19"/>
      <c r="C992" s="19"/>
      <c r="D992" s="19"/>
      <c r="E992" s="19"/>
      <c r="F992" s="19"/>
      <c r="G992" s="19"/>
      <c r="H992" s="19"/>
      <c r="I992" s="19"/>
      <c r="J992" s="247"/>
    </row>
    <row r="993">
      <c r="A993" s="19"/>
      <c r="C993" s="19"/>
      <c r="D993" s="19"/>
      <c r="E993" s="19"/>
      <c r="F993" s="19"/>
      <c r="G993" s="19"/>
      <c r="H993" s="19"/>
      <c r="I993" s="19"/>
      <c r="J993" s="247"/>
    </row>
    <row r="994">
      <c r="A994" s="19"/>
      <c r="C994" s="19"/>
      <c r="D994" s="19"/>
      <c r="E994" s="19"/>
      <c r="F994" s="19"/>
      <c r="G994" s="19"/>
      <c r="H994" s="19"/>
      <c r="I994" s="19"/>
      <c r="J994" s="247"/>
    </row>
    <row r="995">
      <c r="A995" s="19"/>
      <c r="C995" s="19"/>
      <c r="D995" s="19"/>
      <c r="E995" s="19"/>
      <c r="F995" s="19"/>
      <c r="G995" s="19"/>
      <c r="H995" s="19"/>
      <c r="I995" s="19"/>
      <c r="J995" s="247"/>
    </row>
    <row r="996">
      <c r="A996" s="19"/>
      <c r="C996" s="19"/>
      <c r="D996" s="19"/>
      <c r="E996" s="19"/>
      <c r="F996" s="19"/>
      <c r="G996" s="19"/>
      <c r="H996" s="19"/>
      <c r="I996" s="19"/>
      <c r="J996" s="247"/>
    </row>
    <row r="997">
      <c r="A997" s="19"/>
      <c r="C997" s="19"/>
      <c r="D997" s="19"/>
      <c r="E997" s="19"/>
      <c r="F997" s="19"/>
      <c r="G997" s="19"/>
      <c r="H997" s="19"/>
      <c r="I997" s="19"/>
      <c r="J997" s="247"/>
    </row>
    <row r="998">
      <c r="A998" s="19"/>
      <c r="C998" s="19"/>
      <c r="D998" s="19"/>
      <c r="E998" s="19"/>
      <c r="F998" s="19"/>
      <c r="G998" s="19"/>
      <c r="H998" s="19"/>
      <c r="I998" s="19"/>
      <c r="J998" s="247"/>
    </row>
    <row r="999">
      <c r="A999" s="19"/>
      <c r="C999" s="19"/>
      <c r="D999" s="19"/>
      <c r="E999" s="19"/>
      <c r="F999" s="19"/>
      <c r="G999" s="19"/>
      <c r="H999" s="19"/>
      <c r="I999" s="19"/>
      <c r="J999" s="247"/>
    </row>
    <row r="1000">
      <c r="A1000" s="19"/>
      <c r="C1000" s="19"/>
      <c r="D1000" s="19"/>
      <c r="E1000" s="19"/>
      <c r="F1000" s="19"/>
      <c r="G1000" s="19"/>
      <c r="H1000" s="19"/>
      <c r="I1000" s="19"/>
      <c r="J1000" s="247"/>
    </row>
    <row r="1001">
      <c r="A1001" s="19"/>
      <c r="C1001" s="19"/>
      <c r="D1001" s="19"/>
      <c r="E1001" s="19"/>
      <c r="F1001" s="19"/>
      <c r="G1001" s="19"/>
      <c r="H1001" s="19"/>
      <c r="I1001" s="19"/>
      <c r="J1001" s="247"/>
    </row>
    <row r="1002">
      <c r="A1002" s="19"/>
      <c r="C1002" s="19"/>
      <c r="D1002" s="19"/>
      <c r="E1002" s="19"/>
      <c r="F1002" s="19"/>
      <c r="G1002" s="19"/>
      <c r="H1002" s="19"/>
      <c r="I1002" s="19"/>
      <c r="J1002" s="247"/>
    </row>
  </sheetData>
  <dataValidations>
    <dataValidation type="list" allowBlank="1" showErrorMessage="1" sqref="C2:G2">
      <formula1>"-------,UX/UI,Backend,Mobile,Frontend,Testing,PM"</formula1>
    </dataValidation>
    <dataValidation type="list" allowBlank="1" showErrorMessage="1" sqref="K6:K11 K13:K17 K19:K23 K25:K30">
      <formula1>"стеджинг,продакшн,сдан, в разработке,Проект отклонен,Клиент отказался,На паузе"</formula1>
    </dataValidation>
  </dataValidation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12.5"/>
    <col customWidth="1" min="4" max="4" width="14.25"/>
    <col customWidth="1" min="6" max="6" width="16.25"/>
  </cols>
  <sheetData>
    <row r="1">
      <c r="A1" s="11">
        <v>1.0</v>
      </c>
      <c r="B1" s="26" t="s">
        <v>238</v>
      </c>
      <c r="C1" s="26" t="s">
        <v>627</v>
      </c>
      <c r="D1" s="26" t="s">
        <v>628</v>
      </c>
      <c r="E1" s="26" t="s">
        <v>629</v>
      </c>
      <c r="F1" s="26" t="s">
        <v>630</v>
      </c>
      <c r="G1" s="26" t="s">
        <v>631</v>
      </c>
      <c r="H1" s="26" t="s">
        <v>249</v>
      </c>
      <c r="I1" s="26" t="s">
        <v>421</v>
      </c>
    </row>
    <row r="2">
      <c r="A2" s="11">
        <v>2.0</v>
      </c>
      <c r="B2" s="11" t="s">
        <v>632</v>
      </c>
      <c r="C2" s="11" t="s">
        <v>0</v>
      </c>
      <c r="D2" s="11" t="s">
        <v>633</v>
      </c>
      <c r="E2" s="7"/>
      <c r="F2" s="7"/>
      <c r="G2" s="7"/>
      <c r="H2" s="7"/>
      <c r="I2" s="7"/>
    </row>
    <row r="3">
      <c r="A3" s="11">
        <v>3.0</v>
      </c>
      <c r="B3" s="11" t="s">
        <v>635</v>
      </c>
      <c r="C3" s="11" t="s">
        <v>100</v>
      </c>
      <c r="D3" s="11" t="s">
        <v>636</v>
      </c>
      <c r="E3" s="7"/>
      <c r="F3" s="7"/>
      <c r="G3" s="7"/>
      <c r="H3" s="7"/>
      <c r="I3" s="7"/>
    </row>
    <row r="4">
      <c r="A4" s="11">
        <v>4.0</v>
      </c>
      <c r="B4" s="188" t="s">
        <v>637</v>
      </c>
      <c r="C4" s="188" t="s">
        <v>0</v>
      </c>
      <c r="D4" s="188" t="s">
        <v>638</v>
      </c>
      <c r="E4" s="7"/>
      <c r="F4" s="7"/>
      <c r="G4" s="7"/>
      <c r="H4" s="7"/>
      <c r="I4" s="7"/>
    </row>
    <row r="5">
      <c r="A5" s="11">
        <v>5.0</v>
      </c>
      <c r="B5" s="11" t="s">
        <v>640</v>
      </c>
      <c r="C5" s="11" t="s">
        <v>100</v>
      </c>
      <c r="D5" s="11" t="s">
        <v>641</v>
      </c>
      <c r="E5" s="7"/>
      <c r="F5" s="7"/>
      <c r="G5" s="7"/>
      <c r="H5" s="7"/>
      <c r="I5" s="7"/>
    </row>
    <row r="6">
      <c r="A6" s="11">
        <v>6.0</v>
      </c>
      <c r="B6" s="11" t="s">
        <v>642</v>
      </c>
      <c r="C6" s="11" t="s">
        <v>100</v>
      </c>
      <c r="D6" s="11" t="s">
        <v>39</v>
      </c>
      <c r="E6" s="7"/>
      <c r="F6" s="7"/>
      <c r="G6" s="7"/>
      <c r="H6" s="7"/>
      <c r="I6" s="7"/>
    </row>
    <row r="7">
      <c r="A7" s="11">
        <v>7.0</v>
      </c>
      <c r="B7" s="11" t="s">
        <v>643</v>
      </c>
      <c r="C7" s="11" t="s">
        <v>100</v>
      </c>
      <c r="D7" s="11" t="s">
        <v>64</v>
      </c>
      <c r="E7" s="7"/>
      <c r="F7" s="7"/>
      <c r="G7" s="7"/>
      <c r="H7" s="7"/>
      <c r="I7" s="7"/>
    </row>
    <row r="8">
      <c r="A8" s="11">
        <v>8.0</v>
      </c>
      <c r="B8" s="11" t="s">
        <v>644</v>
      </c>
      <c r="C8" s="11" t="s">
        <v>100</v>
      </c>
      <c r="D8" s="11" t="s">
        <v>39</v>
      </c>
      <c r="E8" s="7"/>
      <c r="F8" s="7"/>
      <c r="G8" s="7"/>
      <c r="H8" s="7"/>
      <c r="I8" s="7"/>
    </row>
    <row r="9">
      <c r="A9" s="11">
        <v>9.0</v>
      </c>
      <c r="B9" s="364" t="s">
        <v>556</v>
      </c>
      <c r="C9" s="11" t="s">
        <v>0</v>
      </c>
      <c r="D9" s="11" t="s">
        <v>645</v>
      </c>
      <c r="E9" s="7"/>
      <c r="F9" s="366" t="s">
        <v>646</v>
      </c>
      <c r="G9" s="7"/>
      <c r="H9" s="7"/>
      <c r="I9" s="7"/>
    </row>
    <row r="10">
      <c r="A10" s="11">
        <v>10.0</v>
      </c>
      <c r="B10" s="72"/>
      <c r="C10" s="11" t="s">
        <v>0</v>
      </c>
      <c r="D10" s="11" t="s">
        <v>25</v>
      </c>
      <c r="E10" s="7"/>
      <c r="F10" s="7"/>
      <c r="G10" s="7"/>
      <c r="H10" s="7"/>
      <c r="I10" s="7"/>
    </row>
    <row r="11">
      <c r="A11" s="11">
        <v>11.0</v>
      </c>
      <c r="B11" s="11" t="s">
        <v>648</v>
      </c>
      <c r="C11" s="11" t="s">
        <v>100</v>
      </c>
      <c r="D11" s="11" t="s">
        <v>25</v>
      </c>
      <c r="E11" s="7"/>
      <c r="F11" s="7"/>
      <c r="G11" s="7"/>
      <c r="H11" s="7"/>
      <c r="I11" s="7"/>
    </row>
    <row r="12">
      <c r="A12" s="11">
        <v>12.0</v>
      </c>
      <c r="B12" s="11" t="s">
        <v>649</v>
      </c>
      <c r="C12" s="11" t="s">
        <v>100</v>
      </c>
      <c r="D12" s="11" t="s">
        <v>25</v>
      </c>
      <c r="E12" s="7"/>
      <c r="F12" s="7"/>
      <c r="G12" s="7"/>
      <c r="H12" s="7"/>
      <c r="I12" s="7"/>
    </row>
    <row r="13">
      <c r="A13" s="11">
        <v>13.0</v>
      </c>
      <c r="B13" s="72"/>
      <c r="C13" s="72"/>
      <c r="D13" s="72"/>
      <c r="E13" s="7"/>
      <c r="F13" s="7"/>
      <c r="G13" s="7"/>
      <c r="H13" s="7"/>
      <c r="I13" s="7"/>
    </row>
    <row r="14">
      <c r="A14" s="11">
        <v>14.0</v>
      </c>
      <c r="B14" s="11" t="s">
        <v>501</v>
      </c>
      <c r="C14" s="11" t="s">
        <v>0</v>
      </c>
      <c r="D14" s="11" t="s">
        <v>638</v>
      </c>
      <c r="E14" s="7"/>
      <c r="F14" s="7"/>
      <c r="G14" s="7"/>
      <c r="H14" s="7"/>
      <c r="I14" s="7"/>
    </row>
    <row r="15">
      <c r="A15" s="11">
        <v>15.0</v>
      </c>
      <c r="B15" s="11" t="s">
        <v>533</v>
      </c>
      <c r="C15" s="11" t="s">
        <v>0</v>
      </c>
      <c r="D15" s="11" t="s">
        <v>638</v>
      </c>
      <c r="E15" s="7"/>
      <c r="F15" s="7"/>
      <c r="G15" s="7"/>
      <c r="H15" s="7"/>
      <c r="I15" s="7"/>
    </row>
    <row r="16">
      <c r="A16" s="11">
        <v>16.0</v>
      </c>
      <c r="B16" s="11" t="s">
        <v>545</v>
      </c>
      <c r="C16" s="11" t="s">
        <v>0</v>
      </c>
      <c r="D16" s="11" t="s">
        <v>638</v>
      </c>
      <c r="E16" s="7"/>
      <c r="F16" s="7"/>
      <c r="G16" s="7"/>
      <c r="H16" s="7"/>
      <c r="I16" s="7"/>
    </row>
    <row r="17">
      <c r="A17" s="11">
        <v>17.0</v>
      </c>
      <c r="B17" s="72" t="s">
        <v>650</v>
      </c>
      <c r="C17" s="188" t="s">
        <v>0</v>
      </c>
      <c r="D17" s="188" t="s">
        <v>638</v>
      </c>
      <c r="E17" s="7"/>
      <c r="F17" s="11" t="s">
        <v>651</v>
      </c>
      <c r="G17" s="7"/>
      <c r="H17" s="7"/>
      <c r="I17" s="7"/>
    </row>
    <row r="19" ht="30.75" customHeight="1">
      <c r="A19" s="149"/>
      <c r="B19" s="367" t="s">
        <v>238</v>
      </c>
      <c r="C19" s="367" t="s">
        <v>652</v>
      </c>
      <c r="D19" s="367" t="s">
        <v>410</v>
      </c>
      <c r="E19" s="367" t="s">
        <v>653</v>
      </c>
      <c r="F19" s="368" t="s">
        <v>654</v>
      </c>
      <c r="G19" s="367" t="s">
        <v>655</v>
      </c>
      <c r="H19" s="369" t="s">
        <v>412</v>
      </c>
      <c r="I19" s="369" t="s">
        <v>656</v>
      </c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</row>
    <row r="20">
      <c r="A20" s="250">
        <v>18.0</v>
      </c>
      <c r="B20" s="149" t="s">
        <v>657</v>
      </c>
      <c r="C20" s="149" t="s">
        <v>39</v>
      </c>
      <c r="D20" s="250"/>
      <c r="E20" s="250">
        <v>9.96555204445E11</v>
      </c>
      <c r="F20" s="149" t="s">
        <v>658</v>
      </c>
      <c r="G20" s="370" t="s">
        <v>659</v>
      </c>
      <c r="H20" s="146" t="s">
        <v>660</v>
      </c>
      <c r="I20" s="149"/>
    </row>
    <row r="21">
      <c r="A21" s="371">
        <v>19.0</v>
      </c>
      <c r="B21" s="149" t="s">
        <v>661</v>
      </c>
      <c r="C21" s="149" t="s">
        <v>39</v>
      </c>
      <c r="D21" s="250"/>
      <c r="E21" s="250">
        <v>9.96990867606E11</v>
      </c>
      <c r="F21" s="149" t="s">
        <v>662</v>
      </c>
      <c r="G21" s="370" t="s">
        <v>659</v>
      </c>
      <c r="H21" s="146" t="s">
        <v>660</v>
      </c>
      <c r="I21" s="149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</row>
    <row r="22">
      <c r="A22" s="250">
        <v>20.0</v>
      </c>
      <c r="B22" s="149" t="s">
        <v>663</v>
      </c>
      <c r="C22" s="149" t="s">
        <v>64</v>
      </c>
      <c r="D22" s="250"/>
      <c r="E22" s="250">
        <v>9.96552110176E11</v>
      </c>
      <c r="F22" s="149" t="s">
        <v>664</v>
      </c>
      <c r="G22" s="370" t="s">
        <v>659</v>
      </c>
      <c r="H22" s="146" t="s">
        <v>660</v>
      </c>
      <c r="I22" s="149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</row>
    <row r="23">
      <c r="A23" s="371">
        <v>21.0</v>
      </c>
      <c r="B23" s="149" t="s">
        <v>665</v>
      </c>
      <c r="C23" s="149" t="s">
        <v>64</v>
      </c>
      <c r="D23" s="250"/>
      <c r="E23" s="250" t="s">
        <v>666</v>
      </c>
      <c r="F23" s="149" t="s">
        <v>667</v>
      </c>
      <c r="G23" s="370" t="s">
        <v>659</v>
      </c>
      <c r="H23" s="146" t="s">
        <v>660</v>
      </c>
      <c r="I23" s="149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</row>
    <row r="24">
      <c r="A24" s="250">
        <v>22.0</v>
      </c>
      <c r="B24" s="11" t="s">
        <v>668</v>
      </c>
      <c r="C24" s="146" t="s">
        <v>25</v>
      </c>
      <c r="D24" s="7"/>
      <c r="E24" s="11">
        <v>5.590440772E9</v>
      </c>
      <c r="F24" s="366" t="s">
        <v>646</v>
      </c>
      <c r="G24" s="370" t="s">
        <v>659</v>
      </c>
      <c r="H24" s="146" t="s">
        <v>660</v>
      </c>
      <c r="I24" s="7"/>
    </row>
  </sheetData>
  <dataValidations>
    <dataValidation type="list" allowBlank="1" showErrorMessage="1" sqref="C20:C24">
      <formula1>"Backend,Frontend,UX/UI,ПМ"</formula1>
    </dataValidation>
    <dataValidation type="list" allowBlank="1" showErrorMessage="1" sqref="H20:H24">
      <formula1>"есть,нет,бп,---------"</formula1>
    </dataValidation>
    <dataValidation type="list" allowBlank="1" showErrorMessage="1" sqref="G20:G24">
      <formula1>"есть,нет,бп,---------,ПО,ЧП"</formula1>
    </dataValidation>
  </dataValidations>
  <hyperlinks>
    <hyperlink r:id="rId1" ref="F9"/>
    <hyperlink r:id="rId2" ref="F24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4.88"/>
    <col customWidth="1" min="4" max="4" width="14.5"/>
    <col customWidth="1" min="7" max="7" width="9.75"/>
    <col customWidth="1" min="8" max="8" width="13.13"/>
    <col customWidth="1" min="9" max="9" width="14.75"/>
    <col customWidth="1" min="10" max="10" width="23.88"/>
    <col customWidth="1" min="11" max="11" width="17.5"/>
    <col customWidth="1" min="12" max="12" width="11.63"/>
    <col customWidth="1" min="13" max="13" width="13.75"/>
    <col customWidth="1" min="14" max="14" width="27.38"/>
  </cols>
  <sheetData>
    <row r="1">
      <c r="A1" s="373">
        <v>1.0</v>
      </c>
      <c r="B1" s="373">
        <v>1.0</v>
      </c>
      <c r="C1" s="374" t="s">
        <v>233</v>
      </c>
      <c r="D1" s="374" t="s">
        <v>234</v>
      </c>
      <c r="E1" s="374" t="s">
        <v>235</v>
      </c>
      <c r="F1" s="374"/>
      <c r="G1" s="375" t="s">
        <v>236</v>
      </c>
      <c r="H1" s="375" t="s">
        <v>237</v>
      </c>
      <c r="I1" s="376" t="s">
        <v>238</v>
      </c>
      <c r="J1" s="375" t="s">
        <v>239</v>
      </c>
      <c r="K1" s="374" t="s">
        <v>240</v>
      </c>
      <c r="L1" s="376" t="s">
        <v>241</v>
      </c>
      <c r="M1" s="376" t="s">
        <v>242</v>
      </c>
      <c r="N1" s="375" t="s">
        <v>243</v>
      </c>
      <c r="O1" s="376" t="s">
        <v>244</v>
      </c>
      <c r="P1" s="375" t="s">
        <v>245</v>
      </c>
      <c r="Q1" s="375" t="s">
        <v>246</v>
      </c>
      <c r="R1" s="376" t="s">
        <v>247</v>
      </c>
      <c r="S1" s="374" t="s">
        <v>248</v>
      </c>
      <c r="T1" s="374" t="s">
        <v>249</v>
      </c>
      <c r="U1" s="377" t="s">
        <v>250</v>
      </c>
      <c r="V1" s="377" t="s">
        <v>251</v>
      </c>
      <c r="W1" s="378" t="s">
        <v>250</v>
      </c>
      <c r="X1" s="378" t="s">
        <v>251</v>
      </c>
      <c r="Y1" s="379"/>
      <c r="Z1" s="379"/>
    </row>
    <row r="2">
      <c r="A2" s="7"/>
      <c r="B2" s="7"/>
      <c r="C2" s="11">
        <v>11.0</v>
      </c>
      <c r="D2" s="7"/>
      <c r="E2" s="7"/>
      <c r="F2" s="7"/>
      <c r="G2" s="11" t="s">
        <v>669</v>
      </c>
      <c r="H2" s="7"/>
      <c r="I2" s="380" t="s">
        <v>585</v>
      </c>
      <c r="J2" s="146" t="s">
        <v>254</v>
      </c>
      <c r="K2" s="18" t="s">
        <v>194</v>
      </c>
      <c r="L2" s="113" t="s">
        <v>199</v>
      </c>
      <c r="M2" s="147" t="s">
        <v>255</v>
      </c>
      <c r="N2" s="381" t="s">
        <v>670</v>
      </c>
      <c r="P2" s="7"/>
      <c r="Q2" s="7"/>
      <c r="R2" s="7"/>
      <c r="S2" s="7"/>
      <c r="T2" s="7"/>
      <c r="U2" s="7"/>
      <c r="V2" s="7"/>
      <c r="W2" s="7"/>
      <c r="X2" s="7"/>
    </row>
    <row r="3">
      <c r="A3" s="7"/>
      <c r="B3" s="7"/>
      <c r="C3" s="7"/>
      <c r="D3" s="7"/>
      <c r="E3" s="7"/>
      <c r="F3" s="7"/>
      <c r="G3" s="7"/>
      <c r="H3" s="7"/>
      <c r="I3" s="7"/>
      <c r="J3" s="146" t="s">
        <v>254</v>
      </c>
      <c r="K3" s="18" t="s">
        <v>194</v>
      </c>
      <c r="L3" s="113" t="s">
        <v>199</v>
      </c>
      <c r="M3" s="147" t="s">
        <v>255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7"/>
      <c r="B4" s="7"/>
      <c r="C4" s="7"/>
      <c r="D4" s="7"/>
      <c r="E4" s="7"/>
      <c r="F4" s="7"/>
      <c r="G4" s="7"/>
      <c r="H4" s="7"/>
      <c r="I4" s="7"/>
      <c r="J4" s="146" t="s">
        <v>254</v>
      </c>
      <c r="K4" s="18" t="s">
        <v>194</v>
      </c>
      <c r="L4" s="113" t="s">
        <v>199</v>
      </c>
      <c r="M4" s="147" t="s">
        <v>255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7"/>
      <c r="B5" s="7"/>
      <c r="C5" s="7"/>
      <c r="D5" s="7"/>
      <c r="E5" s="7"/>
      <c r="F5" s="7"/>
      <c r="G5" s="7"/>
      <c r="H5" s="7"/>
      <c r="I5" s="7"/>
      <c r="J5" s="146" t="s">
        <v>254</v>
      </c>
      <c r="K5" s="18" t="s">
        <v>194</v>
      </c>
      <c r="L5" s="113" t="s">
        <v>199</v>
      </c>
      <c r="M5" s="147" t="s">
        <v>255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7"/>
      <c r="B6" s="7"/>
      <c r="C6" s="7"/>
      <c r="D6" s="7"/>
      <c r="E6" s="7"/>
      <c r="F6" s="7"/>
      <c r="G6" s="7"/>
      <c r="H6" s="7"/>
      <c r="I6" s="7"/>
      <c r="J6" s="146" t="s">
        <v>254</v>
      </c>
      <c r="K6" s="18" t="s">
        <v>194</v>
      </c>
      <c r="L6" s="113" t="s">
        <v>199</v>
      </c>
      <c r="M6" s="147" t="s">
        <v>255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7"/>
      <c r="B7" s="7"/>
      <c r="C7" s="7"/>
      <c r="D7" s="7"/>
      <c r="E7" s="7"/>
      <c r="F7" s="7"/>
      <c r="G7" s="7"/>
      <c r="H7" s="7"/>
      <c r="I7" s="7"/>
      <c r="J7" s="146" t="s">
        <v>254</v>
      </c>
      <c r="K7" s="18" t="s">
        <v>194</v>
      </c>
      <c r="L7" s="113" t="s">
        <v>199</v>
      </c>
      <c r="M7" s="147" t="s">
        <v>255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7"/>
      <c r="B8" s="7"/>
      <c r="C8" s="7"/>
      <c r="D8" s="7"/>
      <c r="E8" s="7"/>
      <c r="F8" s="7"/>
      <c r="G8" s="7"/>
      <c r="H8" s="7"/>
      <c r="I8" s="7"/>
      <c r="J8" s="146" t="s">
        <v>254</v>
      </c>
      <c r="K8" s="18" t="s">
        <v>194</v>
      </c>
      <c r="L8" s="113" t="s">
        <v>199</v>
      </c>
      <c r="M8" s="147" t="s">
        <v>255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7"/>
      <c r="B9" s="7"/>
      <c r="C9" s="7"/>
      <c r="D9" s="7"/>
      <c r="E9" s="7"/>
      <c r="F9" s="7"/>
      <c r="G9" s="7"/>
      <c r="H9" s="7"/>
      <c r="I9" s="7"/>
      <c r="J9" s="146" t="s">
        <v>254</v>
      </c>
      <c r="K9" s="18" t="s">
        <v>194</v>
      </c>
      <c r="L9" s="113" t="s">
        <v>199</v>
      </c>
      <c r="M9" s="147" t="s">
        <v>255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146" t="s">
        <v>254</v>
      </c>
      <c r="K10" s="18" t="s">
        <v>194</v>
      </c>
      <c r="L10" s="113" t="s">
        <v>199</v>
      </c>
      <c r="M10" s="147" t="s">
        <v>255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146" t="s">
        <v>254</v>
      </c>
      <c r="K11" s="18" t="s">
        <v>194</v>
      </c>
      <c r="L11" s="113" t="s">
        <v>199</v>
      </c>
      <c r="M11" s="147" t="s">
        <v>255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146" t="s">
        <v>254</v>
      </c>
      <c r="K12" s="18" t="s">
        <v>194</v>
      </c>
      <c r="L12" s="113" t="s">
        <v>199</v>
      </c>
      <c r="M12" s="147" t="s">
        <v>255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146" t="s">
        <v>254</v>
      </c>
      <c r="K13" s="18" t="s">
        <v>194</v>
      </c>
      <c r="L13" s="113" t="s">
        <v>199</v>
      </c>
      <c r="M13" s="147" t="s">
        <v>255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146" t="s">
        <v>254</v>
      </c>
      <c r="K14" s="18" t="s">
        <v>194</v>
      </c>
      <c r="L14" s="113" t="s">
        <v>199</v>
      </c>
      <c r="M14" s="147" t="s">
        <v>255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146" t="s">
        <v>254</v>
      </c>
      <c r="K15" s="18" t="s">
        <v>194</v>
      </c>
      <c r="L15" s="113" t="s">
        <v>199</v>
      </c>
      <c r="M15" s="147" t="s">
        <v>255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146" t="s">
        <v>254</v>
      </c>
      <c r="K16" s="18" t="s">
        <v>194</v>
      </c>
      <c r="L16" s="113" t="s">
        <v>302</v>
      </c>
      <c r="M16" s="147" t="s">
        <v>255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146" t="s">
        <v>254</v>
      </c>
      <c r="K17" s="18" t="s">
        <v>194</v>
      </c>
      <c r="L17" s="113" t="s">
        <v>199</v>
      </c>
      <c r="M17" s="147" t="s">
        <v>255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146" t="s">
        <v>254</v>
      </c>
      <c r="K18" s="18" t="s">
        <v>194</v>
      </c>
      <c r="L18" s="113" t="s">
        <v>199</v>
      </c>
      <c r="M18" s="147" t="s">
        <v>255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146" t="s">
        <v>387</v>
      </c>
      <c r="K19" s="18" t="s">
        <v>194</v>
      </c>
      <c r="L19" s="113" t="s">
        <v>302</v>
      </c>
      <c r="M19" s="147" t="s">
        <v>255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146" t="s">
        <v>254</v>
      </c>
      <c r="K20" s="18" t="s">
        <v>194</v>
      </c>
      <c r="L20" s="113" t="s">
        <v>199</v>
      </c>
      <c r="M20" s="147" t="s">
        <v>255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146" t="s">
        <v>254</v>
      </c>
      <c r="K21" s="18" t="s">
        <v>194</v>
      </c>
      <c r="L21" s="113" t="s">
        <v>199</v>
      </c>
      <c r="M21" s="147" t="s">
        <v>255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146" t="s">
        <v>254</v>
      </c>
      <c r="K22" s="18" t="s">
        <v>194</v>
      </c>
      <c r="L22" s="113" t="s">
        <v>199</v>
      </c>
      <c r="M22" s="147" t="s">
        <v>255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146" t="s">
        <v>254</v>
      </c>
      <c r="K23" s="18" t="s">
        <v>194</v>
      </c>
      <c r="L23" s="113" t="s">
        <v>199</v>
      </c>
      <c r="M23" s="147" t="s">
        <v>255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146" t="s">
        <v>254</v>
      </c>
      <c r="K24" s="18" t="s">
        <v>194</v>
      </c>
      <c r="L24" s="113" t="s">
        <v>199</v>
      </c>
      <c r="M24" s="147" t="s">
        <v>255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146" t="s">
        <v>254</v>
      </c>
      <c r="K25" s="18" t="s">
        <v>194</v>
      </c>
      <c r="L25" s="113" t="s">
        <v>199</v>
      </c>
      <c r="M25" s="147" t="s">
        <v>255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146" t="s">
        <v>254</v>
      </c>
      <c r="K26" s="18" t="s">
        <v>194</v>
      </c>
      <c r="L26" s="113" t="s">
        <v>199</v>
      </c>
      <c r="M26" s="147" t="s">
        <v>255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146" t="s">
        <v>254</v>
      </c>
      <c r="K27" s="18" t="s">
        <v>194</v>
      </c>
      <c r="L27" s="113" t="s">
        <v>199</v>
      </c>
      <c r="M27" s="147" t="s">
        <v>255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146" t="s">
        <v>254</v>
      </c>
      <c r="K28" s="18" t="s">
        <v>194</v>
      </c>
      <c r="L28" s="113" t="s">
        <v>199</v>
      </c>
      <c r="M28" s="147" t="s">
        <v>255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146" t="s">
        <v>254</v>
      </c>
      <c r="K29" s="18" t="s">
        <v>194</v>
      </c>
      <c r="L29" s="113" t="s">
        <v>199</v>
      </c>
      <c r="M29" s="147" t="s">
        <v>255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146" t="s">
        <v>254</v>
      </c>
      <c r="K30" s="18" t="s">
        <v>194</v>
      </c>
      <c r="L30" s="113" t="s">
        <v>199</v>
      </c>
      <c r="M30" s="147" t="s">
        <v>255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146" t="s">
        <v>254</v>
      </c>
      <c r="K31" s="18" t="s">
        <v>194</v>
      </c>
      <c r="L31" s="113" t="s">
        <v>199</v>
      </c>
      <c r="M31" s="147" t="s">
        <v>255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146" t="s">
        <v>254</v>
      </c>
      <c r="K32" s="18" t="s">
        <v>194</v>
      </c>
      <c r="L32" s="113" t="s">
        <v>199</v>
      </c>
      <c r="M32" s="147" t="s">
        <v>255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146" t="s">
        <v>254</v>
      </c>
      <c r="K33" s="18" t="s">
        <v>194</v>
      </c>
      <c r="L33" s="113" t="s">
        <v>199</v>
      </c>
      <c r="M33" s="147" t="s">
        <v>255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146" t="s">
        <v>254</v>
      </c>
      <c r="K34" s="18" t="s">
        <v>194</v>
      </c>
      <c r="L34" s="113" t="s">
        <v>199</v>
      </c>
      <c r="M34" s="147" t="s">
        <v>255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146" t="s">
        <v>254</v>
      </c>
      <c r="K35" s="18" t="s">
        <v>194</v>
      </c>
      <c r="L35" s="113" t="s">
        <v>199</v>
      </c>
      <c r="M35" s="147" t="s">
        <v>255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146" t="s">
        <v>254</v>
      </c>
      <c r="K36" s="18" t="s">
        <v>194</v>
      </c>
      <c r="L36" s="113" t="s">
        <v>199</v>
      </c>
      <c r="M36" s="147" t="s">
        <v>255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146" t="s">
        <v>254</v>
      </c>
      <c r="K37" s="18" t="s">
        <v>194</v>
      </c>
      <c r="L37" s="113" t="s">
        <v>199</v>
      </c>
      <c r="M37" s="147" t="s">
        <v>255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146" t="s">
        <v>254</v>
      </c>
      <c r="K38" s="18" t="s">
        <v>194</v>
      </c>
      <c r="L38" s="113" t="s">
        <v>199</v>
      </c>
      <c r="M38" s="147" t="s">
        <v>255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146" t="s">
        <v>254</v>
      </c>
      <c r="K39" s="18" t="s">
        <v>194</v>
      </c>
      <c r="L39" s="113" t="s">
        <v>199</v>
      </c>
      <c r="M39" s="147" t="s">
        <v>255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146" t="s">
        <v>254</v>
      </c>
      <c r="K40" s="18" t="s">
        <v>194</v>
      </c>
      <c r="L40" s="113" t="s">
        <v>199</v>
      </c>
      <c r="M40" s="147" t="s">
        <v>255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146" t="s">
        <v>254</v>
      </c>
      <c r="K41" s="18" t="s">
        <v>194</v>
      </c>
      <c r="L41" s="113" t="s">
        <v>302</v>
      </c>
      <c r="M41" s="147" t="s">
        <v>255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146" t="s">
        <v>254</v>
      </c>
      <c r="K42" s="18" t="s">
        <v>194</v>
      </c>
      <c r="L42" s="113" t="s">
        <v>199</v>
      </c>
      <c r="M42" s="147" t="s">
        <v>255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146" t="s">
        <v>254</v>
      </c>
      <c r="K43" s="18" t="s">
        <v>194</v>
      </c>
      <c r="L43" s="113" t="s">
        <v>199</v>
      </c>
      <c r="M43" s="147" t="s">
        <v>255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146" t="s">
        <v>254</v>
      </c>
      <c r="K44" s="18" t="s">
        <v>194</v>
      </c>
      <c r="L44" s="113" t="s">
        <v>199</v>
      </c>
      <c r="M44" s="147" t="s">
        <v>255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146" t="s">
        <v>254</v>
      </c>
      <c r="K45" s="18" t="s">
        <v>194</v>
      </c>
      <c r="L45" s="113" t="s">
        <v>199</v>
      </c>
      <c r="M45" s="147" t="s">
        <v>255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146" t="s">
        <v>254</v>
      </c>
      <c r="K46" s="18" t="s">
        <v>194</v>
      </c>
      <c r="L46" s="113" t="s">
        <v>302</v>
      </c>
      <c r="M46" s="147" t="s">
        <v>255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146" t="s">
        <v>254</v>
      </c>
      <c r="K47" s="18" t="s">
        <v>194</v>
      </c>
      <c r="L47" s="113" t="s">
        <v>199</v>
      </c>
      <c r="M47" s="147" t="s">
        <v>255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146" t="s">
        <v>254</v>
      </c>
      <c r="K48" s="18" t="s">
        <v>194</v>
      </c>
      <c r="L48" s="113" t="s">
        <v>199</v>
      </c>
      <c r="M48" s="147" t="s">
        <v>255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146" t="s">
        <v>254</v>
      </c>
      <c r="K49" s="18" t="s">
        <v>194</v>
      </c>
      <c r="L49" s="113" t="s">
        <v>199</v>
      </c>
      <c r="M49" s="147" t="s">
        <v>255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146" t="s">
        <v>254</v>
      </c>
      <c r="K50" s="18" t="s">
        <v>194</v>
      </c>
      <c r="L50" s="113" t="s">
        <v>199</v>
      </c>
      <c r="M50" s="147" t="s">
        <v>255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146" t="s">
        <v>254</v>
      </c>
      <c r="K51" s="18" t="s">
        <v>194</v>
      </c>
      <c r="L51" s="113" t="s">
        <v>199</v>
      </c>
      <c r="M51" s="147" t="s">
        <v>255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146" t="s">
        <v>254</v>
      </c>
      <c r="K52" s="18" t="s">
        <v>194</v>
      </c>
      <c r="L52" s="113" t="s">
        <v>199</v>
      </c>
      <c r="M52" s="147" t="s">
        <v>255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146" t="s">
        <v>406</v>
      </c>
      <c r="K53" s="18" t="s">
        <v>409</v>
      </c>
      <c r="L53" s="113" t="s">
        <v>199</v>
      </c>
      <c r="M53" s="147" t="s">
        <v>255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98"/>
      <c r="L54" s="114"/>
      <c r="M54" s="114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98"/>
      <c r="L55" s="114"/>
      <c r="M55" s="114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98"/>
      <c r="L56" s="114"/>
      <c r="M56" s="114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98"/>
      <c r="L57" s="114"/>
      <c r="M57" s="114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98"/>
      <c r="L58" s="114"/>
      <c r="M58" s="114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98"/>
      <c r="L59" s="114"/>
      <c r="M59" s="114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98"/>
      <c r="L60" s="114"/>
      <c r="M60" s="114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98"/>
      <c r="L61" s="114"/>
      <c r="M61" s="114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98"/>
      <c r="L62" s="114"/>
      <c r="M62" s="114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98"/>
      <c r="L63" s="114"/>
      <c r="M63" s="114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98"/>
      <c r="L64" s="114"/>
      <c r="M64" s="114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11"/>
      <c r="K65" s="98"/>
      <c r="L65" s="185"/>
      <c r="M65" s="185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11"/>
      <c r="K66" s="98"/>
      <c r="L66" s="186"/>
      <c r="M66" s="186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11"/>
      <c r="K67" s="98"/>
      <c r="L67" s="186"/>
      <c r="M67" s="186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11"/>
      <c r="K68" s="98"/>
      <c r="L68" s="114"/>
      <c r="M68" s="114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11"/>
      <c r="K69" s="98"/>
      <c r="L69" s="114"/>
      <c r="M69" s="114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11"/>
      <c r="K70" s="98"/>
      <c r="L70" s="114"/>
      <c r="M70" s="114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11"/>
      <c r="K71" s="98"/>
      <c r="L71" s="114"/>
      <c r="M71" s="114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98"/>
      <c r="L72" s="106"/>
      <c r="M72" s="106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98"/>
      <c r="L73" s="106"/>
      <c r="M73" s="106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98"/>
      <c r="L74" s="106"/>
      <c r="M74" s="106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98"/>
      <c r="L75" s="106"/>
      <c r="M75" s="106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7"/>
      <c r="B76" s="7"/>
      <c r="C76" s="7"/>
      <c r="D76" s="7"/>
      <c r="E76" s="7"/>
      <c r="F76" s="7"/>
      <c r="G76" s="7"/>
      <c r="H76" s="7"/>
      <c r="I76" s="7"/>
      <c r="K76" s="19"/>
      <c r="L76" s="194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7"/>
      <c r="B77" s="7"/>
      <c r="C77" s="7"/>
      <c r="D77" s="7"/>
      <c r="E77" s="7"/>
      <c r="F77" s="7"/>
      <c r="G77" s="7"/>
      <c r="H77" s="7"/>
      <c r="I77" s="7"/>
      <c r="K77" s="19"/>
      <c r="L77" s="194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7"/>
      <c r="B78" s="7"/>
      <c r="C78" s="7"/>
      <c r="D78" s="7"/>
      <c r="E78" s="7"/>
      <c r="F78" s="7"/>
      <c r="G78" s="7"/>
      <c r="H78" s="7"/>
      <c r="I78" s="7"/>
      <c r="K78" s="19"/>
      <c r="L78" s="194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7"/>
      <c r="B79" s="7"/>
      <c r="C79" s="7"/>
      <c r="D79" s="7"/>
      <c r="E79" s="7"/>
      <c r="F79" s="7"/>
      <c r="G79" s="7"/>
      <c r="H79" s="7"/>
      <c r="I79" s="7"/>
      <c r="K79" s="19"/>
      <c r="L79" s="194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7"/>
      <c r="B80" s="7"/>
      <c r="C80" s="7"/>
      <c r="D80" s="7"/>
      <c r="E80" s="7"/>
      <c r="F80" s="7"/>
      <c r="G80" s="7"/>
      <c r="H80" s="7"/>
      <c r="I80" s="7"/>
      <c r="K80" s="19"/>
      <c r="L80" s="194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7"/>
      <c r="B81" s="7"/>
      <c r="C81" s="7"/>
      <c r="D81" s="7"/>
      <c r="E81" s="7"/>
      <c r="F81" s="7"/>
      <c r="G81" s="7"/>
      <c r="H81" s="7"/>
      <c r="I81" s="7"/>
      <c r="K81" s="19"/>
      <c r="L81" s="194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7"/>
      <c r="B82" s="7"/>
      <c r="C82" s="7"/>
      <c r="D82" s="7"/>
      <c r="E82" s="7"/>
      <c r="F82" s="7"/>
      <c r="G82" s="7"/>
      <c r="H82" s="7"/>
      <c r="I82" s="7"/>
      <c r="K82" s="19"/>
      <c r="L82" s="194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7"/>
      <c r="B83" s="7"/>
      <c r="C83" s="7"/>
      <c r="D83" s="7"/>
      <c r="E83" s="7"/>
      <c r="F83" s="7"/>
      <c r="G83" s="7"/>
      <c r="H83" s="7"/>
      <c r="I83" s="7"/>
      <c r="K83" s="19"/>
      <c r="L83" s="194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7"/>
      <c r="B84" s="7"/>
      <c r="C84" s="7"/>
      <c r="D84" s="7"/>
      <c r="E84" s="7"/>
      <c r="F84" s="7"/>
      <c r="G84" s="7"/>
      <c r="H84" s="7"/>
      <c r="I84" s="7"/>
      <c r="K84" s="19"/>
      <c r="L84" s="194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7"/>
      <c r="B85" s="7"/>
      <c r="C85" s="7"/>
      <c r="D85" s="7"/>
      <c r="E85" s="7"/>
      <c r="F85" s="7"/>
      <c r="G85" s="7"/>
      <c r="H85" s="7"/>
      <c r="I85" s="7"/>
      <c r="K85" s="19"/>
      <c r="L85" s="194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7"/>
      <c r="B86" s="7"/>
      <c r="C86" s="7"/>
      <c r="D86" s="7"/>
      <c r="E86" s="7"/>
      <c r="F86" s="7"/>
      <c r="G86" s="7"/>
      <c r="H86" s="7"/>
      <c r="I86" s="7"/>
      <c r="K86" s="19"/>
      <c r="L86" s="194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7"/>
      <c r="B87" s="7"/>
      <c r="C87" s="7"/>
      <c r="D87" s="7"/>
      <c r="E87" s="7"/>
      <c r="F87" s="7"/>
      <c r="G87" s="7"/>
      <c r="H87" s="7"/>
      <c r="I87" s="7"/>
      <c r="K87" s="19"/>
      <c r="L87" s="194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7"/>
      <c r="B88" s="7"/>
      <c r="C88" s="7"/>
      <c r="D88" s="7"/>
      <c r="E88" s="7"/>
      <c r="F88" s="7"/>
      <c r="G88" s="7"/>
      <c r="H88" s="7"/>
      <c r="I88" s="7"/>
      <c r="K88" s="19"/>
      <c r="L88" s="194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K89" s="19"/>
      <c r="L89" s="194"/>
    </row>
    <row r="90">
      <c r="K90" s="19"/>
      <c r="L90" s="194"/>
    </row>
    <row r="91">
      <c r="K91" s="19"/>
      <c r="L91" s="194"/>
    </row>
    <row r="92">
      <c r="K92" s="19"/>
      <c r="L92" s="194"/>
    </row>
    <row r="93">
      <c r="K93" s="19"/>
      <c r="L93" s="194"/>
    </row>
    <row r="94">
      <c r="K94" s="19"/>
      <c r="L94" s="194"/>
    </row>
    <row r="95">
      <c r="K95" s="19"/>
      <c r="L95" s="194"/>
    </row>
    <row r="96">
      <c r="K96" s="19"/>
      <c r="L96" s="194"/>
    </row>
    <row r="97">
      <c r="K97" s="19"/>
      <c r="L97" s="194"/>
    </row>
    <row r="98">
      <c r="K98" s="19"/>
      <c r="L98" s="194"/>
    </row>
    <row r="99">
      <c r="K99" s="19"/>
      <c r="L99" s="194"/>
    </row>
    <row r="100">
      <c r="K100" s="19"/>
      <c r="L100" s="194"/>
    </row>
    <row r="101">
      <c r="K101" s="19"/>
      <c r="L101" s="194"/>
    </row>
    <row r="102">
      <c r="K102" s="19"/>
      <c r="L102" s="194"/>
    </row>
    <row r="103">
      <c r="K103" s="19"/>
      <c r="L103" s="194"/>
    </row>
    <row r="104">
      <c r="K104" s="19"/>
      <c r="L104" s="194"/>
    </row>
    <row r="105">
      <c r="K105" s="19"/>
      <c r="L105" s="194"/>
    </row>
    <row r="106">
      <c r="K106" s="19"/>
      <c r="L106" s="194"/>
    </row>
    <row r="107">
      <c r="K107" s="19"/>
      <c r="L107" s="194"/>
    </row>
    <row r="108">
      <c r="K108" s="19"/>
      <c r="L108" s="194"/>
    </row>
    <row r="109">
      <c r="K109" s="19"/>
      <c r="L109" s="194"/>
    </row>
    <row r="110">
      <c r="K110" s="19"/>
      <c r="L110" s="194"/>
    </row>
    <row r="111">
      <c r="K111" s="19"/>
      <c r="L111" s="194"/>
    </row>
    <row r="112">
      <c r="K112" s="19"/>
      <c r="L112" s="194"/>
    </row>
    <row r="113">
      <c r="K113" s="19"/>
      <c r="L113" s="194"/>
    </row>
    <row r="114">
      <c r="K114" s="19"/>
      <c r="L114" s="194"/>
    </row>
    <row r="115">
      <c r="K115" s="19"/>
      <c r="L115" s="194"/>
    </row>
    <row r="116">
      <c r="K116" s="19"/>
      <c r="L116" s="194"/>
    </row>
    <row r="117">
      <c r="K117" s="19"/>
      <c r="L117" s="194"/>
    </row>
    <row r="118">
      <c r="K118" s="19"/>
      <c r="L118" s="194"/>
    </row>
    <row r="119">
      <c r="K119" s="19"/>
      <c r="L119" s="194"/>
    </row>
    <row r="120">
      <c r="K120" s="19"/>
      <c r="L120" s="194"/>
    </row>
    <row r="121">
      <c r="K121" s="19"/>
      <c r="L121" s="194"/>
    </row>
    <row r="122">
      <c r="K122" s="19"/>
      <c r="L122" s="194"/>
    </row>
    <row r="123">
      <c r="K123" s="19"/>
      <c r="L123" s="194"/>
    </row>
    <row r="124">
      <c r="K124" s="19"/>
      <c r="L124" s="194"/>
    </row>
    <row r="125">
      <c r="K125" s="19"/>
      <c r="L125" s="194"/>
    </row>
    <row r="126">
      <c r="K126" s="19"/>
      <c r="L126" s="194"/>
    </row>
    <row r="127">
      <c r="K127" s="19"/>
      <c r="L127" s="194"/>
    </row>
    <row r="128">
      <c r="K128" s="19"/>
      <c r="L128" s="194"/>
    </row>
    <row r="129">
      <c r="K129" s="19"/>
      <c r="L129" s="194"/>
    </row>
    <row r="130">
      <c r="K130" s="19"/>
      <c r="L130" s="194"/>
    </row>
    <row r="131">
      <c r="K131" s="19"/>
      <c r="L131" s="194"/>
    </row>
    <row r="132">
      <c r="K132" s="19"/>
      <c r="L132" s="194"/>
    </row>
    <row r="133">
      <c r="K133" s="19"/>
      <c r="L133" s="194"/>
    </row>
    <row r="134">
      <c r="K134" s="19"/>
      <c r="L134" s="194"/>
    </row>
    <row r="135">
      <c r="K135" s="19"/>
      <c r="L135" s="194"/>
    </row>
    <row r="136">
      <c r="K136" s="19"/>
      <c r="L136" s="194"/>
    </row>
    <row r="137">
      <c r="K137" s="19"/>
      <c r="L137" s="194"/>
    </row>
    <row r="138">
      <c r="K138" s="19"/>
      <c r="L138" s="194"/>
    </row>
    <row r="139">
      <c r="K139" s="19"/>
      <c r="L139" s="194"/>
    </row>
    <row r="140">
      <c r="K140" s="19"/>
      <c r="L140" s="194"/>
    </row>
    <row r="141">
      <c r="K141" s="19"/>
      <c r="L141" s="194"/>
    </row>
    <row r="142">
      <c r="K142" s="19"/>
      <c r="L142" s="194"/>
    </row>
    <row r="143">
      <c r="K143" s="19"/>
      <c r="L143" s="194"/>
    </row>
    <row r="144">
      <c r="K144" s="19"/>
      <c r="L144" s="194"/>
    </row>
    <row r="145">
      <c r="K145" s="19"/>
      <c r="L145" s="194"/>
    </row>
    <row r="146">
      <c r="K146" s="19"/>
      <c r="L146" s="194"/>
    </row>
    <row r="147">
      <c r="K147" s="19"/>
      <c r="L147" s="194"/>
    </row>
    <row r="148">
      <c r="K148" s="19"/>
      <c r="L148" s="194"/>
    </row>
    <row r="149">
      <c r="K149" s="19"/>
      <c r="L149" s="194"/>
    </row>
    <row r="150">
      <c r="K150" s="19"/>
      <c r="L150" s="194"/>
    </row>
    <row r="151">
      <c r="K151" s="19"/>
      <c r="L151" s="194"/>
    </row>
    <row r="152">
      <c r="K152" s="19"/>
      <c r="L152" s="194"/>
    </row>
    <row r="153">
      <c r="K153" s="19"/>
      <c r="L153" s="194"/>
    </row>
    <row r="154">
      <c r="K154" s="19"/>
      <c r="L154" s="194"/>
    </row>
    <row r="155">
      <c r="K155" s="19"/>
      <c r="L155" s="194"/>
    </row>
    <row r="156">
      <c r="K156" s="19"/>
      <c r="L156" s="194"/>
    </row>
    <row r="157">
      <c r="K157" s="19"/>
      <c r="L157" s="194"/>
    </row>
    <row r="158">
      <c r="K158" s="19"/>
      <c r="L158" s="194"/>
    </row>
    <row r="159">
      <c r="K159" s="19"/>
      <c r="L159" s="194"/>
    </row>
    <row r="160">
      <c r="K160" s="19"/>
      <c r="L160" s="194"/>
    </row>
    <row r="161">
      <c r="K161" s="19"/>
      <c r="L161" s="194"/>
    </row>
    <row r="162">
      <c r="K162" s="19"/>
      <c r="L162" s="194"/>
    </row>
    <row r="163">
      <c r="K163" s="19"/>
      <c r="L163" s="194"/>
    </row>
    <row r="164">
      <c r="K164" s="19"/>
      <c r="L164" s="194"/>
    </row>
    <row r="165">
      <c r="K165" s="19"/>
      <c r="L165" s="194"/>
    </row>
    <row r="166">
      <c r="K166" s="19"/>
      <c r="L166" s="194"/>
    </row>
    <row r="167">
      <c r="K167" s="19"/>
      <c r="L167" s="194"/>
    </row>
    <row r="168">
      <c r="K168" s="19"/>
      <c r="L168" s="194"/>
    </row>
    <row r="169">
      <c r="K169" s="19"/>
      <c r="L169" s="194"/>
    </row>
    <row r="170">
      <c r="K170" s="19"/>
      <c r="L170" s="194"/>
    </row>
    <row r="171">
      <c r="K171" s="19"/>
      <c r="L171" s="194"/>
    </row>
    <row r="172">
      <c r="K172" s="19"/>
      <c r="L172" s="194"/>
    </row>
    <row r="173">
      <c r="K173" s="19"/>
      <c r="L173" s="194"/>
    </row>
    <row r="174">
      <c r="K174" s="19"/>
      <c r="L174" s="194"/>
    </row>
    <row r="175">
      <c r="K175" s="19"/>
      <c r="L175" s="194"/>
    </row>
    <row r="176">
      <c r="K176" s="19"/>
      <c r="L176" s="194"/>
    </row>
    <row r="177">
      <c r="K177" s="19"/>
      <c r="L177" s="194"/>
    </row>
    <row r="178">
      <c r="K178" s="19"/>
      <c r="L178" s="194"/>
    </row>
    <row r="179">
      <c r="K179" s="19"/>
      <c r="L179" s="194"/>
    </row>
    <row r="180">
      <c r="K180" s="19"/>
      <c r="L180" s="194"/>
    </row>
    <row r="181">
      <c r="K181" s="19"/>
      <c r="L181" s="194"/>
    </row>
    <row r="182">
      <c r="K182" s="19"/>
      <c r="L182" s="194"/>
    </row>
    <row r="183">
      <c r="K183" s="19"/>
      <c r="L183" s="194"/>
    </row>
    <row r="184">
      <c r="K184" s="19"/>
      <c r="L184" s="194"/>
    </row>
    <row r="185">
      <c r="K185" s="19"/>
      <c r="L185" s="194"/>
    </row>
    <row r="186">
      <c r="K186" s="19"/>
      <c r="L186" s="194"/>
    </row>
    <row r="187">
      <c r="K187" s="19"/>
      <c r="L187" s="194"/>
    </row>
    <row r="188">
      <c r="K188" s="19"/>
      <c r="L188" s="194"/>
    </row>
    <row r="189">
      <c r="K189" s="19"/>
      <c r="L189" s="194"/>
    </row>
    <row r="190">
      <c r="K190" s="19"/>
      <c r="L190" s="194"/>
    </row>
    <row r="191">
      <c r="K191" s="19"/>
      <c r="L191" s="194"/>
    </row>
    <row r="192">
      <c r="K192" s="19"/>
      <c r="L192" s="194"/>
    </row>
    <row r="193">
      <c r="K193" s="19"/>
      <c r="L193" s="194"/>
    </row>
    <row r="194">
      <c r="K194" s="19"/>
      <c r="L194" s="194"/>
    </row>
    <row r="195">
      <c r="K195" s="19"/>
      <c r="L195" s="194"/>
    </row>
    <row r="196">
      <c r="K196" s="19"/>
      <c r="L196" s="194"/>
    </row>
    <row r="197">
      <c r="K197" s="19"/>
      <c r="L197" s="194"/>
    </row>
    <row r="198">
      <c r="K198" s="19"/>
      <c r="L198" s="194"/>
    </row>
    <row r="199">
      <c r="K199" s="19"/>
      <c r="L199" s="194"/>
    </row>
    <row r="200">
      <c r="K200" s="19"/>
      <c r="L200" s="194"/>
    </row>
    <row r="201">
      <c r="K201" s="19"/>
      <c r="L201" s="194"/>
    </row>
    <row r="202">
      <c r="K202" s="19"/>
      <c r="L202" s="194"/>
    </row>
    <row r="203">
      <c r="K203" s="19"/>
      <c r="L203" s="194"/>
    </row>
    <row r="204">
      <c r="K204" s="19"/>
      <c r="L204" s="194"/>
    </row>
    <row r="205">
      <c r="K205" s="19"/>
      <c r="L205" s="194"/>
    </row>
    <row r="206">
      <c r="K206" s="19"/>
      <c r="L206" s="194"/>
    </row>
    <row r="207">
      <c r="K207" s="19"/>
      <c r="L207" s="194"/>
    </row>
    <row r="208">
      <c r="K208" s="19"/>
      <c r="L208" s="194"/>
    </row>
    <row r="209">
      <c r="K209" s="19"/>
      <c r="L209" s="194"/>
    </row>
    <row r="210">
      <c r="K210" s="19"/>
      <c r="L210" s="194"/>
    </row>
    <row r="211">
      <c r="K211" s="19"/>
      <c r="L211" s="194"/>
    </row>
    <row r="212">
      <c r="K212" s="19"/>
      <c r="L212" s="194"/>
    </row>
    <row r="213">
      <c r="K213" s="19"/>
      <c r="L213" s="194"/>
    </row>
    <row r="214">
      <c r="K214" s="19"/>
      <c r="L214" s="194"/>
    </row>
    <row r="215">
      <c r="K215" s="19"/>
      <c r="L215" s="194"/>
    </row>
    <row r="216">
      <c r="K216" s="19"/>
      <c r="L216" s="194"/>
    </row>
    <row r="217">
      <c r="K217" s="19"/>
      <c r="L217" s="194"/>
    </row>
    <row r="218">
      <c r="K218" s="19"/>
      <c r="L218" s="194"/>
    </row>
    <row r="219">
      <c r="K219" s="19"/>
      <c r="L219" s="194"/>
    </row>
    <row r="220">
      <c r="K220" s="19"/>
      <c r="L220" s="194"/>
    </row>
    <row r="221">
      <c r="K221" s="19"/>
      <c r="L221" s="194"/>
    </row>
    <row r="222">
      <c r="K222" s="19"/>
      <c r="L222" s="194"/>
    </row>
    <row r="223">
      <c r="K223" s="19"/>
      <c r="L223" s="194"/>
    </row>
    <row r="224">
      <c r="K224" s="19"/>
      <c r="L224" s="194"/>
    </row>
    <row r="225">
      <c r="K225" s="19"/>
      <c r="L225" s="194"/>
    </row>
    <row r="226">
      <c r="K226" s="19"/>
      <c r="L226" s="194"/>
    </row>
    <row r="227">
      <c r="K227" s="19"/>
      <c r="L227" s="194"/>
    </row>
    <row r="228">
      <c r="K228" s="19"/>
      <c r="L228" s="194"/>
    </row>
    <row r="229">
      <c r="K229" s="19"/>
      <c r="L229" s="194"/>
    </row>
    <row r="230">
      <c r="K230" s="19"/>
      <c r="L230" s="194"/>
    </row>
    <row r="231">
      <c r="K231" s="19"/>
      <c r="L231" s="194"/>
    </row>
    <row r="232">
      <c r="K232" s="19"/>
      <c r="L232" s="194"/>
    </row>
    <row r="233">
      <c r="K233" s="19"/>
      <c r="L233" s="194"/>
    </row>
    <row r="234">
      <c r="K234" s="19"/>
      <c r="L234" s="194"/>
    </row>
    <row r="235">
      <c r="K235" s="19"/>
      <c r="L235" s="194"/>
    </row>
    <row r="236">
      <c r="K236" s="19"/>
      <c r="L236" s="194"/>
    </row>
    <row r="237">
      <c r="K237" s="19"/>
      <c r="L237" s="194"/>
    </row>
    <row r="238">
      <c r="K238" s="19"/>
      <c r="L238" s="194"/>
    </row>
    <row r="239">
      <c r="K239" s="19"/>
      <c r="L239" s="194"/>
    </row>
    <row r="240">
      <c r="K240" s="19"/>
      <c r="L240" s="194"/>
    </row>
    <row r="241">
      <c r="K241" s="19"/>
      <c r="L241" s="194"/>
    </row>
    <row r="242">
      <c r="K242" s="19"/>
      <c r="L242" s="194"/>
    </row>
    <row r="243">
      <c r="K243" s="19"/>
      <c r="L243" s="194"/>
    </row>
    <row r="244">
      <c r="K244" s="19"/>
      <c r="L244" s="194"/>
    </row>
    <row r="245">
      <c r="K245" s="19"/>
      <c r="L245" s="194"/>
    </row>
    <row r="246">
      <c r="K246" s="19"/>
      <c r="L246" s="194"/>
    </row>
    <row r="247">
      <c r="K247" s="19"/>
      <c r="L247" s="194"/>
    </row>
    <row r="248">
      <c r="K248" s="19"/>
      <c r="L248" s="194"/>
    </row>
    <row r="249">
      <c r="K249" s="19"/>
      <c r="L249" s="194"/>
    </row>
    <row r="250">
      <c r="K250" s="19"/>
      <c r="L250" s="194"/>
    </row>
    <row r="251">
      <c r="K251" s="19"/>
      <c r="L251" s="194"/>
    </row>
    <row r="252">
      <c r="K252" s="19"/>
      <c r="L252" s="194"/>
    </row>
    <row r="253">
      <c r="K253" s="19"/>
      <c r="L253" s="194"/>
    </row>
    <row r="254">
      <c r="K254" s="19"/>
      <c r="L254" s="194"/>
    </row>
    <row r="255">
      <c r="K255" s="19"/>
      <c r="L255" s="194"/>
    </row>
    <row r="256">
      <c r="K256" s="19"/>
      <c r="L256" s="194"/>
    </row>
    <row r="257">
      <c r="K257" s="19"/>
      <c r="L257" s="194"/>
    </row>
    <row r="258">
      <c r="K258" s="19"/>
      <c r="L258" s="194"/>
    </row>
    <row r="259">
      <c r="K259" s="19"/>
      <c r="L259" s="194"/>
    </row>
    <row r="260">
      <c r="K260" s="19"/>
      <c r="L260" s="194"/>
    </row>
    <row r="261">
      <c r="K261" s="19"/>
      <c r="L261" s="194"/>
    </row>
    <row r="262">
      <c r="K262" s="19"/>
      <c r="L262" s="194"/>
    </row>
    <row r="263">
      <c r="K263" s="19"/>
      <c r="L263" s="194"/>
    </row>
    <row r="264">
      <c r="K264" s="19"/>
      <c r="L264" s="194"/>
    </row>
    <row r="265">
      <c r="K265" s="19"/>
      <c r="L265" s="194"/>
    </row>
    <row r="266">
      <c r="K266" s="19"/>
      <c r="L266" s="194"/>
    </row>
    <row r="267">
      <c r="K267" s="19"/>
      <c r="L267" s="194"/>
    </row>
    <row r="268">
      <c r="K268" s="19"/>
      <c r="L268" s="194"/>
    </row>
    <row r="269">
      <c r="K269" s="19"/>
      <c r="L269" s="194"/>
    </row>
    <row r="270">
      <c r="K270" s="19"/>
      <c r="L270" s="194"/>
    </row>
    <row r="271">
      <c r="K271" s="19"/>
      <c r="L271" s="194"/>
    </row>
    <row r="272">
      <c r="K272" s="19"/>
      <c r="L272" s="194"/>
    </row>
    <row r="273">
      <c r="K273" s="19"/>
      <c r="L273" s="194"/>
    </row>
    <row r="274">
      <c r="K274" s="19"/>
      <c r="L274" s="194"/>
    </row>
    <row r="275">
      <c r="K275" s="19"/>
      <c r="L275" s="194"/>
    </row>
    <row r="276">
      <c r="K276" s="19"/>
      <c r="L276" s="194"/>
    </row>
    <row r="277">
      <c r="K277" s="19"/>
      <c r="L277" s="194"/>
    </row>
    <row r="278">
      <c r="K278" s="19"/>
      <c r="L278" s="194"/>
    </row>
    <row r="279">
      <c r="K279" s="19"/>
      <c r="L279" s="194"/>
    </row>
    <row r="280">
      <c r="K280" s="19"/>
      <c r="L280" s="194"/>
    </row>
    <row r="281">
      <c r="K281" s="19"/>
      <c r="L281" s="194"/>
    </row>
    <row r="282">
      <c r="K282" s="19"/>
      <c r="L282" s="194"/>
    </row>
    <row r="283">
      <c r="K283" s="19"/>
      <c r="L283" s="194"/>
    </row>
    <row r="284">
      <c r="K284" s="19"/>
      <c r="L284" s="194"/>
    </row>
    <row r="285">
      <c r="K285" s="19"/>
      <c r="L285" s="194"/>
    </row>
    <row r="286">
      <c r="K286" s="19"/>
      <c r="L286" s="194"/>
    </row>
    <row r="287">
      <c r="K287" s="19"/>
      <c r="L287" s="194"/>
    </row>
    <row r="288">
      <c r="K288" s="19"/>
      <c r="L288" s="194"/>
    </row>
    <row r="289">
      <c r="K289" s="19"/>
      <c r="L289" s="194"/>
    </row>
    <row r="290">
      <c r="K290" s="19"/>
      <c r="L290" s="194"/>
    </row>
    <row r="291">
      <c r="K291" s="19"/>
      <c r="L291" s="194"/>
    </row>
    <row r="292">
      <c r="K292" s="19"/>
      <c r="L292" s="194"/>
    </row>
    <row r="293">
      <c r="K293" s="19"/>
      <c r="L293" s="194"/>
    </row>
    <row r="294">
      <c r="K294" s="19"/>
      <c r="L294" s="194"/>
    </row>
    <row r="295">
      <c r="K295" s="19"/>
      <c r="L295" s="194"/>
    </row>
    <row r="296">
      <c r="K296" s="19"/>
      <c r="L296" s="194"/>
    </row>
    <row r="297">
      <c r="K297" s="19"/>
      <c r="L297" s="194"/>
    </row>
    <row r="298">
      <c r="K298" s="19"/>
      <c r="L298" s="194"/>
    </row>
    <row r="299">
      <c r="K299" s="19"/>
      <c r="L299" s="194"/>
    </row>
    <row r="300">
      <c r="K300" s="19"/>
      <c r="L300" s="194"/>
    </row>
    <row r="301">
      <c r="K301" s="19"/>
      <c r="L301" s="194"/>
    </row>
    <row r="302">
      <c r="K302" s="19"/>
      <c r="L302" s="194"/>
    </row>
    <row r="303">
      <c r="K303" s="19"/>
      <c r="L303" s="194"/>
    </row>
    <row r="304">
      <c r="K304" s="19"/>
      <c r="L304" s="194"/>
    </row>
    <row r="305">
      <c r="K305" s="19"/>
      <c r="L305" s="194"/>
    </row>
    <row r="306">
      <c r="K306" s="19"/>
      <c r="L306" s="194"/>
    </row>
    <row r="307">
      <c r="K307" s="19"/>
      <c r="L307" s="194"/>
    </row>
    <row r="308">
      <c r="K308" s="19"/>
      <c r="L308" s="194"/>
    </row>
    <row r="309">
      <c r="K309" s="19"/>
      <c r="L309" s="194"/>
    </row>
    <row r="310">
      <c r="K310" s="19"/>
      <c r="L310" s="194"/>
    </row>
    <row r="311">
      <c r="K311" s="19"/>
      <c r="L311" s="194"/>
    </row>
    <row r="312">
      <c r="K312" s="19"/>
      <c r="L312" s="194"/>
    </row>
    <row r="313">
      <c r="K313" s="19"/>
      <c r="L313" s="194"/>
    </row>
    <row r="314">
      <c r="K314" s="19"/>
      <c r="L314" s="194"/>
    </row>
    <row r="315">
      <c r="K315" s="19"/>
      <c r="L315" s="194"/>
    </row>
    <row r="316">
      <c r="K316" s="19"/>
      <c r="L316" s="194"/>
    </row>
    <row r="317">
      <c r="K317" s="19"/>
      <c r="L317" s="194"/>
    </row>
    <row r="318">
      <c r="K318" s="19"/>
      <c r="L318" s="194"/>
    </row>
    <row r="319">
      <c r="K319" s="19"/>
      <c r="L319" s="194"/>
    </row>
    <row r="320">
      <c r="K320" s="19"/>
      <c r="L320" s="194"/>
    </row>
    <row r="321">
      <c r="K321" s="19"/>
      <c r="L321" s="194"/>
    </row>
    <row r="322">
      <c r="K322" s="19"/>
      <c r="L322" s="194"/>
    </row>
    <row r="323">
      <c r="K323" s="19"/>
      <c r="L323" s="194"/>
    </row>
    <row r="324">
      <c r="K324" s="19"/>
      <c r="L324" s="194"/>
    </row>
    <row r="325">
      <c r="K325" s="19"/>
      <c r="L325" s="194"/>
    </row>
    <row r="326">
      <c r="K326" s="19"/>
      <c r="L326" s="194"/>
    </row>
    <row r="327">
      <c r="K327" s="19"/>
      <c r="L327" s="194"/>
    </row>
    <row r="328">
      <c r="K328" s="19"/>
      <c r="L328" s="194"/>
    </row>
    <row r="329">
      <c r="K329" s="19"/>
      <c r="L329" s="194"/>
    </row>
    <row r="330">
      <c r="K330" s="19"/>
      <c r="L330" s="194"/>
    </row>
    <row r="331">
      <c r="K331" s="19"/>
      <c r="L331" s="194"/>
    </row>
    <row r="332">
      <c r="K332" s="19"/>
      <c r="L332" s="194"/>
    </row>
    <row r="333">
      <c r="K333" s="19"/>
      <c r="L333" s="194"/>
    </row>
    <row r="334">
      <c r="K334" s="19"/>
      <c r="L334" s="194"/>
    </row>
    <row r="335">
      <c r="K335" s="19"/>
      <c r="L335" s="194"/>
    </row>
    <row r="336">
      <c r="K336" s="19"/>
      <c r="L336" s="194"/>
    </row>
    <row r="337">
      <c r="K337" s="19"/>
      <c r="L337" s="194"/>
    </row>
    <row r="338">
      <c r="K338" s="19"/>
      <c r="L338" s="194"/>
    </row>
    <row r="339">
      <c r="K339" s="19"/>
      <c r="L339" s="194"/>
    </row>
    <row r="340">
      <c r="K340" s="19"/>
      <c r="L340" s="194"/>
    </row>
    <row r="341">
      <c r="K341" s="19"/>
      <c r="L341" s="194"/>
    </row>
    <row r="342">
      <c r="K342" s="19"/>
      <c r="L342" s="194"/>
    </row>
    <row r="343">
      <c r="K343" s="19"/>
      <c r="L343" s="194"/>
    </row>
    <row r="344">
      <c r="K344" s="19"/>
      <c r="L344" s="194"/>
    </row>
    <row r="345">
      <c r="K345" s="19"/>
      <c r="L345" s="194"/>
    </row>
    <row r="346">
      <c r="K346" s="19"/>
      <c r="L346" s="194"/>
    </row>
    <row r="347">
      <c r="K347" s="19"/>
      <c r="L347" s="194"/>
    </row>
    <row r="348">
      <c r="K348" s="19"/>
      <c r="L348" s="194"/>
    </row>
    <row r="349">
      <c r="K349" s="19"/>
      <c r="L349" s="194"/>
    </row>
    <row r="350">
      <c r="K350" s="19"/>
      <c r="L350" s="194"/>
    </row>
    <row r="351">
      <c r="K351" s="19"/>
      <c r="L351" s="194"/>
    </row>
    <row r="352">
      <c r="K352" s="19"/>
      <c r="L352" s="194"/>
    </row>
    <row r="353">
      <c r="K353" s="19"/>
      <c r="L353" s="194"/>
    </row>
    <row r="354">
      <c r="K354" s="19"/>
      <c r="L354" s="194"/>
    </row>
    <row r="355">
      <c r="K355" s="19"/>
      <c r="L355" s="194"/>
    </row>
    <row r="356">
      <c r="K356" s="19"/>
      <c r="L356" s="194"/>
    </row>
    <row r="357">
      <c r="K357" s="19"/>
      <c r="L357" s="194"/>
    </row>
    <row r="358">
      <c r="K358" s="19"/>
      <c r="L358" s="194"/>
    </row>
    <row r="359">
      <c r="K359" s="19"/>
      <c r="L359" s="194"/>
    </row>
    <row r="360">
      <c r="K360" s="19"/>
      <c r="L360" s="194"/>
    </row>
    <row r="361">
      <c r="K361" s="19"/>
      <c r="L361" s="194"/>
    </row>
    <row r="362">
      <c r="K362" s="19"/>
      <c r="L362" s="194"/>
    </row>
    <row r="363">
      <c r="K363" s="19"/>
      <c r="L363" s="194"/>
    </row>
    <row r="364">
      <c r="K364" s="19"/>
      <c r="L364" s="194"/>
    </row>
    <row r="365">
      <c r="K365" s="19"/>
      <c r="L365" s="194"/>
    </row>
    <row r="366">
      <c r="K366" s="19"/>
      <c r="L366" s="194"/>
    </row>
    <row r="367">
      <c r="K367" s="19"/>
      <c r="L367" s="194"/>
    </row>
    <row r="368">
      <c r="K368" s="19"/>
      <c r="L368" s="194"/>
    </row>
    <row r="369">
      <c r="K369" s="19"/>
      <c r="L369" s="194"/>
    </row>
    <row r="370">
      <c r="K370" s="19"/>
      <c r="L370" s="194"/>
    </row>
    <row r="371">
      <c r="K371" s="19"/>
      <c r="L371" s="194"/>
    </row>
    <row r="372">
      <c r="K372" s="19"/>
      <c r="L372" s="194"/>
    </row>
    <row r="373">
      <c r="K373" s="19"/>
      <c r="L373" s="194"/>
    </row>
    <row r="374">
      <c r="K374" s="19"/>
      <c r="L374" s="194"/>
    </row>
    <row r="375">
      <c r="K375" s="19"/>
      <c r="L375" s="194"/>
    </row>
    <row r="376">
      <c r="K376" s="19"/>
      <c r="L376" s="194"/>
    </row>
    <row r="377">
      <c r="K377" s="19"/>
      <c r="L377" s="194"/>
    </row>
    <row r="378">
      <c r="K378" s="19"/>
      <c r="L378" s="194"/>
    </row>
    <row r="379">
      <c r="K379" s="19"/>
      <c r="L379" s="194"/>
    </row>
    <row r="380">
      <c r="K380" s="19"/>
      <c r="L380" s="194"/>
    </row>
    <row r="381">
      <c r="K381" s="19"/>
      <c r="L381" s="194"/>
    </row>
    <row r="382">
      <c r="K382" s="19"/>
      <c r="L382" s="194"/>
    </row>
    <row r="383">
      <c r="K383" s="19"/>
      <c r="L383" s="194"/>
    </row>
    <row r="384">
      <c r="K384" s="19"/>
      <c r="L384" s="194"/>
    </row>
    <row r="385">
      <c r="K385" s="19"/>
      <c r="L385" s="194"/>
    </row>
    <row r="386">
      <c r="K386" s="19"/>
      <c r="L386" s="194"/>
    </row>
    <row r="387">
      <c r="K387" s="19"/>
      <c r="L387" s="194"/>
    </row>
    <row r="388">
      <c r="K388" s="19"/>
      <c r="L388" s="194"/>
    </row>
    <row r="389">
      <c r="K389" s="19"/>
      <c r="L389" s="194"/>
    </row>
    <row r="390">
      <c r="K390" s="19"/>
      <c r="L390" s="194"/>
    </row>
    <row r="391">
      <c r="K391" s="19"/>
      <c r="L391" s="194"/>
    </row>
    <row r="392">
      <c r="K392" s="19"/>
      <c r="L392" s="194"/>
    </row>
    <row r="393">
      <c r="K393" s="19"/>
      <c r="L393" s="194"/>
    </row>
    <row r="394">
      <c r="K394" s="19"/>
      <c r="L394" s="194"/>
    </row>
    <row r="395">
      <c r="K395" s="19"/>
      <c r="L395" s="194"/>
    </row>
    <row r="396">
      <c r="K396" s="19"/>
      <c r="L396" s="194"/>
    </row>
    <row r="397">
      <c r="K397" s="19"/>
      <c r="L397" s="194"/>
    </row>
    <row r="398">
      <c r="K398" s="19"/>
      <c r="L398" s="194"/>
    </row>
    <row r="399">
      <c r="K399" s="19"/>
      <c r="L399" s="194"/>
    </row>
    <row r="400">
      <c r="K400" s="19"/>
      <c r="L400" s="194"/>
    </row>
    <row r="401">
      <c r="K401" s="19"/>
      <c r="L401" s="194"/>
    </row>
    <row r="402">
      <c r="K402" s="19"/>
      <c r="L402" s="194"/>
    </row>
    <row r="403">
      <c r="K403" s="19"/>
      <c r="L403" s="194"/>
    </row>
    <row r="404">
      <c r="K404" s="19"/>
      <c r="L404" s="194"/>
    </row>
    <row r="405">
      <c r="K405" s="19"/>
      <c r="L405" s="194"/>
    </row>
    <row r="406">
      <c r="K406" s="19"/>
      <c r="L406" s="194"/>
    </row>
    <row r="407">
      <c r="K407" s="19"/>
      <c r="L407" s="194"/>
    </row>
    <row r="408">
      <c r="K408" s="19"/>
      <c r="L408" s="194"/>
    </row>
    <row r="409">
      <c r="K409" s="19"/>
      <c r="L409" s="194"/>
    </row>
    <row r="410">
      <c r="K410" s="19"/>
      <c r="L410" s="194"/>
    </row>
    <row r="411">
      <c r="K411" s="19"/>
      <c r="L411" s="194"/>
    </row>
    <row r="412">
      <c r="K412" s="19"/>
      <c r="L412" s="194"/>
    </row>
    <row r="413">
      <c r="K413" s="19"/>
      <c r="L413" s="194"/>
    </row>
    <row r="414">
      <c r="K414" s="19"/>
      <c r="L414" s="194"/>
    </row>
    <row r="415">
      <c r="K415" s="19"/>
      <c r="L415" s="194"/>
    </row>
    <row r="416">
      <c r="K416" s="19"/>
      <c r="L416" s="194"/>
    </row>
    <row r="417">
      <c r="K417" s="19"/>
      <c r="L417" s="194"/>
    </row>
    <row r="418">
      <c r="K418" s="19"/>
      <c r="L418" s="194"/>
    </row>
    <row r="419">
      <c r="K419" s="19"/>
      <c r="L419" s="194"/>
    </row>
    <row r="420">
      <c r="K420" s="19"/>
      <c r="L420" s="194"/>
    </row>
    <row r="421">
      <c r="K421" s="19"/>
      <c r="L421" s="194"/>
    </row>
    <row r="422">
      <c r="K422" s="19"/>
      <c r="L422" s="194"/>
    </row>
    <row r="423">
      <c r="K423" s="19"/>
      <c r="L423" s="194"/>
    </row>
    <row r="424">
      <c r="K424" s="19"/>
      <c r="L424" s="194"/>
    </row>
    <row r="425">
      <c r="K425" s="19"/>
      <c r="L425" s="194"/>
    </row>
    <row r="426">
      <c r="K426" s="19"/>
      <c r="L426" s="194"/>
    </row>
    <row r="427">
      <c r="K427" s="19"/>
      <c r="L427" s="194"/>
    </row>
    <row r="428">
      <c r="K428" s="19"/>
      <c r="L428" s="194"/>
    </row>
    <row r="429">
      <c r="K429" s="19"/>
      <c r="L429" s="194"/>
    </row>
    <row r="430">
      <c r="K430" s="19"/>
      <c r="L430" s="194"/>
    </row>
    <row r="431">
      <c r="K431" s="19"/>
      <c r="L431" s="194"/>
    </row>
    <row r="432">
      <c r="K432" s="19"/>
      <c r="L432" s="194"/>
    </row>
    <row r="433">
      <c r="K433" s="19"/>
      <c r="L433" s="194"/>
    </row>
    <row r="434">
      <c r="K434" s="19"/>
      <c r="L434" s="194"/>
    </row>
    <row r="435">
      <c r="K435" s="19"/>
      <c r="L435" s="194"/>
    </row>
    <row r="436">
      <c r="K436" s="19"/>
      <c r="L436" s="194"/>
    </row>
    <row r="437">
      <c r="K437" s="19"/>
      <c r="L437" s="194"/>
    </row>
    <row r="438">
      <c r="K438" s="19"/>
      <c r="L438" s="194"/>
    </row>
    <row r="439">
      <c r="K439" s="19"/>
      <c r="L439" s="194"/>
    </row>
    <row r="440">
      <c r="K440" s="19"/>
      <c r="L440" s="194"/>
    </row>
    <row r="441">
      <c r="K441" s="19"/>
      <c r="L441" s="194"/>
    </row>
    <row r="442">
      <c r="K442" s="19"/>
      <c r="L442" s="194"/>
    </row>
    <row r="443">
      <c r="K443" s="19"/>
      <c r="L443" s="194"/>
    </row>
    <row r="444">
      <c r="K444" s="19"/>
      <c r="L444" s="194"/>
    </row>
    <row r="445">
      <c r="K445" s="19"/>
      <c r="L445" s="194"/>
    </row>
    <row r="446">
      <c r="K446" s="19"/>
      <c r="L446" s="194"/>
    </row>
    <row r="447">
      <c r="K447" s="19"/>
      <c r="L447" s="194"/>
    </row>
    <row r="448">
      <c r="K448" s="19"/>
      <c r="L448" s="194"/>
    </row>
    <row r="449">
      <c r="K449" s="19"/>
      <c r="L449" s="194"/>
    </row>
    <row r="450">
      <c r="K450" s="19"/>
      <c r="L450" s="194"/>
    </row>
    <row r="451">
      <c r="K451" s="19"/>
      <c r="L451" s="194"/>
    </row>
    <row r="452">
      <c r="K452" s="19"/>
      <c r="L452" s="194"/>
    </row>
    <row r="453">
      <c r="K453" s="19"/>
      <c r="L453" s="194"/>
    </row>
    <row r="454">
      <c r="K454" s="19"/>
      <c r="L454" s="194"/>
    </row>
    <row r="455">
      <c r="K455" s="19"/>
      <c r="L455" s="194"/>
    </row>
    <row r="456">
      <c r="K456" s="19"/>
      <c r="L456" s="194"/>
    </row>
    <row r="457">
      <c r="K457" s="19"/>
      <c r="L457" s="194"/>
    </row>
    <row r="458">
      <c r="K458" s="19"/>
      <c r="L458" s="194"/>
    </row>
    <row r="459">
      <c r="K459" s="19"/>
      <c r="L459" s="194"/>
    </row>
    <row r="460">
      <c r="K460" s="19"/>
      <c r="L460" s="194"/>
    </row>
    <row r="461">
      <c r="K461" s="19"/>
      <c r="L461" s="194"/>
    </row>
    <row r="462">
      <c r="K462" s="19"/>
      <c r="L462" s="194"/>
    </row>
    <row r="463">
      <c r="K463" s="19"/>
      <c r="L463" s="194"/>
    </row>
    <row r="464">
      <c r="K464" s="19"/>
      <c r="L464" s="194"/>
    </row>
    <row r="465">
      <c r="K465" s="19"/>
      <c r="L465" s="194"/>
    </row>
    <row r="466">
      <c r="K466" s="19"/>
      <c r="L466" s="194"/>
    </row>
    <row r="467">
      <c r="K467" s="19"/>
      <c r="L467" s="194"/>
    </row>
    <row r="468">
      <c r="K468" s="19"/>
      <c r="L468" s="194"/>
    </row>
    <row r="469">
      <c r="K469" s="19"/>
      <c r="L469" s="194"/>
    </row>
    <row r="470">
      <c r="K470" s="19"/>
      <c r="L470" s="194"/>
    </row>
    <row r="471">
      <c r="K471" s="19"/>
      <c r="L471" s="194"/>
    </row>
    <row r="472">
      <c r="K472" s="19"/>
      <c r="L472" s="194"/>
    </row>
    <row r="473">
      <c r="K473" s="19"/>
      <c r="L473" s="194"/>
    </row>
    <row r="474">
      <c r="K474" s="19"/>
      <c r="L474" s="194"/>
    </row>
    <row r="475">
      <c r="K475" s="19"/>
      <c r="L475" s="194"/>
    </row>
    <row r="476">
      <c r="K476" s="19"/>
      <c r="L476" s="194"/>
    </row>
    <row r="477">
      <c r="K477" s="19"/>
      <c r="L477" s="194"/>
    </row>
    <row r="478">
      <c r="K478" s="19"/>
      <c r="L478" s="194"/>
    </row>
    <row r="479">
      <c r="K479" s="19"/>
      <c r="L479" s="194"/>
    </row>
    <row r="480">
      <c r="K480" s="19"/>
      <c r="L480" s="194"/>
    </row>
    <row r="481">
      <c r="K481" s="19"/>
      <c r="L481" s="194"/>
    </row>
    <row r="482">
      <c r="K482" s="19"/>
      <c r="L482" s="194"/>
    </row>
    <row r="483">
      <c r="K483" s="19"/>
      <c r="L483" s="194"/>
    </row>
    <row r="484">
      <c r="K484" s="19"/>
      <c r="L484" s="194"/>
    </row>
    <row r="485">
      <c r="K485" s="19"/>
      <c r="L485" s="194"/>
    </row>
    <row r="486">
      <c r="K486" s="19"/>
      <c r="L486" s="194"/>
    </row>
    <row r="487">
      <c r="K487" s="19"/>
      <c r="L487" s="194"/>
    </row>
    <row r="488">
      <c r="K488" s="19"/>
      <c r="L488" s="194"/>
    </row>
    <row r="489">
      <c r="K489" s="19"/>
      <c r="L489" s="194"/>
    </row>
    <row r="490">
      <c r="K490" s="19"/>
      <c r="L490" s="194"/>
    </row>
    <row r="491">
      <c r="K491" s="19"/>
      <c r="L491" s="194"/>
    </row>
    <row r="492">
      <c r="K492" s="19"/>
      <c r="L492" s="194"/>
    </row>
    <row r="493">
      <c r="K493" s="19"/>
      <c r="L493" s="194"/>
    </row>
    <row r="494">
      <c r="K494" s="19"/>
      <c r="L494" s="194"/>
    </row>
    <row r="495">
      <c r="K495" s="19"/>
      <c r="L495" s="194"/>
    </row>
    <row r="496">
      <c r="K496" s="19"/>
      <c r="L496" s="194"/>
    </row>
    <row r="497">
      <c r="K497" s="19"/>
      <c r="L497" s="194"/>
    </row>
    <row r="498">
      <c r="K498" s="19"/>
      <c r="L498" s="194"/>
    </row>
    <row r="499">
      <c r="K499" s="19"/>
      <c r="L499" s="194"/>
    </row>
    <row r="500">
      <c r="K500" s="19"/>
      <c r="L500" s="194"/>
    </row>
    <row r="501">
      <c r="K501" s="19"/>
      <c r="L501" s="194"/>
    </row>
    <row r="502">
      <c r="K502" s="19"/>
      <c r="L502" s="194"/>
    </row>
    <row r="503">
      <c r="K503" s="19"/>
      <c r="L503" s="194"/>
    </row>
    <row r="504">
      <c r="K504" s="19"/>
      <c r="L504" s="194"/>
    </row>
    <row r="505">
      <c r="K505" s="19"/>
      <c r="L505" s="194"/>
    </row>
    <row r="506">
      <c r="K506" s="19"/>
      <c r="L506" s="194"/>
    </row>
    <row r="507">
      <c r="K507" s="19"/>
      <c r="L507" s="194"/>
    </row>
    <row r="508">
      <c r="K508" s="19"/>
      <c r="L508" s="194"/>
    </row>
    <row r="509">
      <c r="K509" s="19"/>
      <c r="L509" s="194"/>
    </row>
    <row r="510">
      <c r="K510" s="19"/>
      <c r="L510" s="194"/>
    </row>
    <row r="511">
      <c r="K511" s="19"/>
      <c r="L511" s="194"/>
    </row>
    <row r="512">
      <c r="K512" s="19"/>
      <c r="L512" s="194"/>
    </row>
    <row r="513">
      <c r="K513" s="19"/>
      <c r="L513" s="194"/>
    </row>
    <row r="514">
      <c r="K514" s="19"/>
      <c r="L514" s="194"/>
    </row>
    <row r="515">
      <c r="K515" s="19"/>
      <c r="L515" s="194"/>
    </row>
    <row r="516">
      <c r="K516" s="19"/>
      <c r="L516" s="194"/>
    </row>
    <row r="517">
      <c r="K517" s="19"/>
      <c r="L517" s="194"/>
    </row>
    <row r="518">
      <c r="K518" s="19"/>
      <c r="L518" s="194"/>
    </row>
    <row r="519">
      <c r="K519" s="19"/>
      <c r="L519" s="194"/>
    </row>
    <row r="520">
      <c r="K520" s="19"/>
      <c r="L520" s="194"/>
    </row>
    <row r="521">
      <c r="K521" s="19"/>
      <c r="L521" s="194"/>
    </row>
    <row r="522">
      <c r="K522" s="19"/>
      <c r="L522" s="194"/>
    </row>
    <row r="523">
      <c r="K523" s="19"/>
      <c r="L523" s="194"/>
    </row>
    <row r="524">
      <c r="K524" s="19"/>
      <c r="L524" s="194"/>
    </row>
    <row r="525">
      <c r="K525" s="19"/>
      <c r="L525" s="194"/>
    </row>
    <row r="526">
      <c r="K526" s="19"/>
      <c r="L526" s="194"/>
    </row>
    <row r="527">
      <c r="K527" s="19"/>
      <c r="L527" s="194"/>
    </row>
    <row r="528">
      <c r="K528" s="19"/>
      <c r="L528" s="194"/>
    </row>
    <row r="529">
      <c r="K529" s="19"/>
      <c r="L529" s="194"/>
    </row>
    <row r="530">
      <c r="K530" s="19"/>
      <c r="L530" s="194"/>
    </row>
    <row r="531">
      <c r="K531" s="19"/>
      <c r="L531" s="194"/>
    </row>
    <row r="532">
      <c r="K532" s="19"/>
      <c r="L532" s="194"/>
    </row>
    <row r="533">
      <c r="K533" s="19"/>
      <c r="L533" s="194"/>
    </row>
    <row r="534">
      <c r="K534" s="19"/>
      <c r="L534" s="194"/>
    </row>
    <row r="535">
      <c r="K535" s="19"/>
      <c r="L535" s="194"/>
    </row>
    <row r="536">
      <c r="K536" s="19"/>
      <c r="L536" s="194"/>
    </row>
    <row r="537">
      <c r="K537" s="19"/>
      <c r="L537" s="194"/>
    </row>
    <row r="538">
      <c r="K538" s="19"/>
      <c r="L538" s="194"/>
    </row>
    <row r="539">
      <c r="K539" s="19"/>
      <c r="L539" s="194"/>
    </row>
    <row r="540">
      <c r="K540" s="19"/>
      <c r="L540" s="194"/>
    </row>
    <row r="541">
      <c r="K541" s="19"/>
      <c r="L541" s="194"/>
    </row>
    <row r="542">
      <c r="K542" s="19"/>
      <c r="L542" s="194"/>
    </row>
    <row r="543">
      <c r="K543" s="19"/>
      <c r="L543" s="194"/>
    </row>
    <row r="544">
      <c r="K544" s="19"/>
      <c r="L544" s="194"/>
    </row>
    <row r="545">
      <c r="K545" s="19"/>
      <c r="L545" s="194"/>
    </row>
    <row r="546">
      <c r="K546" s="19"/>
      <c r="L546" s="194"/>
    </row>
    <row r="547">
      <c r="K547" s="19"/>
      <c r="L547" s="194"/>
    </row>
    <row r="548">
      <c r="K548" s="19"/>
      <c r="L548" s="194"/>
    </row>
    <row r="549">
      <c r="K549" s="19"/>
      <c r="L549" s="194"/>
    </row>
    <row r="550">
      <c r="K550" s="19"/>
      <c r="L550" s="194"/>
    </row>
    <row r="551">
      <c r="K551" s="19"/>
      <c r="L551" s="194"/>
    </row>
    <row r="552">
      <c r="K552" s="19"/>
      <c r="L552" s="194"/>
    </row>
    <row r="553">
      <c r="K553" s="19"/>
      <c r="L553" s="194"/>
    </row>
    <row r="554">
      <c r="K554" s="19"/>
      <c r="L554" s="194"/>
    </row>
    <row r="555">
      <c r="K555" s="19"/>
      <c r="L555" s="194"/>
    </row>
    <row r="556">
      <c r="K556" s="19"/>
      <c r="L556" s="194"/>
    </row>
    <row r="557">
      <c r="K557" s="19"/>
      <c r="L557" s="194"/>
    </row>
    <row r="558">
      <c r="K558" s="19"/>
      <c r="L558" s="194"/>
    </row>
    <row r="559">
      <c r="K559" s="19"/>
      <c r="L559" s="194"/>
    </row>
    <row r="560">
      <c r="K560" s="19"/>
      <c r="L560" s="194"/>
    </row>
    <row r="561">
      <c r="K561" s="19"/>
      <c r="L561" s="194"/>
    </row>
    <row r="562">
      <c r="K562" s="19"/>
      <c r="L562" s="194"/>
    </row>
    <row r="563">
      <c r="K563" s="19"/>
      <c r="L563" s="194"/>
    </row>
    <row r="564">
      <c r="K564" s="19"/>
      <c r="L564" s="194"/>
    </row>
    <row r="565">
      <c r="K565" s="19"/>
      <c r="L565" s="194"/>
    </row>
    <row r="566">
      <c r="K566" s="19"/>
      <c r="L566" s="194"/>
    </row>
    <row r="567">
      <c r="K567" s="19"/>
      <c r="L567" s="194"/>
    </row>
    <row r="568">
      <c r="K568" s="19"/>
      <c r="L568" s="194"/>
    </row>
    <row r="569">
      <c r="K569" s="19"/>
      <c r="L569" s="194"/>
    </row>
    <row r="570">
      <c r="K570" s="19"/>
      <c r="L570" s="194"/>
    </row>
    <row r="571">
      <c r="K571" s="19"/>
      <c r="L571" s="194"/>
    </row>
    <row r="572">
      <c r="K572" s="19"/>
      <c r="L572" s="194"/>
    </row>
    <row r="573">
      <c r="K573" s="19"/>
      <c r="L573" s="194"/>
    </row>
    <row r="574">
      <c r="K574" s="19"/>
      <c r="L574" s="194"/>
    </row>
    <row r="575">
      <c r="K575" s="19"/>
      <c r="L575" s="194"/>
    </row>
    <row r="576">
      <c r="K576" s="19"/>
      <c r="L576" s="194"/>
    </row>
    <row r="577">
      <c r="K577" s="19"/>
      <c r="L577" s="194"/>
    </row>
    <row r="578">
      <c r="K578" s="19"/>
      <c r="L578" s="194"/>
    </row>
    <row r="579">
      <c r="K579" s="19"/>
      <c r="L579" s="194"/>
    </row>
    <row r="580">
      <c r="K580" s="19"/>
      <c r="L580" s="194"/>
    </row>
    <row r="581">
      <c r="K581" s="19"/>
      <c r="L581" s="194"/>
    </row>
    <row r="582">
      <c r="K582" s="19"/>
      <c r="L582" s="194"/>
    </row>
    <row r="583">
      <c r="K583" s="19"/>
      <c r="L583" s="194"/>
    </row>
    <row r="584">
      <c r="K584" s="19"/>
      <c r="L584" s="194"/>
    </row>
    <row r="585">
      <c r="K585" s="19"/>
      <c r="L585" s="194"/>
    </row>
    <row r="586">
      <c r="K586" s="19"/>
      <c r="L586" s="194"/>
    </row>
    <row r="587">
      <c r="K587" s="19"/>
      <c r="L587" s="194"/>
    </row>
    <row r="588">
      <c r="K588" s="19"/>
      <c r="L588" s="194"/>
    </row>
    <row r="589">
      <c r="K589" s="19"/>
      <c r="L589" s="194"/>
    </row>
    <row r="590">
      <c r="K590" s="19"/>
      <c r="L590" s="194"/>
    </row>
    <row r="591">
      <c r="K591" s="19"/>
      <c r="L591" s="194"/>
    </row>
    <row r="592">
      <c r="K592" s="19"/>
      <c r="L592" s="194"/>
    </row>
    <row r="593">
      <c r="K593" s="19"/>
      <c r="L593" s="194"/>
    </row>
    <row r="594">
      <c r="K594" s="19"/>
      <c r="L594" s="194"/>
    </row>
    <row r="595">
      <c r="K595" s="19"/>
      <c r="L595" s="194"/>
    </row>
    <row r="596">
      <c r="K596" s="19"/>
      <c r="L596" s="194"/>
    </row>
    <row r="597">
      <c r="K597" s="19"/>
      <c r="L597" s="194"/>
    </row>
    <row r="598">
      <c r="K598" s="19"/>
      <c r="L598" s="194"/>
    </row>
    <row r="599">
      <c r="K599" s="19"/>
      <c r="L599" s="194"/>
    </row>
    <row r="600">
      <c r="K600" s="19"/>
      <c r="L600" s="194"/>
    </row>
    <row r="601">
      <c r="K601" s="19"/>
      <c r="L601" s="194"/>
    </row>
    <row r="602">
      <c r="K602" s="19"/>
      <c r="L602" s="194"/>
    </row>
    <row r="603">
      <c r="K603" s="19"/>
      <c r="L603" s="194"/>
    </row>
    <row r="604">
      <c r="K604" s="19"/>
      <c r="L604" s="194"/>
    </row>
    <row r="605">
      <c r="K605" s="19"/>
      <c r="L605" s="194"/>
    </row>
    <row r="606">
      <c r="K606" s="19"/>
      <c r="L606" s="194"/>
    </row>
    <row r="607">
      <c r="K607" s="19"/>
      <c r="L607" s="194"/>
    </row>
    <row r="608">
      <c r="K608" s="19"/>
      <c r="L608" s="194"/>
    </row>
    <row r="609">
      <c r="K609" s="19"/>
      <c r="L609" s="194"/>
    </row>
    <row r="610">
      <c r="K610" s="19"/>
      <c r="L610" s="194"/>
    </row>
    <row r="611">
      <c r="K611" s="19"/>
      <c r="L611" s="194"/>
    </row>
    <row r="612">
      <c r="K612" s="19"/>
      <c r="L612" s="194"/>
    </row>
    <row r="613">
      <c r="K613" s="19"/>
      <c r="L613" s="194"/>
    </row>
    <row r="614">
      <c r="K614" s="19"/>
      <c r="L614" s="194"/>
    </row>
    <row r="615">
      <c r="K615" s="19"/>
      <c r="L615" s="194"/>
    </row>
    <row r="616">
      <c r="K616" s="19"/>
      <c r="L616" s="194"/>
    </row>
    <row r="617">
      <c r="K617" s="19"/>
      <c r="L617" s="194"/>
    </row>
    <row r="618">
      <c r="K618" s="19"/>
      <c r="L618" s="194"/>
    </row>
    <row r="619">
      <c r="K619" s="19"/>
      <c r="L619" s="194"/>
    </row>
    <row r="620">
      <c r="K620" s="19"/>
      <c r="L620" s="194"/>
    </row>
    <row r="621">
      <c r="K621" s="19"/>
      <c r="L621" s="194"/>
    </row>
    <row r="622">
      <c r="K622" s="19"/>
      <c r="L622" s="194"/>
    </row>
    <row r="623">
      <c r="K623" s="19"/>
      <c r="L623" s="194"/>
    </row>
    <row r="624">
      <c r="K624" s="19"/>
      <c r="L624" s="194"/>
    </row>
    <row r="625">
      <c r="K625" s="19"/>
      <c r="L625" s="194"/>
    </row>
    <row r="626">
      <c r="K626" s="19"/>
      <c r="L626" s="194"/>
    </row>
    <row r="627">
      <c r="K627" s="19"/>
      <c r="L627" s="194"/>
    </row>
    <row r="628">
      <c r="K628" s="19"/>
      <c r="L628" s="194"/>
    </row>
    <row r="629">
      <c r="K629" s="19"/>
      <c r="L629" s="194"/>
    </row>
    <row r="630">
      <c r="K630" s="19"/>
      <c r="L630" s="194"/>
    </row>
    <row r="631">
      <c r="K631" s="19"/>
      <c r="L631" s="194"/>
    </row>
    <row r="632">
      <c r="K632" s="19"/>
      <c r="L632" s="194"/>
    </row>
    <row r="633">
      <c r="K633" s="19"/>
      <c r="L633" s="194"/>
    </row>
    <row r="634">
      <c r="K634" s="19"/>
      <c r="L634" s="194"/>
    </row>
    <row r="635">
      <c r="K635" s="19"/>
      <c r="L635" s="194"/>
    </row>
    <row r="636">
      <c r="K636" s="19"/>
      <c r="L636" s="194"/>
    </row>
    <row r="637">
      <c r="K637" s="19"/>
      <c r="L637" s="194"/>
    </row>
    <row r="638">
      <c r="K638" s="19"/>
      <c r="L638" s="194"/>
    </row>
    <row r="639">
      <c r="K639" s="19"/>
      <c r="L639" s="194"/>
    </row>
    <row r="640">
      <c r="K640" s="19"/>
      <c r="L640" s="194"/>
    </row>
    <row r="641">
      <c r="K641" s="19"/>
      <c r="L641" s="194"/>
    </row>
    <row r="642">
      <c r="K642" s="19"/>
      <c r="L642" s="194"/>
    </row>
    <row r="643">
      <c r="K643" s="19"/>
      <c r="L643" s="194"/>
    </row>
    <row r="644">
      <c r="K644" s="19"/>
      <c r="L644" s="194"/>
    </row>
    <row r="645">
      <c r="K645" s="19"/>
      <c r="L645" s="194"/>
    </row>
    <row r="646">
      <c r="K646" s="19"/>
      <c r="L646" s="194"/>
    </row>
    <row r="647">
      <c r="K647" s="19"/>
      <c r="L647" s="194"/>
    </row>
    <row r="648">
      <c r="K648" s="19"/>
      <c r="L648" s="194"/>
    </row>
    <row r="649">
      <c r="K649" s="19"/>
      <c r="L649" s="194"/>
    </row>
    <row r="650">
      <c r="K650" s="19"/>
      <c r="L650" s="194"/>
    </row>
    <row r="651">
      <c r="K651" s="19"/>
      <c r="L651" s="194"/>
    </row>
    <row r="652">
      <c r="K652" s="19"/>
      <c r="L652" s="194"/>
    </row>
    <row r="653">
      <c r="K653" s="19"/>
      <c r="L653" s="194"/>
    </row>
    <row r="654">
      <c r="K654" s="19"/>
      <c r="L654" s="194"/>
    </row>
    <row r="655">
      <c r="K655" s="19"/>
      <c r="L655" s="194"/>
    </row>
    <row r="656">
      <c r="K656" s="19"/>
      <c r="L656" s="194"/>
    </row>
    <row r="657">
      <c r="K657" s="19"/>
      <c r="L657" s="194"/>
    </row>
    <row r="658">
      <c r="K658" s="19"/>
      <c r="L658" s="194"/>
    </row>
    <row r="659">
      <c r="K659" s="19"/>
      <c r="L659" s="194"/>
    </row>
    <row r="660">
      <c r="K660" s="19"/>
      <c r="L660" s="194"/>
    </row>
    <row r="661">
      <c r="K661" s="19"/>
      <c r="L661" s="194"/>
    </row>
    <row r="662">
      <c r="K662" s="19"/>
      <c r="L662" s="194"/>
    </row>
    <row r="663">
      <c r="K663" s="19"/>
      <c r="L663" s="194"/>
    </row>
    <row r="664">
      <c r="K664" s="19"/>
      <c r="L664" s="194"/>
    </row>
    <row r="665">
      <c r="K665" s="19"/>
      <c r="L665" s="194"/>
    </row>
    <row r="666">
      <c r="K666" s="19"/>
      <c r="L666" s="194"/>
    </row>
    <row r="667">
      <c r="K667" s="19"/>
      <c r="L667" s="194"/>
    </row>
    <row r="668">
      <c r="K668" s="19"/>
      <c r="L668" s="194"/>
    </row>
    <row r="669">
      <c r="K669" s="19"/>
      <c r="L669" s="194"/>
    </row>
    <row r="670">
      <c r="K670" s="19"/>
      <c r="L670" s="194"/>
    </row>
    <row r="671">
      <c r="K671" s="19"/>
      <c r="L671" s="194"/>
    </row>
    <row r="672">
      <c r="K672" s="19"/>
      <c r="L672" s="194"/>
    </row>
    <row r="673">
      <c r="K673" s="19"/>
      <c r="L673" s="194"/>
    </row>
    <row r="674">
      <c r="K674" s="19"/>
      <c r="L674" s="194"/>
    </row>
    <row r="675">
      <c r="K675" s="19"/>
      <c r="L675" s="194"/>
    </row>
    <row r="676">
      <c r="K676" s="19"/>
      <c r="L676" s="194"/>
    </row>
    <row r="677">
      <c r="K677" s="19"/>
      <c r="L677" s="194"/>
    </row>
    <row r="678">
      <c r="K678" s="19"/>
      <c r="L678" s="194"/>
    </row>
    <row r="679">
      <c r="K679" s="19"/>
      <c r="L679" s="194"/>
    </row>
    <row r="680">
      <c r="K680" s="19"/>
      <c r="L680" s="194"/>
    </row>
    <row r="681">
      <c r="K681" s="19"/>
      <c r="L681" s="194"/>
    </row>
    <row r="682">
      <c r="K682" s="19"/>
      <c r="L682" s="194"/>
    </row>
    <row r="683">
      <c r="K683" s="19"/>
      <c r="L683" s="194"/>
    </row>
    <row r="684">
      <c r="K684" s="19"/>
      <c r="L684" s="194"/>
    </row>
    <row r="685">
      <c r="K685" s="19"/>
      <c r="L685" s="194"/>
    </row>
    <row r="686">
      <c r="K686" s="19"/>
      <c r="L686" s="194"/>
    </row>
    <row r="687">
      <c r="K687" s="19"/>
      <c r="L687" s="194"/>
    </row>
    <row r="688">
      <c r="K688" s="19"/>
      <c r="L688" s="194"/>
    </row>
    <row r="689">
      <c r="K689" s="19"/>
      <c r="L689" s="194"/>
    </row>
    <row r="690">
      <c r="K690" s="19"/>
      <c r="L690" s="194"/>
    </row>
    <row r="691">
      <c r="K691" s="19"/>
      <c r="L691" s="194"/>
    </row>
    <row r="692">
      <c r="K692" s="19"/>
      <c r="L692" s="194"/>
    </row>
    <row r="693">
      <c r="K693" s="19"/>
      <c r="L693" s="194"/>
    </row>
    <row r="694">
      <c r="K694" s="19"/>
      <c r="L694" s="194"/>
    </row>
    <row r="695">
      <c r="K695" s="19"/>
      <c r="L695" s="194"/>
    </row>
    <row r="696">
      <c r="K696" s="19"/>
      <c r="L696" s="194"/>
    </row>
    <row r="697">
      <c r="K697" s="19"/>
      <c r="L697" s="194"/>
    </row>
    <row r="698">
      <c r="K698" s="19"/>
      <c r="L698" s="194"/>
    </row>
    <row r="699">
      <c r="K699" s="19"/>
      <c r="L699" s="194"/>
    </row>
    <row r="700">
      <c r="K700" s="19"/>
      <c r="L700" s="194"/>
    </row>
    <row r="701">
      <c r="K701" s="19"/>
      <c r="L701" s="194"/>
    </row>
    <row r="702">
      <c r="K702" s="19"/>
      <c r="L702" s="194"/>
    </row>
    <row r="703">
      <c r="K703" s="19"/>
      <c r="L703" s="194"/>
    </row>
    <row r="704">
      <c r="K704" s="19"/>
      <c r="L704" s="194"/>
    </row>
    <row r="705">
      <c r="K705" s="19"/>
      <c r="L705" s="194"/>
    </row>
    <row r="706">
      <c r="K706" s="19"/>
      <c r="L706" s="194"/>
    </row>
    <row r="707">
      <c r="K707" s="19"/>
      <c r="L707" s="194"/>
    </row>
    <row r="708">
      <c r="K708" s="19"/>
      <c r="L708" s="194"/>
    </row>
    <row r="709">
      <c r="K709" s="19"/>
      <c r="L709" s="194"/>
    </row>
    <row r="710">
      <c r="K710" s="19"/>
      <c r="L710" s="194"/>
    </row>
    <row r="711">
      <c r="K711" s="19"/>
      <c r="L711" s="194"/>
    </row>
    <row r="712">
      <c r="K712" s="19"/>
      <c r="L712" s="194"/>
    </row>
    <row r="713">
      <c r="K713" s="19"/>
      <c r="L713" s="194"/>
    </row>
    <row r="714">
      <c r="K714" s="19"/>
      <c r="L714" s="194"/>
    </row>
    <row r="715">
      <c r="K715" s="19"/>
      <c r="L715" s="194"/>
    </row>
    <row r="716">
      <c r="K716" s="19"/>
      <c r="L716" s="194"/>
    </row>
    <row r="717">
      <c r="K717" s="19"/>
      <c r="L717" s="194"/>
    </row>
    <row r="718">
      <c r="K718" s="19"/>
      <c r="L718" s="194"/>
    </row>
    <row r="719">
      <c r="K719" s="19"/>
      <c r="L719" s="194"/>
    </row>
    <row r="720">
      <c r="K720" s="19"/>
      <c r="L720" s="194"/>
    </row>
    <row r="721">
      <c r="K721" s="19"/>
      <c r="L721" s="194"/>
    </row>
    <row r="722">
      <c r="K722" s="19"/>
      <c r="L722" s="194"/>
    </row>
    <row r="723">
      <c r="K723" s="19"/>
      <c r="L723" s="194"/>
    </row>
    <row r="724">
      <c r="K724" s="19"/>
      <c r="L724" s="194"/>
    </row>
    <row r="725">
      <c r="K725" s="19"/>
      <c r="L725" s="194"/>
    </row>
    <row r="726">
      <c r="K726" s="19"/>
      <c r="L726" s="194"/>
    </row>
    <row r="727">
      <c r="K727" s="19"/>
      <c r="L727" s="194"/>
    </row>
    <row r="728">
      <c r="K728" s="19"/>
      <c r="L728" s="194"/>
    </row>
    <row r="729">
      <c r="K729" s="19"/>
      <c r="L729" s="194"/>
    </row>
    <row r="730">
      <c r="K730" s="19"/>
      <c r="L730" s="194"/>
    </row>
    <row r="731">
      <c r="K731" s="19"/>
      <c r="L731" s="194"/>
    </row>
    <row r="732">
      <c r="K732" s="19"/>
      <c r="L732" s="194"/>
    </row>
    <row r="733">
      <c r="K733" s="19"/>
      <c r="L733" s="194"/>
    </row>
    <row r="734">
      <c r="K734" s="19"/>
      <c r="L734" s="194"/>
    </row>
    <row r="735">
      <c r="K735" s="19"/>
      <c r="L735" s="194"/>
    </row>
    <row r="736">
      <c r="K736" s="19"/>
      <c r="L736" s="194"/>
    </row>
    <row r="737">
      <c r="K737" s="19"/>
      <c r="L737" s="194"/>
    </row>
    <row r="738">
      <c r="K738" s="19"/>
      <c r="L738" s="194"/>
    </row>
    <row r="739">
      <c r="K739" s="19"/>
      <c r="L739" s="194"/>
    </row>
    <row r="740">
      <c r="K740" s="19"/>
      <c r="L740" s="194"/>
    </row>
    <row r="741">
      <c r="K741" s="19"/>
      <c r="L741" s="194"/>
    </row>
    <row r="742">
      <c r="K742" s="19"/>
      <c r="L742" s="194"/>
    </row>
    <row r="743">
      <c r="K743" s="19"/>
      <c r="L743" s="194"/>
    </row>
    <row r="744">
      <c r="K744" s="19"/>
      <c r="L744" s="194"/>
    </row>
    <row r="745">
      <c r="K745" s="19"/>
      <c r="L745" s="194"/>
    </row>
    <row r="746">
      <c r="K746" s="19"/>
      <c r="L746" s="194"/>
    </row>
    <row r="747">
      <c r="K747" s="19"/>
      <c r="L747" s="194"/>
    </row>
    <row r="748">
      <c r="K748" s="19"/>
      <c r="L748" s="194"/>
    </row>
    <row r="749">
      <c r="K749" s="19"/>
      <c r="L749" s="194"/>
    </row>
    <row r="750">
      <c r="K750" s="19"/>
      <c r="L750" s="194"/>
    </row>
    <row r="751">
      <c r="K751" s="19"/>
      <c r="L751" s="194"/>
    </row>
    <row r="752">
      <c r="K752" s="19"/>
      <c r="L752" s="194"/>
    </row>
    <row r="753">
      <c r="K753" s="19"/>
      <c r="L753" s="194"/>
    </row>
    <row r="754">
      <c r="K754" s="19"/>
      <c r="L754" s="194"/>
    </row>
    <row r="755">
      <c r="K755" s="19"/>
      <c r="L755" s="194"/>
    </row>
    <row r="756">
      <c r="K756" s="19"/>
      <c r="L756" s="194"/>
    </row>
    <row r="757">
      <c r="K757" s="19"/>
      <c r="L757" s="194"/>
    </row>
    <row r="758">
      <c r="K758" s="19"/>
      <c r="L758" s="194"/>
    </row>
    <row r="759">
      <c r="K759" s="19"/>
      <c r="L759" s="194"/>
    </row>
    <row r="760">
      <c r="K760" s="19"/>
      <c r="L760" s="194"/>
    </row>
    <row r="761">
      <c r="K761" s="19"/>
      <c r="L761" s="194"/>
    </row>
    <row r="762">
      <c r="K762" s="19"/>
      <c r="L762" s="194"/>
    </row>
    <row r="763">
      <c r="K763" s="19"/>
      <c r="L763" s="194"/>
    </row>
    <row r="764">
      <c r="K764" s="19"/>
      <c r="L764" s="194"/>
    </row>
    <row r="765">
      <c r="K765" s="19"/>
      <c r="L765" s="194"/>
    </row>
    <row r="766">
      <c r="K766" s="19"/>
      <c r="L766" s="194"/>
    </row>
    <row r="767">
      <c r="K767" s="19"/>
      <c r="L767" s="194"/>
    </row>
    <row r="768">
      <c r="K768" s="19"/>
      <c r="L768" s="194"/>
    </row>
    <row r="769">
      <c r="K769" s="19"/>
      <c r="L769" s="194"/>
    </row>
    <row r="770">
      <c r="K770" s="19"/>
      <c r="L770" s="194"/>
    </row>
    <row r="771">
      <c r="K771" s="19"/>
      <c r="L771" s="194"/>
    </row>
    <row r="772">
      <c r="K772" s="19"/>
      <c r="L772" s="194"/>
    </row>
    <row r="773">
      <c r="K773" s="19"/>
      <c r="L773" s="194"/>
    </row>
    <row r="774">
      <c r="K774" s="19"/>
      <c r="L774" s="194"/>
    </row>
    <row r="775">
      <c r="K775" s="19"/>
      <c r="L775" s="194"/>
    </row>
    <row r="776">
      <c r="K776" s="19"/>
      <c r="L776" s="194"/>
    </row>
    <row r="777">
      <c r="K777" s="19"/>
      <c r="L777" s="194"/>
    </row>
    <row r="778">
      <c r="K778" s="19"/>
      <c r="L778" s="194"/>
    </row>
    <row r="779">
      <c r="K779" s="19"/>
      <c r="L779" s="194"/>
    </row>
    <row r="780">
      <c r="K780" s="19"/>
      <c r="L780" s="194"/>
    </row>
    <row r="781">
      <c r="K781" s="19"/>
      <c r="L781" s="194"/>
    </row>
    <row r="782">
      <c r="K782" s="19"/>
      <c r="L782" s="194"/>
    </row>
    <row r="783">
      <c r="K783" s="19"/>
      <c r="L783" s="194"/>
    </row>
    <row r="784">
      <c r="K784" s="19"/>
      <c r="L784" s="194"/>
    </row>
    <row r="785">
      <c r="K785" s="19"/>
      <c r="L785" s="194"/>
    </row>
    <row r="786">
      <c r="K786" s="19"/>
      <c r="L786" s="194"/>
    </row>
    <row r="787">
      <c r="K787" s="19"/>
      <c r="L787" s="194"/>
    </row>
    <row r="788">
      <c r="K788" s="19"/>
      <c r="L788" s="194"/>
    </row>
    <row r="789">
      <c r="K789" s="19"/>
      <c r="L789" s="194"/>
    </row>
    <row r="790">
      <c r="K790" s="19"/>
      <c r="L790" s="194"/>
    </row>
    <row r="791">
      <c r="K791" s="19"/>
      <c r="L791" s="194"/>
    </row>
    <row r="792">
      <c r="K792" s="19"/>
      <c r="L792" s="194"/>
    </row>
    <row r="793">
      <c r="K793" s="19"/>
      <c r="L793" s="194"/>
    </row>
    <row r="794">
      <c r="K794" s="19"/>
      <c r="L794" s="194"/>
    </row>
    <row r="795">
      <c r="K795" s="19"/>
      <c r="L795" s="194"/>
    </row>
    <row r="796">
      <c r="K796" s="19"/>
      <c r="L796" s="194"/>
    </row>
    <row r="797">
      <c r="K797" s="19"/>
      <c r="L797" s="194"/>
    </row>
    <row r="798">
      <c r="K798" s="19"/>
      <c r="L798" s="194"/>
    </row>
    <row r="799">
      <c r="K799" s="19"/>
      <c r="L799" s="194"/>
    </row>
    <row r="800">
      <c r="K800" s="19"/>
      <c r="L800" s="194"/>
    </row>
    <row r="801">
      <c r="K801" s="19"/>
      <c r="L801" s="194"/>
    </row>
    <row r="802">
      <c r="K802" s="19"/>
      <c r="L802" s="194"/>
    </row>
    <row r="803">
      <c r="K803" s="19"/>
      <c r="L803" s="194"/>
    </row>
    <row r="804">
      <c r="K804" s="19"/>
      <c r="L804" s="194"/>
    </row>
    <row r="805">
      <c r="K805" s="19"/>
      <c r="L805" s="194"/>
    </row>
    <row r="806">
      <c r="K806" s="19"/>
      <c r="L806" s="194"/>
    </row>
    <row r="807">
      <c r="K807" s="19"/>
      <c r="L807" s="194"/>
    </row>
    <row r="808">
      <c r="K808" s="19"/>
      <c r="L808" s="194"/>
    </row>
    <row r="809">
      <c r="K809" s="19"/>
      <c r="L809" s="194"/>
    </row>
    <row r="810">
      <c r="K810" s="19"/>
      <c r="L810" s="194"/>
    </row>
    <row r="811">
      <c r="K811" s="19"/>
      <c r="L811" s="194"/>
    </row>
    <row r="812">
      <c r="K812" s="19"/>
      <c r="L812" s="194"/>
    </row>
    <row r="813">
      <c r="K813" s="19"/>
      <c r="L813" s="194"/>
    </row>
    <row r="814">
      <c r="K814" s="19"/>
      <c r="L814" s="194"/>
    </row>
    <row r="815">
      <c r="K815" s="19"/>
      <c r="L815" s="194"/>
    </row>
    <row r="816">
      <c r="K816" s="19"/>
      <c r="L816" s="194"/>
    </row>
    <row r="817">
      <c r="K817" s="19"/>
      <c r="L817" s="194"/>
    </row>
    <row r="818">
      <c r="K818" s="19"/>
      <c r="L818" s="194"/>
    </row>
    <row r="819">
      <c r="K819" s="19"/>
      <c r="L819" s="194"/>
    </row>
    <row r="820">
      <c r="K820" s="19"/>
      <c r="L820" s="194"/>
    </row>
    <row r="821">
      <c r="K821" s="19"/>
      <c r="L821" s="194"/>
    </row>
    <row r="822">
      <c r="K822" s="19"/>
      <c r="L822" s="194"/>
    </row>
    <row r="823">
      <c r="K823" s="19"/>
      <c r="L823" s="194"/>
    </row>
    <row r="824">
      <c r="K824" s="19"/>
      <c r="L824" s="194"/>
    </row>
    <row r="825">
      <c r="K825" s="19"/>
      <c r="L825" s="194"/>
    </row>
    <row r="826">
      <c r="K826" s="19"/>
      <c r="L826" s="194"/>
    </row>
    <row r="827">
      <c r="K827" s="19"/>
      <c r="L827" s="194"/>
    </row>
    <row r="828">
      <c r="K828" s="19"/>
      <c r="L828" s="194"/>
    </row>
    <row r="829">
      <c r="K829" s="19"/>
      <c r="L829" s="194"/>
    </row>
    <row r="830">
      <c r="K830" s="19"/>
      <c r="L830" s="194"/>
    </row>
    <row r="831">
      <c r="K831" s="19"/>
      <c r="L831" s="194"/>
    </row>
    <row r="832">
      <c r="K832" s="19"/>
      <c r="L832" s="194"/>
    </row>
    <row r="833">
      <c r="K833" s="19"/>
      <c r="L833" s="194"/>
    </row>
    <row r="834">
      <c r="K834" s="19"/>
      <c r="L834" s="194"/>
    </row>
    <row r="835">
      <c r="K835" s="19"/>
      <c r="L835" s="194"/>
    </row>
    <row r="836">
      <c r="K836" s="19"/>
      <c r="L836" s="194"/>
    </row>
    <row r="837">
      <c r="K837" s="19"/>
      <c r="L837" s="194"/>
    </row>
    <row r="838">
      <c r="K838" s="19"/>
      <c r="L838" s="194"/>
    </row>
    <row r="839">
      <c r="K839" s="19"/>
      <c r="L839" s="194"/>
    </row>
    <row r="840">
      <c r="K840" s="19"/>
      <c r="L840" s="194"/>
    </row>
    <row r="841">
      <c r="K841" s="19"/>
      <c r="L841" s="194"/>
    </row>
    <row r="842">
      <c r="K842" s="19"/>
      <c r="L842" s="194"/>
    </row>
    <row r="843">
      <c r="K843" s="19"/>
      <c r="L843" s="194"/>
    </row>
    <row r="844">
      <c r="K844" s="19"/>
      <c r="L844" s="194"/>
    </row>
    <row r="845">
      <c r="K845" s="19"/>
      <c r="L845" s="194"/>
    </row>
    <row r="846">
      <c r="K846" s="19"/>
      <c r="L846" s="194"/>
    </row>
    <row r="847">
      <c r="K847" s="19"/>
      <c r="L847" s="194"/>
    </row>
    <row r="848">
      <c r="K848" s="19"/>
      <c r="L848" s="194"/>
    </row>
    <row r="849">
      <c r="K849" s="19"/>
      <c r="L849" s="194"/>
    </row>
    <row r="850">
      <c r="K850" s="19"/>
      <c r="L850" s="194"/>
    </row>
    <row r="851">
      <c r="K851" s="19"/>
      <c r="L851" s="194"/>
    </row>
    <row r="852">
      <c r="K852" s="19"/>
      <c r="L852" s="194"/>
    </row>
    <row r="853">
      <c r="K853" s="19"/>
      <c r="L853" s="194"/>
    </row>
    <row r="854">
      <c r="K854" s="19"/>
      <c r="L854" s="194"/>
    </row>
    <row r="855">
      <c r="K855" s="19"/>
      <c r="L855" s="194"/>
    </row>
    <row r="856">
      <c r="K856" s="19"/>
      <c r="L856" s="194"/>
    </row>
    <row r="857">
      <c r="K857" s="19"/>
      <c r="L857" s="194"/>
    </row>
    <row r="858">
      <c r="K858" s="19"/>
      <c r="L858" s="194"/>
    </row>
    <row r="859">
      <c r="K859" s="19"/>
      <c r="L859" s="194"/>
    </row>
    <row r="860">
      <c r="K860" s="19"/>
      <c r="L860" s="194"/>
    </row>
    <row r="861">
      <c r="K861" s="19"/>
      <c r="L861" s="194"/>
    </row>
    <row r="862">
      <c r="K862" s="19"/>
      <c r="L862" s="194"/>
    </row>
    <row r="863">
      <c r="K863" s="19"/>
      <c r="L863" s="194"/>
    </row>
    <row r="864">
      <c r="K864" s="19"/>
      <c r="L864" s="194"/>
    </row>
    <row r="865">
      <c r="K865" s="19"/>
      <c r="L865" s="194"/>
    </row>
    <row r="866">
      <c r="K866" s="19"/>
      <c r="L866" s="194"/>
    </row>
    <row r="867">
      <c r="K867" s="19"/>
      <c r="L867" s="194"/>
    </row>
    <row r="868">
      <c r="K868" s="19"/>
      <c r="L868" s="194"/>
    </row>
    <row r="869">
      <c r="K869" s="19"/>
      <c r="L869" s="194"/>
    </row>
    <row r="870">
      <c r="K870" s="19"/>
      <c r="L870" s="194"/>
    </row>
    <row r="871">
      <c r="K871" s="19"/>
      <c r="L871" s="194"/>
    </row>
    <row r="872">
      <c r="K872" s="19"/>
      <c r="L872" s="194"/>
    </row>
    <row r="873">
      <c r="K873" s="19"/>
      <c r="L873" s="194"/>
    </row>
    <row r="874">
      <c r="K874" s="19"/>
      <c r="L874" s="194"/>
    </row>
    <row r="875">
      <c r="K875" s="19"/>
      <c r="L875" s="194"/>
    </row>
    <row r="876">
      <c r="K876" s="19"/>
      <c r="L876" s="194"/>
    </row>
    <row r="877">
      <c r="K877" s="19"/>
      <c r="L877" s="194"/>
    </row>
    <row r="878">
      <c r="K878" s="19"/>
      <c r="L878" s="194"/>
    </row>
    <row r="879">
      <c r="K879" s="19"/>
      <c r="L879" s="194"/>
    </row>
    <row r="880">
      <c r="K880" s="19"/>
      <c r="L880" s="194"/>
    </row>
    <row r="881">
      <c r="K881" s="19"/>
      <c r="L881" s="194"/>
    </row>
    <row r="882">
      <c r="K882" s="19"/>
      <c r="L882" s="194"/>
    </row>
    <row r="883">
      <c r="K883" s="19"/>
      <c r="L883" s="194"/>
    </row>
    <row r="884">
      <c r="K884" s="19"/>
      <c r="L884" s="194"/>
    </row>
    <row r="885">
      <c r="K885" s="19"/>
      <c r="L885" s="194"/>
    </row>
    <row r="886">
      <c r="K886" s="19"/>
      <c r="L886" s="194"/>
    </row>
    <row r="887">
      <c r="K887" s="19"/>
      <c r="L887" s="194"/>
    </row>
    <row r="888">
      <c r="K888" s="19"/>
      <c r="L888" s="194"/>
    </row>
    <row r="889">
      <c r="K889" s="19"/>
      <c r="L889" s="194"/>
    </row>
    <row r="890">
      <c r="K890" s="19"/>
      <c r="L890" s="194"/>
    </row>
    <row r="891">
      <c r="K891" s="19"/>
      <c r="L891" s="194"/>
    </row>
    <row r="892">
      <c r="K892" s="19"/>
      <c r="L892" s="194"/>
    </row>
    <row r="893">
      <c r="K893" s="19"/>
      <c r="L893" s="194"/>
    </row>
    <row r="894">
      <c r="K894" s="19"/>
      <c r="L894" s="194"/>
    </row>
    <row r="895">
      <c r="K895" s="19"/>
      <c r="L895" s="194"/>
    </row>
    <row r="896">
      <c r="K896" s="19"/>
      <c r="L896" s="194"/>
    </row>
    <row r="897">
      <c r="K897" s="19"/>
      <c r="L897" s="194"/>
    </row>
    <row r="898">
      <c r="K898" s="19"/>
      <c r="L898" s="194"/>
    </row>
    <row r="899">
      <c r="K899" s="19"/>
      <c r="L899" s="194"/>
    </row>
    <row r="900">
      <c r="K900" s="19"/>
      <c r="L900" s="194"/>
    </row>
    <row r="901">
      <c r="K901" s="19"/>
      <c r="L901" s="194"/>
    </row>
    <row r="902">
      <c r="K902" s="19"/>
      <c r="L902" s="194"/>
    </row>
    <row r="903">
      <c r="K903" s="19"/>
      <c r="L903" s="194"/>
    </row>
    <row r="904">
      <c r="K904" s="19"/>
      <c r="L904" s="194"/>
    </row>
    <row r="905">
      <c r="K905" s="19"/>
      <c r="L905" s="194"/>
    </row>
    <row r="906">
      <c r="K906" s="19"/>
      <c r="L906" s="194"/>
    </row>
    <row r="907">
      <c r="K907" s="19"/>
      <c r="L907" s="194"/>
    </row>
    <row r="908">
      <c r="K908" s="19"/>
      <c r="L908" s="194"/>
    </row>
    <row r="909">
      <c r="K909" s="19"/>
      <c r="L909" s="194"/>
    </row>
    <row r="910">
      <c r="K910" s="19"/>
      <c r="L910" s="194"/>
    </row>
    <row r="911">
      <c r="K911" s="19"/>
      <c r="L911" s="194"/>
    </row>
    <row r="912">
      <c r="K912" s="19"/>
      <c r="L912" s="194"/>
    </row>
    <row r="913">
      <c r="K913" s="19"/>
      <c r="L913" s="194"/>
    </row>
    <row r="914">
      <c r="K914" s="19"/>
      <c r="L914" s="194"/>
    </row>
    <row r="915">
      <c r="K915" s="19"/>
      <c r="L915" s="194"/>
    </row>
    <row r="916">
      <c r="K916" s="19"/>
      <c r="L916" s="194"/>
    </row>
    <row r="917">
      <c r="K917" s="19"/>
      <c r="L917" s="194"/>
    </row>
    <row r="918">
      <c r="K918" s="19"/>
      <c r="L918" s="194"/>
    </row>
    <row r="919">
      <c r="K919" s="19"/>
      <c r="L919" s="194"/>
    </row>
    <row r="920">
      <c r="K920" s="19"/>
      <c r="L920" s="194"/>
    </row>
    <row r="921">
      <c r="K921" s="19"/>
      <c r="L921" s="194"/>
    </row>
    <row r="922">
      <c r="K922" s="19"/>
      <c r="L922" s="194"/>
    </row>
    <row r="923">
      <c r="K923" s="19"/>
      <c r="L923" s="194"/>
    </row>
    <row r="924">
      <c r="K924" s="19"/>
      <c r="L924" s="194"/>
    </row>
    <row r="925">
      <c r="K925" s="19"/>
      <c r="L925" s="194"/>
    </row>
    <row r="926">
      <c r="K926" s="19"/>
      <c r="L926" s="194"/>
    </row>
    <row r="927">
      <c r="K927" s="19"/>
      <c r="L927" s="194"/>
    </row>
    <row r="928">
      <c r="K928" s="19"/>
      <c r="L928" s="194"/>
    </row>
    <row r="929">
      <c r="K929" s="19"/>
      <c r="L929" s="194"/>
    </row>
    <row r="930">
      <c r="K930" s="19"/>
      <c r="L930" s="194"/>
    </row>
    <row r="931">
      <c r="K931" s="19"/>
      <c r="L931" s="194"/>
    </row>
    <row r="932">
      <c r="K932" s="19"/>
      <c r="L932" s="194"/>
    </row>
    <row r="933">
      <c r="K933" s="19"/>
      <c r="L933" s="194"/>
    </row>
    <row r="934">
      <c r="K934" s="19"/>
      <c r="L934" s="194"/>
    </row>
    <row r="935">
      <c r="K935" s="19"/>
      <c r="L935" s="194"/>
    </row>
    <row r="936">
      <c r="K936" s="19"/>
      <c r="L936" s="194"/>
    </row>
    <row r="937">
      <c r="K937" s="19"/>
      <c r="L937" s="194"/>
    </row>
    <row r="938">
      <c r="K938" s="19"/>
      <c r="L938" s="194"/>
    </row>
    <row r="939">
      <c r="K939" s="19"/>
      <c r="L939" s="194"/>
    </row>
    <row r="940">
      <c r="K940" s="19"/>
      <c r="L940" s="194"/>
    </row>
    <row r="941">
      <c r="K941" s="19"/>
      <c r="L941" s="194"/>
    </row>
    <row r="942">
      <c r="K942" s="19"/>
      <c r="L942" s="194"/>
    </row>
    <row r="943">
      <c r="K943" s="19"/>
      <c r="L943" s="194"/>
    </row>
    <row r="944">
      <c r="K944" s="19"/>
      <c r="L944" s="194"/>
    </row>
    <row r="945">
      <c r="K945" s="19"/>
      <c r="L945" s="194"/>
    </row>
    <row r="946">
      <c r="K946" s="19"/>
      <c r="L946" s="194"/>
    </row>
    <row r="947">
      <c r="K947" s="19"/>
      <c r="L947" s="194"/>
    </row>
    <row r="948">
      <c r="K948" s="19"/>
      <c r="L948" s="194"/>
    </row>
    <row r="949">
      <c r="K949" s="19"/>
      <c r="L949" s="194"/>
    </row>
    <row r="950">
      <c r="K950" s="19"/>
      <c r="L950" s="194"/>
    </row>
    <row r="951">
      <c r="K951" s="19"/>
      <c r="L951" s="194"/>
    </row>
    <row r="952">
      <c r="K952" s="19"/>
      <c r="L952" s="194"/>
    </row>
    <row r="953">
      <c r="K953" s="19"/>
      <c r="L953" s="194"/>
    </row>
    <row r="954">
      <c r="K954" s="19"/>
      <c r="L954" s="194"/>
    </row>
    <row r="955">
      <c r="K955" s="19"/>
      <c r="L955" s="194"/>
    </row>
    <row r="956">
      <c r="K956" s="19"/>
      <c r="L956" s="194"/>
    </row>
    <row r="957">
      <c r="K957" s="19"/>
      <c r="L957" s="194"/>
    </row>
    <row r="958">
      <c r="K958" s="19"/>
      <c r="L958" s="194"/>
    </row>
    <row r="959">
      <c r="K959" s="19"/>
      <c r="L959" s="194"/>
    </row>
    <row r="960">
      <c r="K960" s="19"/>
      <c r="L960" s="194"/>
    </row>
    <row r="961">
      <c r="K961" s="19"/>
      <c r="L961" s="194"/>
    </row>
    <row r="962">
      <c r="K962" s="19"/>
      <c r="L962" s="194"/>
    </row>
    <row r="963">
      <c r="K963" s="19"/>
      <c r="L963" s="194"/>
    </row>
    <row r="964">
      <c r="K964" s="19"/>
      <c r="L964" s="194"/>
    </row>
    <row r="965">
      <c r="K965" s="19"/>
      <c r="L965" s="194"/>
    </row>
    <row r="966">
      <c r="K966" s="19"/>
      <c r="L966" s="194"/>
    </row>
    <row r="967">
      <c r="K967" s="19"/>
      <c r="L967" s="194"/>
    </row>
    <row r="968">
      <c r="K968" s="19"/>
      <c r="L968" s="194"/>
    </row>
    <row r="969">
      <c r="K969" s="19"/>
      <c r="L969" s="194"/>
    </row>
    <row r="970">
      <c r="K970" s="19"/>
      <c r="L970" s="194"/>
    </row>
    <row r="971">
      <c r="K971" s="19"/>
      <c r="L971" s="194"/>
    </row>
    <row r="972">
      <c r="K972" s="19"/>
      <c r="L972" s="194"/>
    </row>
    <row r="973">
      <c r="K973" s="19"/>
      <c r="L973" s="194"/>
    </row>
    <row r="974">
      <c r="K974" s="19"/>
      <c r="L974" s="194"/>
    </row>
    <row r="975">
      <c r="K975" s="19"/>
      <c r="L975" s="194"/>
    </row>
    <row r="976">
      <c r="K976" s="19"/>
      <c r="L976" s="194"/>
    </row>
    <row r="977">
      <c r="K977" s="19"/>
      <c r="L977" s="194"/>
    </row>
    <row r="978">
      <c r="K978" s="19"/>
      <c r="L978" s="194"/>
    </row>
    <row r="979">
      <c r="K979" s="19"/>
      <c r="L979" s="194"/>
    </row>
    <row r="980">
      <c r="K980" s="19"/>
      <c r="L980" s="194"/>
    </row>
    <row r="981">
      <c r="K981" s="19"/>
      <c r="L981" s="194"/>
    </row>
    <row r="982">
      <c r="K982" s="19"/>
      <c r="L982" s="194"/>
    </row>
    <row r="983">
      <c r="K983" s="19"/>
      <c r="L983" s="194"/>
    </row>
    <row r="984">
      <c r="K984" s="19"/>
      <c r="L984" s="194"/>
    </row>
    <row r="985">
      <c r="K985" s="19"/>
      <c r="L985" s="194"/>
    </row>
    <row r="986">
      <c r="K986" s="19"/>
      <c r="L986" s="194"/>
    </row>
    <row r="987">
      <c r="K987" s="19"/>
      <c r="L987" s="194"/>
    </row>
    <row r="988">
      <c r="K988" s="19"/>
      <c r="L988" s="194"/>
    </row>
    <row r="989">
      <c r="K989" s="19"/>
      <c r="L989" s="194"/>
    </row>
    <row r="990">
      <c r="K990" s="19"/>
      <c r="L990" s="194"/>
    </row>
    <row r="991">
      <c r="K991" s="19"/>
      <c r="L991" s="194"/>
    </row>
    <row r="992">
      <c r="K992" s="19"/>
      <c r="L992" s="194"/>
    </row>
    <row r="993">
      <c r="K993" s="19"/>
      <c r="L993" s="194"/>
    </row>
    <row r="994">
      <c r="K994" s="19"/>
      <c r="L994" s="194"/>
    </row>
    <row r="995">
      <c r="K995" s="19"/>
      <c r="L995" s="194"/>
    </row>
    <row r="996">
      <c r="K996" s="19"/>
      <c r="L996" s="194"/>
    </row>
    <row r="997">
      <c r="K997" s="19"/>
      <c r="L997" s="194"/>
    </row>
    <row r="998">
      <c r="K998" s="19"/>
      <c r="L998" s="194"/>
    </row>
    <row r="999">
      <c r="K999" s="19"/>
      <c r="L999" s="194"/>
    </row>
    <row r="1000">
      <c r="K1000" s="19"/>
      <c r="L1000" s="194"/>
    </row>
    <row r="1001">
      <c r="K1001" s="19"/>
      <c r="L1001" s="194"/>
    </row>
    <row r="1002">
      <c r="K1002" s="19"/>
      <c r="L1002" s="194"/>
    </row>
    <row r="1003">
      <c r="K1003" s="19"/>
      <c r="L1003" s="194"/>
    </row>
    <row r="1004">
      <c r="K1004" s="19"/>
      <c r="L1004" s="194"/>
    </row>
    <row r="1005">
      <c r="K1005" s="19"/>
      <c r="L1005" s="194"/>
    </row>
    <row r="1006">
      <c r="K1006" s="19"/>
      <c r="L1006" s="194"/>
    </row>
    <row r="1007">
      <c r="K1007" s="19"/>
      <c r="L1007" s="194"/>
    </row>
    <row r="1008">
      <c r="K1008" s="19"/>
      <c r="L1008" s="194"/>
    </row>
    <row r="1009">
      <c r="K1009" s="19"/>
      <c r="L1009" s="194"/>
    </row>
    <row r="1010">
      <c r="K1010" s="19"/>
      <c r="L1010" s="194"/>
    </row>
    <row r="1011">
      <c r="K1011" s="19"/>
      <c r="L1011" s="194"/>
    </row>
    <row r="1012">
      <c r="K1012" s="19"/>
      <c r="L1012" s="194"/>
    </row>
    <row r="1013">
      <c r="K1013" s="19"/>
      <c r="L1013" s="194"/>
    </row>
  </sheetData>
  <dataValidations>
    <dataValidation type="list" allowBlank="1" showErrorMessage="1" sqref="J2:J53">
      <formula1>"----------------,🟢 Активный,⏸️ Приостановлен,🚪 Прекратил стажировку,❌ Отчислен,✅ Успешно завершил"</formula1>
    </dataValidation>
    <dataValidation type="list" allowBlank="1" showErrorMessage="1" sqref="L2:L53">
      <formula1>"---------------,1й проект,2й проект,3й проект,4й проект"</formula1>
    </dataValidation>
    <dataValidation type="list" allowBlank="1" showErrorMessage="1" sqref="K2:K53">
      <formula1>"-----------------,Бишкекский филиал,Ошский филиал,Внешние стажёры(Биш),Внешние стажёры(Ош)"</formula1>
    </dataValidation>
    <dataValidation type="list" allowBlank="1" showErrorMessage="1" sqref="M2:M53">
      <formula1>"---------------,Резюме загружено,Резюме не загружено"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31.0"/>
    <col customWidth="1" min="3" max="3" width="18.5"/>
    <col customWidth="1" min="4" max="4" width="23.75"/>
    <col customWidth="1" min="5" max="5" width="34.25"/>
    <col customWidth="1" min="6" max="6" width="26.0"/>
    <col customWidth="1" min="7" max="7" width="24.38"/>
  </cols>
  <sheetData>
    <row r="1">
      <c r="A1" s="382" t="s">
        <v>123</v>
      </c>
      <c r="B1" s="383" t="s">
        <v>189</v>
      </c>
      <c r="C1" s="382" t="s">
        <v>243</v>
      </c>
      <c r="D1" s="382" t="s">
        <v>245</v>
      </c>
      <c r="E1" s="382" t="s">
        <v>246</v>
      </c>
      <c r="F1" s="383" t="s">
        <v>247</v>
      </c>
      <c r="G1" s="383" t="s">
        <v>244</v>
      </c>
      <c r="H1" s="384" t="s">
        <v>248</v>
      </c>
      <c r="I1" s="385"/>
      <c r="J1" s="385"/>
      <c r="K1" s="386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</row>
    <row r="2">
      <c r="A2" s="387" t="s">
        <v>25</v>
      </c>
      <c r="B2" s="175" t="s">
        <v>671</v>
      </c>
      <c r="C2" s="388">
        <v>5.5230551E8</v>
      </c>
      <c r="D2" s="389" t="s">
        <v>672</v>
      </c>
      <c r="E2" s="390" t="s">
        <v>673</v>
      </c>
      <c r="F2" s="391" t="s">
        <v>674</v>
      </c>
      <c r="G2" s="392"/>
      <c r="H2" s="392"/>
      <c r="I2" s="391"/>
      <c r="J2" s="391"/>
      <c r="K2" s="146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</row>
    <row r="3">
      <c r="A3" s="387" t="s">
        <v>25</v>
      </c>
      <c r="B3" s="145" t="s">
        <v>675</v>
      </c>
      <c r="C3" s="393"/>
      <c r="D3" s="394"/>
      <c r="E3" s="393"/>
      <c r="F3" s="393"/>
      <c r="G3" s="392"/>
      <c r="H3" s="392"/>
      <c r="I3" s="391"/>
      <c r="J3" s="392"/>
      <c r="K3" s="146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</row>
    <row r="4">
      <c r="A4" s="395" t="s">
        <v>39</v>
      </c>
      <c r="B4" s="228" t="s">
        <v>676</v>
      </c>
      <c r="C4" s="396">
        <v>7.01024755E8</v>
      </c>
      <c r="D4" s="157" t="s">
        <v>677</v>
      </c>
      <c r="E4" s="397"/>
      <c r="F4" s="391"/>
      <c r="G4" s="398"/>
      <c r="H4" s="391"/>
      <c r="I4" s="391"/>
      <c r="J4" s="391"/>
      <c r="K4" s="149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</row>
    <row r="5">
      <c r="A5" s="395" t="s">
        <v>39</v>
      </c>
      <c r="B5" s="155" t="s">
        <v>678</v>
      </c>
      <c r="C5" s="399"/>
      <c r="D5" s="400" t="s">
        <v>679</v>
      </c>
      <c r="E5" s="391"/>
      <c r="F5" s="391"/>
      <c r="G5" s="392"/>
      <c r="H5" s="391"/>
      <c r="I5" s="392"/>
      <c r="J5" s="392"/>
      <c r="K5" s="149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</row>
    <row r="6">
      <c r="A6" s="395" t="s">
        <v>39</v>
      </c>
      <c r="B6" s="401" t="s">
        <v>680</v>
      </c>
      <c r="C6" s="399"/>
      <c r="D6" s="400" t="s">
        <v>681</v>
      </c>
      <c r="E6" s="391"/>
      <c r="F6" s="391"/>
      <c r="G6" s="392"/>
      <c r="H6" s="391"/>
      <c r="I6" s="392"/>
      <c r="J6" s="402"/>
      <c r="K6" s="403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</row>
    <row r="7">
      <c r="A7" s="395" t="s">
        <v>39</v>
      </c>
      <c r="B7" s="401" t="s">
        <v>682</v>
      </c>
      <c r="C7" s="98"/>
      <c r="D7" s="400" t="s">
        <v>683</v>
      </c>
      <c r="E7" s="391"/>
      <c r="F7" s="391"/>
      <c r="G7" s="392"/>
      <c r="H7" s="391"/>
      <c r="I7" s="392"/>
      <c r="J7" s="402"/>
      <c r="K7" s="403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</row>
    <row r="8">
      <c r="A8" s="395" t="s">
        <v>39</v>
      </c>
      <c r="B8" s="404" t="s">
        <v>684</v>
      </c>
      <c r="C8" s="405" t="s">
        <v>685</v>
      </c>
      <c r="D8" s="145"/>
      <c r="E8" s="391" t="s">
        <v>686</v>
      </c>
      <c r="F8" s="391" t="s">
        <v>687</v>
      </c>
      <c r="G8" s="392"/>
      <c r="H8" s="391"/>
      <c r="I8" s="392"/>
      <c r="J8" s="402"/>
      <c r="K8" s="403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</row>
    <row r="9">
      <c r="B9" s="98"/>
      <c r="C9" s="98"/>
      <c r="D9" s="98"/>
      <c r="E9" s="7"/>
      <c r="F9" s="7"/>
      <c r="G9" s="392"/>
      <c r="H9" s="392"/>
      <c r="I9" s="391"/>
      <c r="J9" s="402"/>
      <c r="K9" s="403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</row>
    <row r="10">
      <c r="A10" s="406" t="s">
        <v>73</v>
      </c>
      <c r="B10" s="407" t="s">
        <v>688</v>
      </c>
      <c r="C10" s="408" t="s">
        <v>689</v>
      </c>
      <c r="D10" s="409" t="s">
        <v>690</v>
      </c>
      <c r="E10" s="397"/>
      <c r="F10" s="391"/>
      <c r="G10" s="392"/>
      <c r="H10" s="392"/>
      <c r="I10" s="391"/>
      <c r="J10" s="391"/>
      <c r="K10" s="149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</row>
    <row r="11">
      <c r="A11" s="406" t="s">
        <v>73</v>
      </c>
      <c r="B11" s="407" t="s">
        <v>691</v>
      </c>
      <c r="C11" s="410"/>
      <c r="D11" s="400" t="s">
        <v>692</v>
      </c>
      <c r="E11" s="391"/>
      <c r="F11" s="391" t="s">
        <v>693</v>
      </c>
      <c r="G11" s="392"/>
      <c r="H11" s="392"/>
      <c r="I11" s="392"/>
      <c r="J11" s="391"/>
      <c r="K11" s="403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</row>
    <row r="12">
      <c r="A12" s="406" t="s">
        <v>73</v>
      </c>
      <c r="B12" s="380" t="s">
        <v>694</v>
      </c>
      <c r="C12" s="410"/>
      <c r="D12" s="400" t="s">
        <v>695</v>
      </c>
      <c r="E12" s="391"/>
      <c r="F12" s="391"/>
      <c r="G12" s="392"/>
      <c r="H12" s="392"/>
      <c r="I12" s="392"/>
      <c r="J12" s="411"/>
      <c r="K12" s="403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</row>
    <row r="13">
      <c r="A13" s="406" t="s">
        <v>73</v>
      </c>
      <c r="B13" s="227" t="s">
        <v>696</v>
      </c>
      <c r="C13" s="396" t="s">
        <v>697</v>
      </c>
      <c r="D13" s="400"/>
      <c r="E13" s="391"/>
      <c r="F13" s="391"/>
      <c r="G13" s="392"/>
      <c r="H13" s="392"/>
      <c r="I13" s="392"/>
      <c r="J13" s="411"/>
      <c r="K13" s="403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</row>
    <row r="14">
      <c r="A14" s="406" t="s">
        <v>73</v>
      </c>
      <c r="B14" s="227" t="s">
        <v>698</v>
      </c>
      <c r="C14" s="227" t="s">
        <v>699</v>
      </c>
      <c r="D14" s="227" t="s">
        <v>699</v>
      </c>
      <c r="E14" s="391"/>
      <c r="F14" s="391"/>
      <c r="G14" s="392"/>
      <c r="H14" s="392"/>
      <c r="I14" s="392"/>
      <c r="J14" s="411"/>
      <c r="K14" s="403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</row>
    <row r="15">
      <c r="A15" s="412"/>
      <c r="B15" s="396"/>
      <c r="C15" s="396"/>
      <c r="D15" s="391"/>
      <c r="E15" s="391"/>
      <c r="F15" s="391"/>
      <c r="G15" s="392"/>
      <c r="H15" s="392"/>
      <c r="I15" s="392"/>
      <c r="J15" s="411"/>
      <c r="K15" s="403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</row>
    <row r="16">
      <c r="A16" s="412"/>
      <c r="B16" s="396"/>
      <c r="C16" s="396"/>
      <c r="D16" s="391"/>
      <c r="E16" s="391"/>
      <c r="F16" s="391"/>
      <c r="G16" s="392"/>
      <c r="H16" s="392"/>
      <c r="I16" s="392"/>
      <c r="J16" s="411"/>
      <c r="K16" s="403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</row>
    <row r="17">
      <c r="A17" s="413" t="s">
        <v>78</v>
      </c>
      <c r="B17" s="228" t="s">
        <v>700</v>
      </c>
      <c r="C17" s="396" t="s">
        <v>701</v>
      </c>
      <c r="D17" s="409" t="s">
        <v>683</v>
      </c>
      <c r="E17" s="391"/>
      <c r="F17" s="391"/>
      <c r="G17" s="391"/>
      <c r="H17" s="392"/>
      <c r="I17" s="392"/>
      <c r="J17" s="402"/>
      <c r="K17" s="403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</row>
    <row r="18">
      <c r="A18" s="413" t="s">
        <v>78</v>
      </c>
      <c r="B18" s="233" t="s">
        <v>702</v>
      </c>
      <c r="C18" s="396"/>
      <c r="D18" s="228" t="s">
        <v>703</v>
      </c>
      <c r="E18" s="403"/>
      <c r="F18" s="403"/>
      <c r="G18" s="403"/>
      <c r="H18" s="403"/>
      <c r="I18" s="149"/>
      <c r="J18" s="403"/>
      <c r="K18" s="403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</row>
    <row r="19">
      <c r="A19" s="149"/>
      <c r="B19" s="184"/>
      <c r="C19" s="149"/>
      <c r="D19" s="149"/>
      <c r="E19" s="149"/>
      <c r="F19" s="403"/>
      <c r="G19" s="403"/>
      <c r="H19" s="403"/>
      <c r="I19" s="403"/>
      <c r="J19" s="403"/>
      <c r="K19" s="403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</row>
    <row r="20">
      <c r="A20" s="149"/>
      <c r="B20" s="149"/>
      <c r="C20" s="149"/>
      <c r="D20" s="149"/>
      <c r="E20" s="149"/>
      <c r="F20" s="403"/>
      <c r="G20" s="403"/>
      <c r="H20" s="403"/>
      <c r="I20" s="403"/>
      <c r="J20" s="403"/>
      <c r="K20" s="403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</row>
    <row r="21">
      <c r="A21" s="414" t="s">
        <v>704</v>
      </c>
      <c r="B21" s="146" t="s">
        <v>705</v>
      </c>
      <c r="C21" s="371">
        <v>7.02951774E8</v>
      </c>
      <c r="D21" s="415" t="s">
        <v>706</v>
      </c>
      <c r="E21" s="149"/>
      <c r="F21" s="403"/>
      <c r="G21" s="403"/>
      <c r="H21" s="403"/>
      <c r="I21" s="403"/>
      <c r="J21" s="403"/>
      <c r="K21" s="403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</row>
    <row r="22">
      <c r="A22" s="34"/>
      <c r="B22" s="416" t="s">
        <v>707</v>
      </c>
      <c r="C22" s="38">
        <v>5.53120044E8</v>
      </c>
      <c r="D22" s="371" t="s">
        <v>708</v>
      </c>
      <c r="E22" s="149"/>
      <c r="F22" s="149"/>
      <c r="G22" s="149"/>
      <c r="H22" s="149"/>
      <c r="I22" s="149"/>
      <c r="J22" s="149"/>
      <c r="K22" s="149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</row>
    <row r="23">
      <c r="A23" s="417" t="s">
        <v>709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</row>
    <row r="24">
      <c r="A24" s="34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</row>
    <row r="25">
      <c r="A25" s="418" t="s">
        <v>710</v>
      </c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</row>
    <row r="26">
      <c r="A26" s="34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</row>
    <row r="27">
      <c r="A27" s="184"/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</row>
    <row r="28">
      <c r="A28" s="184"/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</row>
    <row r="29">
      <c r="A29" s="419" t="s">
        <v>25</v>
      </c>
      <c r="B29" s="420" t="s">
        <v>328</v>
      </c>
      <c r="C29" s="393"/>
      <c r="D29" s="394" t="s">
        <v>711</v>
      </c>
      <c r="E29" s="393"/>
      <c r="F29" s="393"/>
      <c r="G29" s="421"/>
      <c r="H29" s="421"/>
      <c r="I29" s="393"/>
      <c r="J29" s="421"/>
      <c r="K29" s="422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Y29" s="423"/>
      <c r="Z29" s="423"/>
      <c r="AA29" s="423"/>
    </row>
    <row r="30">
      <c r="A30" s="424" t="s">
        <v>64</v>
      </c>
      <c r="B30" s="425" t="s">
        <v>712</v>
      </c>
      <c r="C30" s="425">
        <v>5.50118335E8</v>
      </c>
      <c r="D30" s="188" t="s">
        <v>713</v>
      </c>
      <c r="E30" s="188" t="s">
        <v>714</v>
      </c>
      <c r="F30" s="188" t="s">
        <v>715</v>
      </c>
      <c r="G30" s="72"/>
      <c r="H30" s="188"/>
      <c r="I30" s="188"/>
      <c r="J30" s="72"/>
      <c r="K30" s="72"/>
      <c r="L30" s="423"/>
      <c r="M30" s="423"/>
      <c r="N30" s="423"/>
      <c r="O30" s="423"/>
      <c r="P30" s="423"/>
      <c r="Q30" s="423"/>
      <c r="R30" s="423"/>
      <c r="S30" s="423"/>
      <c r="T30" s="423"/>
      <c r="U30" s="423"/>
      <c r="V30" s="423"/>
      <c r="W30" s="423"/>
      <c r="X30" s="423"/>
      <c r="Y30" s="423"/>
      <c r="Z30" s="423"/>
      <c r="AA30" s="423"/>
    </row>
    <row r="31">
      <c r="A31" s="424" t="s">
        <v>64</v>
      </c>
      <c r="B31" s="426" t="s">
        <v>716</v>
      </c>
      <c r="C31" s="425">
        <v>5.04758777E8</v>
      </c>
      <c r="D31" s="188" t="s">
        <v>717</v>
      </c>
      <c r="E31" s="188" t="s">
        <v>718</v>
      </c>
      <c r="F31" s="188">
        <v>1.0</v>
      </c>
      <c r="G31" s="72"/>
      <c r="H31" s="72"/>
      <c r="I31" s="72"/>
      <c r="J31" s="72"/>
      <c r="K31" s="72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Y31" s="423"/>
      <c r="Z31" s="423"/>
      <c r="AA31" s="423"/>
    </row>
    <row r="32">
      <c r="A32" s="424" t="s">
        <v>64</v>
      </c>
      <c r="B32" s="427" t="s">
        <v>719</v>
      </c>
      <c r="C32" s="425">
        <v>5.55185503E8</v>
      </c>
      <c r="D32" s="188" t="s">
        <v>720</v>
      </c>
      <c r="E32" s="188" t="s">
        <v>721</v>
      </c>
      <c r="F32" s="188">
        <v>1.0</v>
      </c>
      <c r="G32" s="72"/>
      <c r="H32" s="72"/>
      <c r="I32" s="72"/>
      <c r="J32" s="72"/>
      <c r="K32" s="72"/>
      <c r="L32" s="423"/>
      <c r="M32" s="423"/>
      <c r="N32" s="423"/>
      <c r="O32" s="423"/>
      <c r="P32" s="423"/>
      <c r="Q32" s="423"/>
      <c r="R32" s="423"/>
      <c r="S32" s="423"/>
      <c r="T32" s="423"/>
      <c r="U32" s="423"/>
      <c r="V32" s="423"/>
      <c r="W32" s="423"/>
      <c r="X32" s="423"/>
      <c r="Y32" s="423"/>
      <c r="Z32" s="423"/>
      <c r="AA32" s="423"/>
    </row>
    <row r="33">
      <c r="A33" s="184"/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</row>
    <row r="34">
      <c r="A34" s="184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</row>
    <row r="35">
      <c r="A35" s="184"/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</row>
    <row r="36">
      <c r="A36" s="184"/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</row>
    <row r="37">
      <c r="A37" s="184"/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</row>
    <row r="38">
      <c r="A38" s="184"/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</row>
    <row r="39">
      <c r="A39" s="184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</row>
    <row r="40">
      <c r="A40" s="184"/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</row>
    <row r="41">
      <c r="A41" s="184"/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</row>
    <row r="42">
      <c r="A42" s="184"/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</row>
    <row r="43">
      <c r="A43" s="184"/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</row>
    <row r="44">
      <c r="A44" s="184"/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</row>
    <row r="45">
      <c r="A45" s="184"/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</row>
    <row r="46">
      <c r="A46" s="184"/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</row>
    <row r="47">
      <c r="A47" s="184"/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</row>
    <row r="48">
      <c r="A48" s="184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</row>
    <row r="49">
      <c r="A49" s="184"/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</row>
    <row r="50">
      <c r="A50" s="184"/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</row>
    <row r="51">
      <c r="A51" s="184"/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</row>
    <row r="52">
      <c r="A52" s="184"/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</row>
    <row r="53">
      <c r="A53" s="184"/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</row>
    <row r="54">
      <c r="A54" s="184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</row>
    <row r="55">
      <c r="A55" s="184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</row>
    <row r="56">
      <c r="A56" s="184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</row>
    <row r="57">
      <c r="A57" s="184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</row>
    <row r="58">
      <c r="A58" s="184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</row>
    <row r="59">
      <c r="A59" s="184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</row>
    <row r="60">
      <c r="A60" s="184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</row>
    <row r="61">
      <c r="A61" s="184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</row>
    <row r="62">
      <c r="A62" s="184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4"/>
    </row>
    <row r="63">
      <c r="A63" s="184"/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4"/>
    </row>
    <row r="64">
      <c r="A64" s="184"/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</row>
    <row r="65">
      <c r="A65" s="184"/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4"/>
    </row>
    <row r="66">
      <c r="A66" s="184"/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</row>
    <row r="67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</row>
    <row r="68">
      <c r="A68" s="184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4"/>
    </row>
    <row r="69">
      <c r="A69" s="184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</row>
    <row r="70">
      <c r="A70" s="184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4"/>
    </row>
    <row r="71">
      <c r="A71" s="184"/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4"/>
    </row>
    <row r="72">
      <c r="A72" s="184"/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4"/>
    </row>
    <row r="73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4"/>
    </row>
    <row r="74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</row>
    <row r="75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</row>
    <row r="76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</row>
    <row r="77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</row>
    <row r="78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4"/>
    </row>
    <row r="79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  <c r="AA79" s="184"/>
    </row>
    <row r="80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  <c r="AA80" s="184"/>
    </row>
    <row r="81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  <c r="AA81" s="184"/>
    </row>
    <row r="82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  <c r="AA82" s="184"/>
    </row>
    <row r="83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  <c r="AA83" s="184"/>
    </row>
    <row r="84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  <c r="AA84" s="184"/>
    </row>
    <row r="85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</row>
    <row r="8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</row>
    <row r="87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84"/>
    </row>
    <row r="88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</row>
    <row r="89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  <c r="AA89" s="184"/>
    </row>
    <row r="90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  <c r="AA90" s="184"/>
    </row>
    <row r="91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  <c r="AA91" s="184"/>
    </row>
    <row r="92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</row>
    <row r="93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  <c r="AA93" s="184"/>
    </row>
    <row r="94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  <c r="AA94" s="184"/>
    </row>
    <row r="95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  <c r="AA95" s="184"/>
    </row>
    <row r="9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  <c r="AA96" s="184"/>
    </row>
    <row r="97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  <c r="AA97" s="184"/>
    </row>
    <row r="98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  <c r="AA98" s="184"/>
    </row>
    <row r="99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  <c r="AA99" s="184"/>
    </row>
    <row r="100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  <c r="AA100" s="184"/>
    </row>
    <row r="101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  <c r="AA101" s="184"/>
    </row>
    <row r="102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  <c r="AA102" s="184"/>
    </row>
    <row r="103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  <c r="AA103" s="184"/>
    </row>
    <row r="104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  <c r="AA104" s="184"/>
    </row>
    <row r="105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  <c r="AA105" s="184"/>
    </row>
    <row r="10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  <c r="AA106" s="184"/>
    </row>
    <row r="107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  <c r="AA107" s="184"/>
    </row>
    <row r="108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  <c r="AA108" s="184"/>
    </row>
    <row r="109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  <c r="AA109" s="184"/>
    </row>
    <row r="110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  <c r="AA110" s="184"/>
    </row>
    <row r="111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</row>
    <row r="112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</row>
    <row r="113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  <c r="AA113" s="184"/>
    </row>
    <row r="114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</row>
    <row r="115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</row>
    <row r="11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</row>
    <row r="117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  <c r="AA117" s="184"/>
    </row>
    <row r="118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</row>
    <row r="119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</row>
    <row r="120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</row>
    <row r="121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  <c r="AA121" s="184"/>
    </row>
    <row r="122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</row>
    <row r="123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</row>
    <row r="124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</row>
    <row r="125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  <c r="AA125" s="184"/>
    </row>
    <row r="1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  <c r="AA126" s="184"/>
    </row>
    <row r="127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  <c r="AA127" s="184"/>
    </row>
    <row r="128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  <c r="AA128" s="184"/>
    </row>
    <row r="129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  <c r="AA129" s="184"/>
    </row>
    <row r="130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  <c r="AA130" s="184"/>
    </row>
    <row r="131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  <c r="AA131" s="184"/>
    </row>
    <row r="132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  <c r="AA132" s="184"/>
    </row>
    <row r="133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  <c r="AA133" s="184"/>
    </row>
    <row r="134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  <c r="AA134" s="184"/>
    </row>
    <row r="135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  <c r="AA135" s="184"/>
    </row>
    <row r="13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  <c r="AA136" s="184"/>
    </row>
    <row r="137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  <c r="AA137" s="184"/>
    </row>
    <row r="138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  <c r="AA138" s="184"/>
    </row>
    <row r="139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  <c r="AA139" s="184"/>
    </row>
    <row r="140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  <c r="AA140" s="184"/>
    </row>
    <row r="141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  <c r="AA141" s="184"/>
    </row>
    <row r="142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  <c r="AA142" s="184"/>
    </row>
    <row r="143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  <c r="AA143" s="184"/>
    </row>
    <row r="144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  <c r="AA144" s="184"/>
    </row>
    <row r="145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  <c r="AA145" s="184"/>
    </row>
    <row r="14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  <c r="AA146" s="184"/>
    </row>
    <row r="147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  <c r="AA147" s="184"/>
    </row>
    <row r="148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  <c r="AA148" s="184"/>
    </row>
    <row r="149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  <c r="AA149" s="184"/>
    </row>
    <row r="150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  <c r="AA150" s="184"/>
    </row>
    <row r="151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  <c r="AA151" s="184"/>
    </row>
    <row r="152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  <c r="AA152" s="184"/>
    </row>
    <row r="153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  <c r="AA153" s="184"/>
    </row>
    <row r="154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  <c r="AA154" s="184"/>
    </row>
    <row r="155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  <c r="AA155" s="184"/>
    </row>
    <row r="15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  <c r="AA156" s="184"/>
    </row>
    <row r="157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  <c r="AA157" s="184"/>
    </row>
    <row r="158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  <c r="AA158" s="184"/>
    </row>
    <row r="159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  <c r="AA159" s="184"/>
    </row>
    <row r="160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  <c r="AA160" s="184"/>
    </row>
    <row r="161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  <c r="AA161" s="184"/>
    </row>
    <row r="162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  <c r="AA162" s="184"/>
    </row>
    <row r="163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  <c r="AA163" s="184"/>
    </row>
    <row r="164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  <c r="AA164" s="184"/>
    </row>
    <row r="165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  <c r="AA165" s="184"/>
    </row>
    <row r="16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  <c r="AA166" s="184"/>
    </row>
    <row r="167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  <c r="AA167" s="184"/>
    </row>
    <row r="168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  <c r="AA168" s="184"/>
    </row>
    <row r="169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  <c r="AA169" s="184"/>
    </row>
    <row r="170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  <c r="AA170" s="184"/>
    </row>
    <row r="171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  <c r="AA171" s="184"/>
    </row>
    <row r="172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  <c r="AA172" s="184"/>
    </row>
    <row r="173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  <c r="AA173" s="184"/>
    </row>
    <row r="174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  <c r="AA174" s="184"/>
    </row>
    <row r="175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  <c r="AA175" s="184"/>
    </row>
    <row r="17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  <c r="AA176" s="184"/>
    </row>
    <row r="177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  <c r="AA177" s="184"/>
    </row>
    <row r="178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  <c r="AA178" s="184"/>
    </row>
    <row r="179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  <c r="AA179" s="184"/>
    </row>
    <row r="180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  <c r="AA180" s="184"/>
    </row>
    <row r="181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  <c r="AA181" s="184"/>
    </row>
    <row r="182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  <c r="AA182" s="184"/>
    </row>
    <row r="183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  <c r="AA183" s="184"/>
    </row>
    <row r="184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  <c r="AA184" s="184"/>
    </row>
    <row r="185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  <c r="AA185" s="184"/>
    </row>
    <row r="18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  <c r="AA186" s="184"/>
    </row>
    <row r="187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  <c r="AA187" s="184"/>
    </row>
    <row r="188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  <c r="AA188" s="184"/>
    </row>
    <row r="189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  <c r="AA189" s="184"/>
    </row>
    <row r="190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  <c r="AA190" s="184"/>
    </row>
    <row r="191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  <c r="AA191" s="184"/>
    </row>
    <row r="192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  <c r="AA192" s="184"/>
    </row>
    <row r="193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  <c r="AA193" s="184"/>
    </row>
    <row r="194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  <c r="AA194" s="184"/>
    </row>
    <row r="195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  <c r="AA195" s="184"/>
    </row>
    <row r="19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  <c r="AA196" s="184"/>
    </row>
    <row r="197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  <c r="AA197" s="184"/>
    </row>
    <row r="198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  <c r="AA198" s="184"/>
    </row>
    <row r="199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  <c r="AA199" s="184"/>
    </row>
    <row r="200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  <c r="AA200" s="184"/>
    </row>
    <row r="201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  <c r="AA201" s="184"/>
    </row>
    <row r="202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  <c r="AA202" s="184"/>
    </row>
    <row r="203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  <c r="AA203" s="184"/>
    </row>
    <row r="204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  <c r="AA204" s="184"/>
    </row>
    <row r="205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  <c r="AA205" s="184"/>
    </row>
    <row r="20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  <c r="AA206" s="184"/>
    </row>
    <row r="207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  <c r="AA207" s="184"/>
    </row>
    <row r="208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  <c r="AA208" s="184"/>
    </row>
    <row r="209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  <c r="AA209" s="184"/>
    </row>
    <row r="210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  <c r="AA210" s="184"/>
    </row>
    <row r="211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  <c r="AA211" s="184"/>
    </row>
    <row r="212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  <c r="AA212" s="184"/>
    </row>
    <row r="213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  <c r="AA213" s="184"/>
    </row>
    <row r="214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  <c r="AA214" s="184"/>
    </row>
    <row r="215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  <c r="AA215" s="184"/>
    </row>
    <row r="21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  <c r="AA216" s="184"/>
    </row>
    <row r="217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  <c r="AA217" s="184"/>
    </row>
    <row r="218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  <c r="AA218" s="184"/>
    </row>
    <row r="219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  <c r="AA219" s="184"/>
    </row>
    <row r="220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  <c r="AA220" s="184"/>
    </row>
    <row r="221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  <c r="AA221" s="184"/>
    </row>
    <row r="222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  <c r="AA222" s="184"/>
    </row>
    <row r="223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  <c r="AA223" s="184"/>
    </row>
    <row r="224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  <c r="AA224" s="184"/>
    </row>
    <row r="225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  <c r="AA225" s="184"/>
    </row>
    <row r="2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  <c r="AA226" s="184"/>
    </row>
    <row r="227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  <c r="AA227" s="184"/>
    </row>
    <row r="228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  <c r="AA228" s="184"/>
    </row>
    <row r="229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  <c r="AA229" s="184"/>
    </row>
    <row r="230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  <c r="AA230" s="184"/>
    </row>
    <row r="231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  <c r="AA231" s="184"/>
    </row>
    <row r="232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  <c r="AA232" s="184"/>
    </row>
    <row r="233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  <c r="AA233" s="184"/>
    </row>
    <row r="234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  <c r="AA234" s="184"/>
    </row>
    <row r="235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  <c r="AA235" s="184"/>
    </row>
    <row r="23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  <c r="AA236" s="184"/>
    </row>
    <row r="237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  <c r="AA237" s="184"/>
    </row>
    <row r="238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  <c r="AA238" s="184"/>
    </row>
    <row r="239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  <c r="AA239" s="184"/>
    </row>
    <row r="240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  <c r="AA240" s="184"/>
    </row>
    <row r="241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  <c r="AA241" s="184"/>
    </row>
    <row r="242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  <c r="AA242" s="184"/>
    </row>
    <row r="243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  <c r="AA243" s="184"/>
    </row>
    <row r="244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  <c r="AA244" s="184"/>
    </row>
    <row r="245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  <c r="AA245" s="184"/>
    </row>
    <row r="24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  <c r="AA246" s="184"/>
    </row>
    <row r="247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  <c r="AA247" s="184"/>
    </row>
    <row r="248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  <c r="AA248" s="184"/>
    </row>
    <row r="249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  <c r="AA249" s="184"/>
    </row>
    <row r="250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  <c r="AA250" s="184"/>
    </row>
    <row r="251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  <c r="AA251" s="184"/>
    </row>
    <row r="252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  <c r="AA252" s="184"/>
    </row>
    <row r="253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  <c r="AA253" s="184"/>
    </row>
    <row r="254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  <c r="AA254" s="184"/>
    </row>
    <row r="255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  <c r="AA255" s="184"/>
    </row>
    <row r="25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  <c r="AA256" s="184"/>
    </row>
    <row r="257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  <c r="AA257" s="184"/>
    </row>
    <row r="258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  <c r="AA258" s="184"/>
    </row>
    <row r="259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  <c r="AA259" s="184"/>
    </row>
    <row r="260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  <c r="AA260" s="184"/>
    </row>
    <row r="261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  <c r="AA261" s="184"/>
    </row>
    <row r="262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  <c r="AA262" s="184"/>
    </row>
    <row r="263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  <c r="AA263" s="184"/>
    </row>
    <row r="264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  <c r="AA264" s="184"/>
    </row>
    <row r="265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  <c r="AA265" s="184"/>
    </row>
    <row r="26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  <c r="AA266" s="184"/>
    </row>
    <row r="267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  <c r="AA267" s="184"/>
    </row>
    <row r="268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  <c r="AA268" s="184"/>
    </row>
    <row r="269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  <c r="AA269" s="184"/>
    </row>
    <row r="270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  <c r="AA270" s="184"/>
    </row>
    <row r="271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  <c r="AA271" s="184"/>
    </row>
    <row r="272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  <c r="AA272" s="184"/>
    </row>
    <row r="273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  <c r="AA273" s="184"/>
    </row>
    <row r="274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  <c r="AA274" s="184"/>
    </row>
    <row r="275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  <c r="AA275" s="184"/>
    </row>
    <row r="276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  <c r="AA276" s="184"/>
    </row>
    <row r="277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  <c r="AA277" s="184"/>
    </row>
    <row r="278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  <c r="AA278" s="184"/>
    </row>
    <row r="279">
      <c r="A279" s="184"/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  <c r="AA279" s="184"/>
    </row>
    <row r="280">
      <c r="A280" s="184"/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  <c r="AA280" s="184"/>
    </row>
    <row r="281">
      <c r="A281" s="184"/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  <c r="AA281" s="184"/>
    </row>
    <row r="282">
      <c r="A282" s="184"/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  <c r="AA282" s="184"/>
    </row>
    <row r="283">
      <c r="A283" s="184"/>
      <c r="B283" s="184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  <c r="AA283" s="184"/>
    </row>
    <row r="284">
      <c r="A284" s="184"/>
      <c r="B284" s="184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  <c r="AA284" s="184"/>
    </row>
    <row r="285">
      <c r="A285" s="184"/>
      <c r="B285" s="184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  <c r="AA285" s="184"/>
    </row>
    <row r="286">
      <c r="A286" s="184"/>
      <c r="B286" s="184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  <c r="AA286" s="184"/>
    </row>
    <row r="287">
      <c r="A287" s="184"/>
      <c r="B287" s="184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  <c r="AA287" s="184"/>
    </row>
    <row r="288">
      <c r="A288" s="184"/>
      <c r="B288" s="184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  <c r="AA288" s="184"/>
    </row>
    <row r="289">
      <c r="A289" s="184"/>
      <c r="B289" s="184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  <c r="AA289" s="184"/>
    </row>
    <row r="290">
      <c r="A290" s="184"/>
      <c r="B290" s="184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  <c r="AA290" s="184"/>
    </row>
    <row r="291">
      <c r="A291" s="184"/>
      <c r="B291" s="184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  <c r="AA291" s="184"/>
    </row>
    <row r="292">
      <c r="A292" s="184"/>
      <c r="B292" s="184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  <c r="AA292" s="184"/>
    </row>
    <row r="293">
      <c r="A293" s="184"/>
      <c r="B293" s="184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  <c r="AA293" s="184"/>
    </row>
    <row r="294">
      <c r="A294" s="184"/>
      <c r="B294" s="184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  <c r="AA294" s="184"/>
    </row>
    <row r="295">
      <c r="A295" s="184"/>
      <c r="B295" s="184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  <c r="AA295" s="184"/>
    </row>
    <row r="296">
      <c r="A296" s="184"/>
      <c r="B296" s="184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  <c r="AA296" s="184"/>
    </row>
    <row r="297">
      <c r="A297" s="184"/>
      <c r="B297" s="184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  <c r="AA297" s="184"/>
    </row>
    <row r="298">
      <c r="A298" s="184"/>
      <c r="B298" s="184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  <c r="AA298" s="184"/>
    </row>
    <row r="299">
      <c r="A299" s="184"/>
      <c r="B299" s="184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  <c r="AA299" s="184"/>
    </row>
    <row r="300">
      <c r="A300" s="184"/>
      <c r="B300" s="184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  <c r="AA300" s="184"/>
    </row>
    <row r="301">
      <c r="A301" s="184"/>
      <c r="B301" s="184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  <c r="AA301" s="184"/>
    </row>
    <row r="302">
      <c r="A302" s="184"/>
      <c r="B302" s="184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  <c r="AA302" s="184"/>
    </row>
    <row r="303">
      <c r="A303" s="184"/>
      <c r="B303" s="184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  <c r="AA303" s="184"/>
    </row>
    <row r="304">
      <c r="A304" s="184"/>
      <c r="B304" s="184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  <c r="AA304" s="184"/>
    </row>
    <row r="305">
      <c r="A305" s="184"/>
      <c r="B305" s="184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  <c r="AA305" s="184"/>
    </row>
    <row r="306">
      <c r="A306" s="184"/>
      <c r="B306" s="184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  <c r="AA306" s="184"/>
    </row>
    <row r="307">
      <c r="A307" s="184"/>
      <c r="B307" s="184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  <c r="AA307" s="184"/>
    </row>
    <row r="308">
      <c r="A308" s="184"/>
      <c r="B308" s="184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  <c r="AA308" s="184"/>
    </row>
    <row r="309">
      <c r="A309" s="184"/>
      <c r="B309" s="184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  <c r="AA309" s="184"/>
    </row>
    <row r="310">
      <c r="A310" s="184"/>
      <c r="B310" s="184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  <c r="AA310" s="184"/>
    </row>
    <row r="311">
      <c r="A311" s="184"/>
      <c r="B311" s="184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  <c r="AA311" s="184"/>
    </row>
    <row r="312">
      <c r="A312" s="184"/>
      <c r="B312" s="184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  <c r="AA312" s="184"/>
    </row>
    <row r="313">
      <c r="A313" s="184"/>
      <c r="B313" s="184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  <c r="AA313" s="184"/>
    </row>
    <row r="314">
      <c r="A314" s="184"/>
      <c r="B314" s="184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  <c r="AA314" s="184"/>
    </row>
    <row r="315">
      <c r="A315" s="184"/>
      <c r="B315" s="184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  <c r="AA315" s="184"/>
    </row>
    <row r="316">
      <c r="A316" s="184"/>
      <c r="B316" s="184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  <c r="AA316" s="184"/>
    </row>
    <row r="317">
      <c r="A317" s="184"/>
      <c r="B317" s="184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  <c r="AA317" s="184"/>
    </row>
    <row r="318">
      <c r="A318" s="184"/>
      <c r="B318" s="184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  <c r="AA318" s="184"/>
    </row>
    <row r="319">
      <c r="A319" s="184"/>
      <c r="B319" s="184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  <c r="AA319" s="184"/>
    </row>
    <row r="320">
      <c r="A320" s="184"/>
      <c r="B320" s="184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  <c r="AA320" s="184"/>
    </row>
    <row r="321">
      <c r="A321" s="184"/>
      <c r="B321" s="184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  <c r="AA321" s="184"/>
    </row>
    <row r="322">
      <c r="A322" s="184"/>
      <c r="B322" s="184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  <c r="AA322" s="184"/>
    </row>
    <row r="323">
      <c r="A323" s="184"/>
      <c r="B323" s="184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  <c r="AA323" s="184"/>
    </row>
    <row r="324">
      <c r="A324" s="184"/>
      <c r="B324" s="184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  <c r="AA324" s="184"/>
    </row>
    <row r="325">
      <c r="A325" s="184"/>
      <c r="B325" s="184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  <c r="AA325" s="184"/>
    </row>
    <row r="326">
      <c r="A326" s="184"/>
      <c r="B326" s="184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  <c r="AA326" s="184"/>
    </row>
    <row r="327">
      <c r="A327" s="184"/>
      <c r="B327" s="184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  <c r="AA327" s="184"/>
    </row>
    <row r="328">
      <c r="A328" s="184"/>
      <c r="B328" s="184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  <c r="AA328" s="184"/>
    </row>
    <row r="329">
      <c r="A329" s="184"/>
      <c r="B329" s="184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  <c r="AA329" s="184"/>
    </row>
    <row r="330">
      <c r="A330" s="184"/>
      <c r="B330" s="184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  <c r="AA330" s="184"/>
    </row>
    <row r="331">
      <c r="A331" s="184"/>
      <c r="B331" s="184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  <c r="AA331" s="184"/>
    </row>
    <row r="332">
      <c r="A332" s="184"/>
      <c r="B332" s="184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  <c r="AA332" s="184"/>
    </row>
    <row r="333">
      <c r="A333" s="184"/>
      <c r="B333" s="184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  <c r="AA333" s="184"/>
    </row>
    <row r="334">
      <c r="A334" s="184"/>
      <c r="B334" s="184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  <c r="AA334" s="184"/>
    </row>
    <row r="335">
      <c r="A335" s="184"/>
      <c r="B335" s="184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  <c r="AA335" s="184"/>
    </row>
    <row r="336">
      <c r="A336" s="184"/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  <c r="AA336" s="184"/>
    </row>
    <row r="337">
      <c r="A337" s="184"/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  <c r="AA337" s="184"/>
    </row>
    <row r="338">
      <c r="A338" s="184"/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  <c r="AA338" s="184"/>
    </row>
    <row r="339">
      <c r="A339" s="184"/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  <c r="AA339" s="184"/>
    </row>
    <row r="340">
      <c r="A340" s="184"/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  <c r="AA340" s="184"/>
    </row>
    <row r="341">
      <c r="A341" s="184"/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  <c r="AA341" s="184"/>
    </row>
    <row r="342">
      <c r="A342" s="184"/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  <c r="AA342" s="184"/>
    </row>
    <row r="343">
      <c r="A343" s="184"/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  <c r="AA343" s="184"/>
    </row>
    <row r="344">
      <c r="A344" s="184"/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  <c r="AA344" s="184"/>
    </row>
    <row r="345">
      <c r="A345" s="184"/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  <c r="AA345" s="184"/>
    </row>
    <row r="346">
      <c r="A346" s="184"/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  <c r="AA346" s="184"/>
    </row>
    <row r="347">
      <c r="A347" s="184"/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  <c r="AA347" s="184"/>
    </row>
    <row r="348">
      <c r="A348" s="184"/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  <c r="AA348" s="184"/>
    </row>
    <row r="349">
      <c r="A349" s="184"/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  <c r="AA349" s="184"/>
    </row>
    <row r="350">
      <c r="A350" s="184"/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  <c r="AA350" s="184"/>
    </row>
    <row r="351">
      <c r="A351" s="184"/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  <c r="AA351" s="184"/>
    </row>
    <row r="352">
      <c r="A352" s="184"/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  <c r="AA352" s="184"/>
    </row>
    <row r="353">
      <c r="A353" s="184"/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  <c r="AA353" s="184"/>
    </row>
    <row r="354">
      <c r="A354" s="184"/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  <c r="AA354" s="184"/>
    </row>
    <row r="355">
      <c r="A355" s="184"/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  <c r="AA355" s="184"/>
    </row>
    <row r="356">
      <c r="A356" s="184"/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  <c r="AA356" s="184"/>
    </row>
    <row r="357">
      <c r="A357" s="184"/>
      <c r="B357" s="184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  <c r="AA357" s="184"/>
    </row>
    <row r="358">
      <c r="A358" s="184"/>
      <c r="B358" s="184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  <c r="AA358" s="184"/>
    </row>
    <row r="359">
      <c r="A359" s="184"/>
      <c r="B359" s="184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  <c r="AA359" s="184"/>
    </row>
    <row r="360">
      <c r="A360" s="184"/>
      <c r="B360" s="184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  <c r="AA360" s="184"/>
    </row>
    <row r="361">
      <c r="A361" s="184"/>
      <c r="B361" s="184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  <c r="AA361" s="184"/>
    </row>
    <row r="362">
      <c r="A362" s="184"/>
      <c r="B362" s="184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  <c r="AA362" s="184"/>
    </row>
    <row r="363">
      <c r="A363" s="184"/>
      <c r="B363" s="184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  <c r="AA363" s="184"/>
    </row>
    <row r="364">
      <c r="A364" s="184"/>
      <c r="B364" s="184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  <c r="AA364" s="184"/>
    </row>
    <row r="365">
      <c r="A365" s="184"/>
      <c r="B365" s="184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  <c r="AA365" s="184"/>
    </row>
    <row r="366">
      <c r="A366" s="184"/>
      <c r="B366" s="184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  <c r="AA366" s="184"/>
    </row>
    <row r="367">
      <c r="A367" s="184"/>
      <c r="B367" s="184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  <c r="AA367" s="184"/>
    </row>
    <row r="368">
      <c r="A368" s="184"/>
      <c r="B368" s="184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  <c r="AA368" s="184"/>
    </row>
    <row r="369">
      <c r="A369" s="184"/>
      <c r="B369" s="184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  <c r="AA369" s="184"/>
    </row>
    <row r="370">
      <c r="A370" s="184"/>
      <c r="B370" s="184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  <c r="AA370" s="184"/>
    </row>
    <row r="371">
      <c r="A371" s="184"/>
      <c r="B371" s="184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  <c r="AA371" s="184"/>
    </row>
    <row r="372">
      <c r="A372" s="184"/>
      <c r="B372" s="184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  <c r="AA372" s="184"/>
    </row>
    <row r="373">
      <c r="A373" s="184"/>
      <c r="B373" s="184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  <c r="AA373" s="184"/>
    </row>
    <row r="374">
      <c r="A374" s="184"/>
      <c r="B374" s="184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  <c r="AA374" s="184"/>
    </row>
    <row r="375">
      <c r="A375" s="184"/>
      <c r="B375" s="184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  <c r="AA375" s="184"/>
    </row>
    <row r="376">
      <c r="A376" s="184"/>
      <c r="B376" s="184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  <c r="AA376" s="184"/>
    </row>
    <row r="377">
      <c r="A377" s="184"/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  <c r="AA377" s="184"/>
    </row>
    <row r="378">
      <c r="A378" s="184"/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  <c r="AA378" s="184"/>
    </row>
    <row r="379">
      <c r="A379" s="184"/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  <c r="AA379" s="184"/>
    </row>
    <row r="380">
      <c r="A380" s="184"/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  <c r="AA380" s="184"/>
    </row>
    <row r="381">
      <c r="A381" s="184"/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  <c r="AA381" s="184"/>
    </row>
    <row r="382">
      <c r="A382" s="184"/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  <c r="AA382" s="184"/>
    </row>
    <row r="383">
      <c r="A383" s="184"/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  <c r="AA383" s="184"/>
    </row>
    <row r="384">
      <c r="A384" s="184"/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  <c r="AA384" s="184"/>
    </row>
    <row r="385">
      <c r="A385" s="184"/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  <c r="AA385" s="184"/>
    </row>
    <row r="386">
      <c r="A386" s="184"/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  <c r="AA386" s="184"/>
    </row>
    <row r="387">
      <c r="A387" s="184"/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  <c r="AA387" s="184"/>
    </row>
    <row r="388">
      <c r="A388" s="184"/>
      <c r="B388" s="184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  <c r="AA388" s="184"/>
    </row>
    <row r="389">
      <c r="A389" s="184"/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  <c r="AA389" s="184"/>
    </row>
    <row r="390">
      <c r="A390" s="184"/>
      <c r="B390" s="184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  <c r="AA390" s="184"/>
    </row>
    <row r="391">
      <c r="A391" s="184"/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  <c r="AA391" s="184"/>
    </row>
    <row r="392">
      <c r="A392" s="184"/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  <c r="AA392" s="184"/>
    </row>
    <row r="393">
      <c r="A393" s="184"/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  <c r="AA393" s="184"/>
    </row>
    <row r="394">
      <c r="A394" s="184"/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  <c r="AA394" s="184"/>
    </row>
    <row r="395">
      <c r="A395" s="184"/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  <c r="AA395" s="184"/>
    </row>
    <row r="396">
      <c r="A396" s="184"/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  <c r="AA396" s="184"/>
    </row>
    <row r="397">
      <c r="A397" s="184"/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  <c r="AA397" s="184"/>
    </row>
    <row r="398">
      <c r="A398" s="184"/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  <c r="AA398" s="184"/>
    </row>
    <row r="399">
      <c r="A399" s="184"/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  <c r="AA399" s="184"/>
    </row>
    <row r="400">
      <c r="A400" s="184"/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  <c r="AA400" s="184"/>
    </row>
    <row r="401">
      <c r="A401" s="184"/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  <c r="AA401" s="184"/>
    </row>
    <row r="402">
      <c r="A402" s="184"/>
      <c r="B402" s="184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  <c r="AA402" s="184"/>
    </row>
    <row r="403">
      <c r="A403" s="184"/>
      <c r="B403" s="184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  <c r="AA403" s="184"/>
    </row>
    <row r="404">
      <c r="A404" s="184"/>
      <c r="B404" s="184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  <c r="AA404" s="184"/>
    </row>
    <row r="405">
      <c r="A405" s="184"/>
      <c r="B405" s="184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  <c r="AA405" s="184"/>
    </row>
    <row r="406">
      <c r="A406" s="184"/>
      <c r="B406" s="184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  <c r="AA406" s="184"/>
    </row>
    <row r="407">
      <c r="A407" s="184"/>
      <c r="B407" s="184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  <c r="AA407" s="184"/>
    </row>
    <row r="408">
      <c r="A408" s="184"/>
      <c r="B408" s="184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  <c r="AA408" s="184"/>
    </row>
    <row r="409">
      <c r="A409" s="184"/>
      <c r="B409" s="184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  <c r="AA409" s="184"/>
    </row>
    <row r="410">
      <c r="A410" s="184"/>
      <c r="B410" s="184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  <c r="AA410" s="184"/>
    </row>
    <row r="411">
      <c r="A411" s="184"/>
      <c r="B411" s="184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  <c r="AA411" s="184"/>
    </row>
    <row r="412">
      <c r="A412" s="184"/>
      <c r="B412" s="184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  <c r="AA412" s="184"/>
    </row>
    <row r="413">
      <c r="A413" s="184"/>
      <c r="B413" s="184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  <c r="AA413" s="184"/>
    </row>
    <row r="414">
      <c r="A414" s="184"/>
      <c r="B414" s="184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  <c r="AA414" s="184"/>
    </row>
    <row r="415">
      <c r="A415" s="184"/>
      <c r="B415" s="184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  <c r="AA415" s="184"/>
    </row>
    <row r="416">
      <c r="A416" s="184"/>
      <c r="B416" s="184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  <c r="AA416" s="184"/>
    </row>
    <row r="417">
      <c r="A417" s="184"/>
      <c r="B417" s="184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  <c r="AA417" s="184"/>
    </row>
    <row r="418">
      <c r="A418" s="184"/>
      <c r="B418" s="184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  <c r="AA418" s="184"/>
    </row>
    <row r="419">
      <c r="A419" s="184"/>
      <c r="B419" s="184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  <c r="AA419" s="184"/>
    </row>
    <row r="420">
      <c r="A420" s="184"/>
      <c r="B420" s="184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  <c r="AA420" s="184"/>
    </row>
    <row r="421">
      <c r="A421" s="184"/>
      <c r="B421" s="184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  <c r="AA421" s="184"/>
    </row>
    <row r="422">
      <c r="A422" s="184"/>
      <c r="B422" s="184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  <c r="AA422" s="184"/>
    </row>
    <row r="423">
      <c r="A423" s="184"/>
      <c r="B423" s="184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  <c r="AA423" s="184"/>
    </row>
    <row r="424">
      <c r="A424" s="184"/>
      <c r="B424" s="184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  <c r="AA424" s="184"/>
    </row>
    <row r="425">
      <c r="A425" s="184"/>
      <c r="B425" s="184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  <c r="AA425" s="184"/>
    </row>
    <row r="426">
      <c r="A426" s="184"/>
      <c r="B426" s="184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  <c r="AA426" s="184"/>
    </row>
    <row r="427">
      <c r="A427" s="184"/>
      <c r="B427" s="184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  <c r="AA427" s="184"/>
    </row>
    <row r="428">
      <c r="A428" s="184"/>
      <c r="B428" s="184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  <c r="AA428" s="184"/>
    </row>
    <row r="429">
      <c r="A429" s="184"/>
      <c r="B429" s="184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  <c r="AA429" s="184"/>
    </row>
    <row r="430">
      <c r="A430" s="184"/>
      <c r="B430" s="184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  <c r="AA430" s="184"/>
    </row>
    <row r="431">
      <c r="A431" s="184"/>
      <c r="B431" s="184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  <c r="AA431" s="184"/>
    </row>
    <row r="432">
      <c r="A432" s="184"/>
      <c r="B432" s="184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  <c r="AA432" s="184"/>
    </row>
    <row r="433">
      <c r="A433" s="184"/>
      <c r="B433" s="184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  <c r="AA433" s="184"/>
    </row>
    <row r="434">
      <c r="A434" s="184"/>
      <c r="B434" s="184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  <c r="AA434" s="184"/>
    </row>
    <row r="435">
      <c r="A435" s="184"/>
      <c r="B435" s="184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  <c r="AA435" s="184"/>
    </row>
    <row r="436">
      <c r="A436" s="184"/>
      <c r="B436" s="184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  <c r="AA436" s="184"/>
    </row>
    <row r="437">
      <c r="A437" s="184"/>
      <c r="B437" s="184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  <c r="AA437" s="184"/>
    </row>
    <row r="438">
      <c r="A438" s="184"/>
      <c r="B438" s="184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  <c r="AA438" s="184"/>
    </row>
    <row r="439">
      <c r="A439" s="184"/>
      <c r="B439" s="184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  <c r="AA439" s="184"/>
    </row>
    <row r="440">
      <c r="A440" s="184"/>
      <c r="B440" s="184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  <c r="AA440" s="184"/>
    </row>
    <row r="441">
      <c r="A441" s="184"/>
      <c r="B441" s="184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  <c r="AA441" s="184"/>
    </row>
    <row r="442">
      <c r="A442" s="184"/>
      <c r="B442" s="184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  <c r="AA442" s="184"/>
    </row>
    <row r="443">
      <c r="A443" s="184"/>
      <c r="B443" s="184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  <c r="AA443" s="184"/>
    </row>
    <row r="444">
      <c r="A444" s="184"/>
      <c r="B444" s="184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  <c r="AA444" s="184"/>
    </row>
    <row r="445">
      <c r="A445" s="184"/>
      <c r="B445" s="184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  <c r="AA445" s="184"/>
    </row>
    <row r="446">
      <c r="A446" s="184"/>
      <c r="B446" s="184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  <c r="AA446" s="184"/>
    </row>
    <row r="447">
      <c r="A447" s="184"/>
      <c r="B447" s="184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  <c r="AA447" s="184"/>
    </row>
    <row r="448">
      <c r="A448" s="184"/>
      <c r="B448" s="184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  <c r="AA448" s="184"/>
    </row>
    <row r="449">
      <c r="A449" s="184"/>
      <c r="B449" s="184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  <c r="AA449" s="184"/>
    </row>
    <row r="450">
      <c r="A450" s="184"/>
      <c r="B450" s="184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  <c r="AA450" s="184"/>
    </row>
    <row r="451">
      <c r="A451" s="184"/>
      <c r="B451" s="184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  <c r="AA451" s="184"/>
    </row>
    <row r="452">
      <c r="A452" s="184"/>
      <c r="B452" s="184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  <c r="AA452" s="184"/>
    </row>
    <row r="453">
      <c r="A453" s="184"/>
      <c r="B453" s="184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  <c r="AA453" s="184"/>
    </row>
    <row r="454">
      <c r="A454" s="184"/>
      <c r="B454" s="184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  <c r="AA454" s="184"/>
    </row>
    <row r="455">
      <c r="A455" s="184"/>
      <c r="B455" s="184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  <c r="AA455" s="184"/>
    </row>
    <row r="456">
      <c r="A456" s="184"/>
      <c r="B456" s="184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  <c r="AA456" s="184"/>
    </row>
    <row r="457">
      <c r="A457" s="184"/>
      <c r="B457" s="184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  <c r="AA457" s="184"/>
    </row>
    <row r="458">
      <c r="A458" s="184"/>
      <c r="B458" s="184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  <c r="AA458" s="184"/>
    </row>
    <row r="459">
      <c r="A459" s="184"/>
      <c r="B459" s="184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  <c r="AA459" s="184"/>
    </row>
    <row r="460">
      <c r="A460" s="184"/>
      <c r="B460" s="184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  <c r="AA460" s="184"/>
    </row>
    <row r="461">
      <c r="A461" s="184"/>
      <c r="B461" s="184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  <c r="AA461" s="184"/>
    </row>
    <row r="462">
      <c r="A462" s="184"/>
      <c r="B462" s="184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  <c r="AA462" s="184"/>
    </row>
    <row r="463">
      <c r="A463" s="184"/>
      <c r="B463" s="184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  <c r="AA463" s="184"/>
    </row>
    <row r="464">
      <c r="A464" s="184"/>
      <c r="B464" s="184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  <c r="AA464" s="184"/>
    </row>
    <row r="465">
      <c r="A465" s="184"/>
      <c r="B465" s="184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  <c r="AA465" s="184"/>
    </row>
    <row r="466">
      <c r="A466" s="184"/>
      <c r="B466" s="184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  <c r="AA466" s="184"/>
    </row>
    <row r="467">
      <c r="A467" s="184"/>
      <c r="B467" s="184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  <c r="AA467" s="184"/>
    </row>
    <row r="468">
      <c r="A468" s="184"/>
      <c r="B468" s="184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  <c r="AA468" s="184"/>
    </row>
    <row r="469">
      <c r="A469" s="184"/>
      <c r="B469" s="184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  <c r="AA469" s="184"/>
    </row>
    <row r="470">
      <c r="A470" s="184"/>
      <c r="B470" s="184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  <c r="AA470" s="184"/>
    </row>
    <row r="471">
      <c r="A471" s="184"/>
      <c r="B471" s="184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  <c r="AA471" s="184"/>
    </row>
    <row r="472">
      <c r="A472" s="184"/>
      <c r="B472" s="184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  <c r="AA472" s="184"/>
    </row>
    <row r="473">
      <c r="A473" s="184"/>
      <c r="B473" s="184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  <c r="AA473" s="184"/>
    </row>
    <row r="474">
      <c r="A474" s="184"/>
      <c r="B474" s="184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  <c r="AA474" s="184"/>
    </row>
    <row r="475">
      <c r="A475" s="184"/>
      <c r="B475" s="184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  <c r="AA475" s="184"/>
    </row>
    <row r="476">
      <c r="A476" s="184"/>
      <c r="B476" s="184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  <c r="AA476" s="184"/>
    </row>
    <row r="477">
      <c r="A477" s="184"/>
      <c r="B477" s="184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  <c r="AA477" s="184"/>
    </row>
    <row r="478">
      <c r="A478" s="184"/>
      <c r="B478" s="184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  <c r="AA478" s="184"/>
    </row>
    <row r="479">
      <c r="A479" s="184"/>
      <c r="B479" s="184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  <c r="AA479" s="184"/>
    </row>
    <row r="480">
      <c r="A480" s="184"/>
      <c r="B480" s="184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  <c r="AA480" s="184"/>
    </row>
    <row r="481">
      <c r="A481" s="184"/>
      <c r="B481" s="184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  <c r="AA481" s="184"/>
    </row>
    <row r="482">
      <c r="A482" s="184"/>
      <c r="B482" s="184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  <c r="AA482" s="184"/>
    </row>
    <row r="483">
      <c r="A483" s="184"/>
      <c r="B483" s="184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  <c r="AA483" s="184"/>
    </row>
    <row r="484">
      <c r="A484" s="184"/>
      <c r="B484" s="184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  <c r="AA484" s="184"/>
    </row>
    <row r="485">
      <c r="A485" s="184"/>
      <c r="B485" s="184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  <c r="Y485" s="184"/>
      <c r="Z485" s="184"/>
      <c r="AA485" s="184"/>
    </row>
    <row r="486">
      <c r="A486" s="184"/>
      <c r="B486" s="184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  <c r="Y486" s="184"/>
      <c r="Z486" s="184"/>
      <c r="AA486" s="184"/>
    </row>
    <row r="487">
      <c r="A487" s="184"/>
      <c r="B487" s="184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  <c r="Y487" s="184"/>
      <c r="Z487" s="184"/>
      <c r="AA487" s="184"/>
    </row>
    <row r="488">
      <c r="A488" s="184"/>
      <c r="B488" s="184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  <c r="Y488" s="184"/>
      <c r="Z488" s="184"/>
      <c r="AA488" s="184"/>
    </row>
    <row r="489">
      <c r="A489" s="184"/>
      <c r="B489" s="184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  <c r="Y489" s="184"/>
      <c r="Z489" s="184"/>
      <c r="AA489" s="184"/>
    </row>
    <row r="490">
      <c r="A490" s="184"/>
      <c r="B490" s="184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  <c r="Y490" s="184"/>
      <c r="Z490" s="184"/>
      <c r="AA490" s="184"/>
    </row>
    <row r="491">
      <c r="A491" s="184"/>
      <c r="B491" s="184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  <c r="Y491" s="184"/>
      <c r="Z491" s="184"/>
      <c r="AA491" s="184"/>
    </row>
    <row r="492">
      <c r="A492" s="184"/>
      <c r="B492" s="184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  <c r="Y492" s="184"/>
      <c r="Z492" s="184"/>
      <c r="AA492" s="184"/>
    </row>
    <row r="493">
      <c r="A493" s="184"/>
      <c r="B493" s="184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  <c r="Y493" s="184"/>
      <c r="Z493" s="184"/>
      <c r="AA493" s="184"/>
    </row>
    <row r="494">
      <c r="A494" s="184"/>
      <c r="B494" s="184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  <c r="Y494" s="184"/>
      <c r="Z494" s="184"/>
      <c r="AA494" s="184"/>
    </row>
    <row r="495">
      <c r="A495" s="184"/>
      <c r="B495" s="184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  <c r="Y495" s="184"/>
      <c r="Z495" s="184"/>
      <c r="AA495" s="184"/>
    </row>
    <row r="496">
      <c r="A496" s="184"/>
      <c r="B496" s="184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  <c r="Y496" s="184"/>
      <c r="Z496" s="184"/>
      <c r="AA496" s="184"/>
    </row>
    <row r="497">
      <c r="A497" s="184"/>
      <c r="B497" s="184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  <c r="Y497" s="184"/>
      <c r="Z497" s="184"/>
      <c r="AA497" s="184"/>
    </row>
    <row r="498">
      <c r="A498" s="184"/>
      <c r="B498" s="184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  <c r="Y498" s="184"/>
      <c r="Z498" s="184"/>
      <c r="AA498" s="184"/>
    </row>
    <row r="499">
      <c r="A499" s="184"/>
      <c r="B499" s="184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  <c r="Y499" s="184"/>
      <c r="Z499" s="184"/>
      <c r="AA499" s="184"/>
    </row>
    <row r="500">
      <c r="A500" s="184"/>
      <c r="B500" s="184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  <c r="Y500" s="184"/>
      <c r="Z500" s="184"/>
      <c r="AA500" s="184"/>
    </row>
    <row r="501">
      <c r="A501" s="184"/>
      <c r="B501" s="184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  <c r="Y501" s="184"/>
      <c r="Z501" s="184"/>
      <c r="AA501" s="184"/>
    </row>
    <row r="502">
      <c r="A502" s="184"/>
      <c r="B502" s="184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  <c r="AA502" s="184"/>
    </row>
    <row r="503">
      <c r="A503" s="184"/>
      <c r="B503" s="184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  <c r="Y503" s="184"/>
      <c r="Z503" s="184"/>
      <c r="AA503" s="184"/>
    </row>
    <row r="504">
      <c r="A504" s="184"/>
      <c r="B504" s="184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  <c r="Y504" s="184"/>
      <c r="Z504" s="184"/>
      <c r="AA504" s="184"/>
    </row>
    <row r="505">
      <c r="A505" s="184"/>
      <c r="B505" s="184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  <c r="Y505" s="184"/>
      <c r="Z505" s="184"/>
      <c r="AA505" s="184"/>
    </row>
    <row r="506">
      <c r="A506" s="184"/>
      <c r="B506" s="184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  <c r="Y506" s="184"/>
      <c r="Z506" s="184"/>
      <c r="AA506" s="184"/>
    </row>
    <row r="507">
      <c r="A507" s="184"/>
      <c r="B507" s="184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  <c r="Y507" s="184"/>
      <c r="Z507" s="184"/>
      <c r="AA507" s="184"/>
    </row>
    <row r="508">
      <c r="A508" s="184"/>
      <c r="B508" s="184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  <c r="Y508" s="184"/>
      <c r="Z508" s="184"/>
      <c r="AA508" s="184"/>
    </row>
    <row r="509">
      <c r="A509" s="184"/>
      <c r="B509" s="184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  <c r="Y509" s="184"/>
      <c r="Z509" s="184"/>
      <c r="AA509" s="184"/>
    </row>
    <row r="510">
      <c r="A510" s="184"/>
      <c r="B510" s="184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  <c r="Y510" s="184"/>
      <c r="Z510" s="184"/>
      <c r="AA510" s="184"/>
    </row>
    <row r="511">
      <c r="A511" s="184"/>
      <c r="B511" s="184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  <c r="Y511" s="184"/>
      <c r="Z511" s="184"/>
      <c r="AA511" s="184"/>
    </row>
    <row r="512">
      <c r="A512" s="184"/>
      <c r="B512" s="184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  <c r="Y512" s="184"/>
      <c r="Z512" s="184"/>
      <c r="AA512" s="184"/>
    </row>
    <row r="513">
      <c r="A513" s="184"/>
      <c r="B513" s="184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  <c r="Y513" s="184"/>
      <c r="Z513" s="184"/>
      <c r="AA513" s="184"/>
    </row>
    <row r="514">
      <c r="A514" s="184"/>
      <c r="B514" s="184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  <c r="Y514" s="184"/>
      <c r="Z514" s="184"/>
      <c r="AA514" s="184"/>
    </row>
    <row r="515">
      <c r="A515" s="184"/>
      <c r="B515" s="184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  <c r="Y515" s="184"/>
      <c r="Z515" s="184"/>
      <c r="AA515" s="184"/>
    </row>
    <row r="516">
      <c r="A516" s="184"/>
      <c r="B516" s="184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  <c r="Y516" s="184"/>
      <c r="Z516" s="184"/>
      <c r="AA516" s="184"/>
    </row>
    <row r="517">
      <c r="A517" s="184"/>
      <c r="B517" s="184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  <c r="AA517" s="184"/>
    </row>
    <row r="518">
      <c r="A518" s="184"/>
      <c r="B518" s="184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  <c r="Y518" s="184"/>
      <c r="Z518" s="184"/>
      <c r="AA518" s="184"/>
    </row>
    <row r="519">
      <c r="A519" s="184"/>
      <c r="B519" s="184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  <c r="AA519" s="184"/>
    </row>
    <row r="520">
      <c r="A520" s="184"/>
      <c r="B520" s="184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  <c r="Y520" s="184"/>
      <c r="Z520" s="184"/>
      <c r="AA520" s="184"/>
    </row>
    <row r="521">
      <c r="A521" s="184"/>
      <c r="B521" s="184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  <c r="Y521" s="184"/>
      <c r="Z521" s="184"/>
      <c r="AA521" s="184"/>
    </row>
    <row r="522">
      <c r="A522" s="184"/>
      <c r="B522" s="184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  <c r="AA522" s="184"/>
    </row>
    <row r="523">
      <c r="A523" s="184"/>
      <c r="B523" s="184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  <c r="AA523" s="184"/>
    </row>
    <row r="524">
      <c r="A524" s="184"/>
      <c r="B524" s="184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  <c r="AA524" s="184"/>
    </row>
    <row r="525">
      <c r="A525" s="184"/>
      <c r="B525" s="184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  <c r="AA525" s="184"/>
    </row>
    <row r="526">
      <c r="A526" s="184"/>
      <c r="B526" s="184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  <c r="Y526" s="184"/>
      <c r="Z526" s="184"/>
      <c r="AA526" s="184"/>
    </row>
    <row r="527">
      <c r="A527" s="184"/>
      <c r="B527" s="184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  <c r="Y527" s="184"/>
      <c r="Z527" s="184"/>
      <c r="AA527" s="184"/>
    </row>
    <row r="528">
      <c r="A528" s="184"/>
      <c r="B528" s="184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  <c r="Y528" s="184"/>
      <c r="Z528" s="184"/>
      <c r="AA528" s="184"/>
    </row>
    <row r="529">
      <c r="A529" s="184"/>
      <c r="B529" s="184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  <c r="AA529" s="184"/>
    </row>
    <row r="530">
      <c r="A530" s="184"/>
      <c r="B530" s="184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  <c r="Y530" s="184"/>
      <c r="Z530" s="184"/>
      <c r="AA530" s="184"/>
    </row>
    <row r="531">
      <c r="A531" s="184"/>
      <c r="B531" s="184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  <c r="AA531" s="184"/>
    </row>
    <row r="532">
      <c r="A532" s="184"/>
      <c r="B532" s="184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  <c r="AA532" s="184"/>
    </row>
    <row r="533">
      <c r="A533" s="184"/>
      <c r="B533" s="184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  <c r="AA533" s="184"/>
    </row>
    <row r="534">
      <c r="A534" s="184"/>
      <c r="B534" s="184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  <c r="Y534" s="184"/>
      <c r="Z534" s="184"/>
      <c r="AA534" s="184"/>
    </row>
    <row r="535">
      <c r="A535" s="184"/>
      <c r="B535" s="184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  <c r="AA535" s="184"/>
    </row>
    <row r="536">
      <c r="A536" s="184"/>
      <c r="B536" s="184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  <c r="Y536" s="184"/>
      <c r="Z536" s="184"/>
      <c r="AA536" s="184"/>
    </row>
    <row r="537">
      <c r="A537" s="184"/>
      <c r="B537" s="184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  <c r="Y537" s="184"/>
      <c r="Z537" s="184"/>
      <c r="AA537" s="184"/>
    </row>
    <row r="538">
      <c r="A538" s="184"/>
      <c r="B538" s="184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  <c r="AA538" s="184"/>
    </row>
    <row r="539">
      <c r="A539" s="184"/>
      <c r="B539" s="184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  <c r="AA539" s="184"/>
    </row>
    <row r="540">
      <c r="A540" s="184"/>
      <c r="B540" s="184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  <c r="AA540" s="184"/>
    </row>
    <row r="541">
      <c r="A541" s="184"/>
      <c r="B541" s="184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  <c r="Y541" s="184"/>
      <c r="Z541" s="184"/>
      <c r="AA541" s="184"/>
    </row>
    <row r="542">
      <c r="A542" s="184"/>
      <c r="B542" s="184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  <c r="AA542" s="184"/>
    </row>
    <row r="543">
      <c r="A543" s="184"/>
      <c r="B543" s="184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  <c r="Y543" s="184"/>
      <c r="Z543" s="184"/>
      <c r="AA543" s="184"/>
    </row>
    <row r="544">
      <c r="A544" s="184"/>
      <c r="B544" s="184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  <c r="Y544" s="184"/>
      <c r="Z544" s="184"/>
      <c r="AA544" s="184"/>
    </row>
    <row r="545">
      <c r="A545" s="184"/>
      <c r="B545" s="184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  <c r="AA545" s="184"/>
    </row>
    <row r="546">
      <c r="A546" s="184"/>
      <c r="B546" s="184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  <c r="AA546" s="184"/>
    </row>
    <row r="547">
      <c r="A547" s="184"/>
      <c r="B547" s="184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  <c r="AA547" s="184"/>
    </row>
    <row r="548">
      <c r="A548" s="184"/>
      <c r="B548" s="184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  <c r="Y548" s="184"/>
      <c r="Z548" s="184"/>
      <c r="AA548" s="184"/>
    </row>
    <row r="549">
      <c r="A549" s="184"/>
      <c r="B549" s="184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  <c r="Y549" s="184"/>
      <c r="Z549" s="184"/>
      <c r="AA549" s="184"/>
    </row>
    <row r="550">
      <c r="A550" s="184"/>
      <c r="B550" s="184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  <c r="AA550" s="184"/>
    </row>
    <row r="551">
      <c r="A551" s="184"/>
      <c r="B551" s="184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  <c r="Y551" s="184"/>
      <c r="Z551" s="184"/>
      <c r="AA551" s="184"/>
    </row>
    <row r="552">
      <c r="A552" s="184"/>
      <c r="B552" s="184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  <c r="AA552" s="184"/>
    </row>
    <row r="553">
      <c r="A553" s="184"/>
      <c r="B553" s="184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  <c r="Y553" s="184"/>
      <c r="Z553" s="184"/>
      <c r="AA553" s="184"/>
    </row>
    <row r="554">
      <c r="A554" s="184"/>
      <c r="B554" s="184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  <c r="AA554" s="184"/>
    </row>
    <row r="555">
      <c r="A555" s="184"/>
      <c r="B555" s="184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  <c r="AA555" s="184"/>
    </row>
    <row r="556">
      <c r="A556" s="184"/>
      <c r="B556" s="184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  <c r="AA556" s="184"/>
    </row>
    <row r="557">
      <c r="A557" s="184"/>
      <c r="B557" s="184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  <c r="Y557" s="184"/>
      <c r="Z557" s="184"/>
      <c r="AA557" s="184"/>
    </row>
    <row r="558">
      <c r="A558" s="184"/>
      <c r="B558" s="184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  <c r="Y558" s="184"/>
      <c r="Z558" s="184"/>
      <c r="AA558" s="184"/>
    </row>
    <row r="559">
      <c r="A559" s="184"/>
      <c r="B559" s="184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  <c r="AA559" s="184"/>
    </row>
    <row r="560">
      <c r="A560" s="184"/>
      <c r="B560" s="184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  <c r="AA560" s="184"/>
    </row>
    <row r="561">
      <c r="A561" s="184"/>
      <c r="B561" s="184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  <c r="Y561" s="184"/>
      <c r="Z561" s="184"/>
      <c r="AA561" s="184"/>
    </row>
    <row r="562">
      <c r="A562" s="184"/>
      <c r="B562" s="184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  <c r="AA562" s="184"/>
    </row>
    <row r="563">
      <c r="A563" s="184"/>
      <c r="B563" s="184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  <c r="AA563" s="184"/>
    </row>
    <row r="564">
      <c r="A564" s="184"/>
      <c r="B564" s="184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  <c r="AA564" s="184"/>
    </row>
    <row r="565">
      <c r="A565" s="184"/>
      <c r="B565" s="184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  <c r="AA565" s="184"/>
    </row>
    <row r="566">
      <c r="A566" s="184"/>
      <c r="B566" s="184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  <c r="AA566" s="184"/>
    </row>
    <row r="567">
      <c r="A567" s="184"/>
      <c r="B567" s="184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  <c r="AA567" s="184"/>
    </row>
    <row r="568">
      <c r="A568" s="184"/>
      <c r="B568" s="184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  <c r="AA568" s="184"/>
    </row>
    <row r="569">
      <c r="A569" s="184"/>
      <c r="B569" s="184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  <c r="AA569" s="184"/>
    </row>
    <row r="570">
      <c r="A570" s="184"/>
      <c r="B570" s="184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  <c r="AA570" s="184"/>
    </row>
    <row r="571">
      <c r="A571" s="184"/>
      <c r="B571" s="184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  <c r="AA571" s="184"/>
    </row>
    <row r="572">
      <c r="A572" s="184"/>
      <c r="B572" s="184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  <c r="AA572" s="184"/>
    </row>
    <row r="573">
      <c r="A573" s="184"/>
      <c r="B573" s="184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  <c r="AA573" s="184"/>
    </row>
    <row r="574">
      <c r="A574" s="184"/>
      <c r="B574" s="184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  <c r="AA574" s="184"/>
    </row>
    <row r="575">
      <c r="A575" s="184"/>
      <c r="B575" s="184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  <c r="AA575" s="184"/>
    </row>
    <row r="576">
      <c r="A576" s="184"/>
      <c r="B576" s="184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  <c r="AA576" s="184"/>
    </row>
    <row r="577">
      <c r="A577" s="184"/>
      <c r="B577" s="184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  <c r="Y577" s="184"/>
      <c r="Z577" s="184"/>
      <c r="AA577" s="184"/>
    </row>
    <row r="578">
      <c r="A578" s="184"/>
      <c r="B578" s="184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  <c r="AA578" s="184"/>
    </row>
    <row r="579">
      <c r="A579" s="184"/>
      <c r="B579" s="184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  <c r="AA579" s="184"/>
    </row>
    <row r="580">
      <c r="A580" s="184"/>
      <c r="B580" s="184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  <c r="AA580" s="184"/>
    </row>
    <row r="581">
      <c r="A581" s="184"/>
      <c r="B581" s="184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  <c r="AA581" s="184"/>
    </row>
    <row r="582">
      <c r="A582" s="184"/>
      <c r="B582" s="184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  <c r="AA582" s="184"/>
    </row>
    <row r="583">
      <c r="A583" s="184"/>
      <c r="B583" s="184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  <c r="AA583" s="184"/>
    </row>
    <row r="584">
      <c r="A584" s="184"/>
      <c r="B584" s="184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  <c r="AA584" s="184"/>
    </row>
    <row r="585">
      <c r="A585" s="184"/>
      <c r="B585" s="184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  <c r="AA585" s="184"/>
    </row>
    <row r="586">
      <c r="A586" s="184"/>
      <c r="B586" s="184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  <c r="AA586" s="184"/>
    </row>
    <row r="587">
      <c r="A587" s="184"/>
      <c r="B587" s="184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  <c r="Y587" s="184"/>
      <c r="Z587" s="184"/>
      <c r="AA587" s="184"/>
    </row>
    <row r="588">
      <c r="A588" s="184"/>
      <c r="B588" s="184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  <c r="AA588" s="184"/>
    </row>
    <row r="589">
      <c r="A589" s="184"/>
      <c r="B589" s="184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  <c r="AA589" s="184"/>
    </row>
    <row r="590">
      <c r="A590" s="184"/>
      <c r="B590" s="184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  <c r="Y590" s="184"/>
      <c r="Z590" s="184"/>
      <c r="AA590" s="184"/>
    </row>
    <row r="591">
      <c r="A591" s="184"/>
      <c r="B591" s="184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  <c r="AA591" s="184"/>
    </row>
    <row r="592">
      <c r="A592" s="184"/>
      <c r="B592" s="184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  <c r="AA592" s="184"/>
    </row>
    <row r="593">
      <c r="A593" s="184"/>
      <c r="B593" s="184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  <c r="AA593" s="184"/>
    </row>
    <row r="594">
      <c r="A594" s="184"/>
      <c r="B594" s="184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  <c r="Y594" s="184"/>
      <c r="Z594" s="184"/>
      <c r="AA594" s="184"/>
    </row>
    <row r="595">
      <c r="A595" s="184"/>
      <c r="B595" s="184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  <c r="Y595" s="184"/>
      <c r="Z595" s="184"/>
      <c r="AA595" s="184"/>
    </row>
    <row r="596">
      <c r="A596" s="184"/>
      <c r="B596" s="184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  <c r="Y596" s="184"/>
      <c r="Z596" s="184"/>
      <c r="AA596" s="184"/>
    </row>
    <row r="597">
      <c r="A597" s="184"/>
      <c r="B597" s="184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  <c r="Y597" s="184"/>
      <c r="Z597" s="184"/>
      <c r="AA597" s="184"/>
    </row>
    <row r="598">
      <c r="A598" s="184"/>
      <c r="B598" s="184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  <c r="Y598" s="184"/>
      <c r="Z598" s="184"/>
      <c r="AA598" s="184"/>
    </row>
    <row r="599">
      <c r="A599" s="184"/>
      <c r="B599" s="184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  <c r="AA599" s="184"/>
    </row>
    <row r="600">
      <c r="A600" s="184"/>
      <c r="B600" s="184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  <c r="AA600" s="184"/>
    </row>
    <row r="601">
      <c r="A601" s="184"/>
      <c r="B601" s="184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  <c r="AA601" s="184"/>
    </row>
    <row r="602">
      <c r="A602" s="184"/>
      <c r="B602" s="184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  <c r="Y602" s="184"/>
      <c r="Z602" s="184"/>
      <c r="AA602" s="184"/>
    </row>
    <row r="603">
      <c r="A603" s="184"/>
      <c r="B603" s="184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  <c r="AA603" s="184"/>
    </row>
    <row r="604">
      <c r="A604" s="184"/>
      <c r="B604" s="184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  <c r="AA604" s="184"/>
    </row>
    <row r="605">
      <c r="A605" s="184"/>
      <c r="B605" s="184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  <c r="AA605" s="184"/>
    </row>
    <row r="606">
      <c r="A606" s="184"/>
      <c r="B606" s="184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  <c r="AA606" s="184"/>
    </row>
    <row r="607">
      <c r="A607" s="184"/>
      <c r="B607" s="184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  <c r="AA607" s="184"/>
    </row>
    <row r="608">
      <c r="A608" s="184"/>
      <c r="B608" s="184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  <c r="Y608" s="184"/>
      <c r="Z608" s="184"/>
      <c r="AA608" s="184"/>
    </row>
    <row r="609">
      <c r="A609" s="184"/>
      <c r="B609" s="184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  <c r="AA609" s="184"/>
    </row>
    <row r="610">
      <c r="A610" s="184"/>
      <c r="B610" s="184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  <c r="AA610" s="184"/>
    </row>
    <row r="611">
      <c r="A611" s="184"/>
      <c r="B611" s="184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  <c r="Y611" s="184"/>
      <c r="Z611" s="184"/>
      <c r="AA611" s="184"/>
    </row>
    <row r="612">
      <c r="A612" s="184"/>
      <c r="B612" s="184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  <c r="AA612" s="184"/>
    </row>
    <row r="613">
      <c r="A613" s="184"/>
      <c r="B613" s="184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  <c r="AA613" s="184"/>
    </row>
    <row r="614">
      <c r="A614" s="184"/>
      <c r="B614" s="184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  <c r="AA614" s="184"/>
    </row>
    <row r="615">
      <c r="A615" s="184"/>
      <c r="B615" s="184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  <c r="AA615" s="184"/>
    </row>
    <row r="616">
      <c r="A616" s="184"/>
      <c r="B616" s="184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  <c r="AA616" s="184"/>
    </row>
    <row r="617">
      <c r="A617" s="184"/>
      <c r="B617" s="184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  <c r="AA617" s="184"/>
    </row>
    <row r="618">
      <c r="A618" s="184"/>
      <c r="B618" s="184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  <c r="AA618" s="184"/>
    </row>
    <row r="619">
      <c r="A619" s="184"/>
      <c r="B619" s="184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  <c r="AA619" s="184"/>
    </row>
    <row r="620">
      <c r="A620" s="184"/>
      <c r="B620" s="184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  <c r="AA620" s="184"/>
    </row>
    <row r="621">
      <c r="A621" s="184"/>
      <c r="B621" s="184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  <c r="AA621" s="184"/>
    </row>
    <row r="622">
      <c r="A622" s="184"/>
      <c r="B622" s="184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  <c r="AA622" s="184"/>
    </row>
    <row r="623">
      <c r="A623" s="184"/>
      <c r="B623" s="184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  <c r="AA623" s="184"/>
    </row>
    <row r="624">
      <c r="A624" s="184"/>
      <c r="B624" s="184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  <c r="AA624" s="184"/>
    </row>
    <row r="625">
      <c r="A625" s="184"/>
      <c r="B625" s="184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  <c r="AA625" s="184"/>
    </row>
    <row r="626">
      <c r="A626" s="184"/>
      <c r="B626" s="184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  <c r="AA626" s="184"/>
    </row>
    <row r="627">
      <c r="A627" s="184"/>
      <c r="B627" s="184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  <c r="AA627" s="184"/>
    </row>
    <row r="628">
      <c r="A628" s="184"/>
      <c r="B628" s="184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  <c r="AA628" s="184"/>
    </row>
    <row r="629">
      <c r="A629" s="184"/>
      <c r="B629" s="184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  <c r="AA629" s="184"/>
    </row>
    <row r="630">
      <c r="A630" s="184"/>
      <c r="B630" s="184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  <c r="Y630" s="184"/>
      <c r="Z630" s="184"/>
      <c r="AA630" s="184"/>
    </row>
    <row r="631">
      <c r="A631" s="184"/>
      <c r="B631" s="184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  <c r="Y631" s="184"/>
      <c r="Z631" s="184"/>
      <c r="AA631" s="184"/>
    </row>
    <row r="632">
      <c r="A632" s="184"/>
      <c r="B632" s="184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  <c r="AA632" s="184"/>
    </row>
    <row r="633">
      <c r="A633" s="184"/>
      <c r="B633" s="184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  <c r="Y633" s="184"/>
      <c r="Z633" s="184"/>
      <c r="AA633" s="184"/>
    </row>
    <row r="634">
      <c r="A634" s="184"/>
      <c r="B634" s="184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  <c r="Y634" s="184"/>
      <c r="Z634" s="184"/>
      <c r="AA634" s="184"/>
    </row>
    <row r="635">
      <c r="A635" s="184"/>
      <c r="B635" s="184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  <c r="Y635" s="184"/>
      <c r="Z635" s="184"/>
      <c r="AA635" s="184"/>
    </row>
    <row r="636">
      <c r="A636" s="184"/>
      <c r="B636" s="184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  <c r="Y636" s="184"/>
      <c r="Z636" s="184"/>
      <c r="AA636" s="184"/>
    </row>
    <row r="637">
      <c r="A637" s="184"/>
      <c r="B637" s="184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  <c r="Y637" s="184"/>
      <c r="Z637" s="184"/>
      <c r="AA637" s="184"/>
    </row>
    <row r="638">
      <c r="A638" s="184"/>
      <c r="B638" s="184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  <c r="Y638" s="184"/>
      <c r="Z638" s="184"/>
      <c r="AA638" s="184"/>
    </row>
    <row r="639">
      <c r="A639" s="184"/>
      <c r="B639" s="184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  <c r="Y639" s="184"/>
      <c r="Z639" s="184"/>
      <c r="AA639" s="184"/>
    </row>
    <row r="640">
      <c r="A640" s="184"/>
      <c r="B640" s="184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  <c r="Y640" s="184"/>
      <c r="Z640" s="184"/>
      <c r="AA640" s="184"/>
    </row>
    <row r="641">
      <c r="A641" s="184"/>
      <c r="B641" s="184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  <c r="Y641" s="184"/>
      <c r="Z641" s="184"/>
      <c r="AA641" s="184"/>
    </row>
    <row r="642">
      <c r="A642" s="184"/>
      <c r="B642" s="184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  <c r="Y642" s="184"/>
      <c r="Z642" s="184"/>
      <c r="AA642" s="184"/>
    </row>
    <row r="643">
      <c r="A643" s="184"/>
      <c r="B643" s="184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  <c r="Y643" s="184"/>
      <c r="Z643" s="184"/>
      <c r="AA643" s="184"/>
    </row>
    <row r="644">
      <c r="A644" s="184"/>
      <c r="B644" s="184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  <c r="AA644" s="184"/>
    </row>
    <row r="645">
      <c r="A645" s="184"/>
      <c r="B645" s="184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  <c r="AA645" s="184"/>
    </row>
    <row r="646">
      <c r="A646" s="184"/>
      <c r="B646" s="184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  <c r="AA646" s="184"/>
    </row>
    <row r="647">
      <c r="A647" s="184"/>
      <c r="B647" s="184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  <c r="AA647" s="184"/>
    </row>
    <row r="648">
      <c r="A648" s="184"/>
      <c r="B648" s="184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  <c r="AA648" s="184"/>
    </row>
    <row r="649">
      <c r="A649" s="184"/>
      <c r="B649" s="184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  <c r="AA649" s="184"/>
    </row>
    <row r="650">
      <c r="A650" s="184"/>
      <c r="B650" s="184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  <c r="AA650" s="184"/>
    </row>
    <row r="651">
      <c r="A651" s="184"/>
      <c r="B651" s="184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  <c r="AA651" s="184"/>
    </row>
    <row r="652">
      <c r="A652" s="184"/>
      <c r="B652" s="184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  <c r="AA652" s="184"/>
    </row>
    <row r="653">
      <c r="A653" s="184"/>
      <c r="B653" s="184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  <c r="AA653" s="184"/>
    </row>
    <row r="654">
      <c r="A654" s="184"/>
      <c r="B654" s="184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  <c r="AA654" s="184"/>
    </row>
    <row r="655">
      <c r="A655" s="184"/>
      <c r="B655" s="184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  <c r="AA655" s="184"/>
    </row>
    <row r="656">
      <c r="A656" s="184"/>
      <c r="B656" s="184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  <c r="AA656" s="184"/>
    </row>
    <row r="657">
      <c r="A657" s="184"/>
      <c r="B657" s="184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  <c r="AA657" s="184"/>
    </row>
    <row r="658">
      <c r="A658" s="184"/>
      <c r="B658" s="184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  <c r="AA658" s="184"/>
    </row>
    <row r="659">
      <c r="A659" s="184"/>
      <c r="B659" s="184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  <c r="AA659" s="184"/>
    </row>
    <row r="660">
      <c r="A660" s="184"/>
      <c r="B660" s="184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  <c r="AA660" s="184"/>
    </row>
    <row r="661">
      <c r="A661" s="184"/>
      <c r="B661" s="184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  <c r="AA661" s="184"/>
    </row>
    <row r="662">
      <c r="A662" s="184"/>
      <c r="B662" s="184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  <c r="AA662" s="184"/>
    </row>
    <row r="663">
      <c r="A663" s="184"/>
      <c r="B663" s="184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  <c r="AA663" s="184"/>
    </row>
    <row r="664">
      <c r="A664" s="184"/>
      <c r="B664" s="184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  <c r="AA664" s="184"/>
    </row>
    <row r="665">
      <c r="A665" s="184"/>
      <c r="B665" s="184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  <c r="AA665" s="184"/>
    </row>
    <row r="666">
      <c r="A666" s="184"/>
      <c r="B666" s="184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  <c r="AA666" s="184"/>
    </row>
    <row r="667">
      <c r="A667" s="184"/>
      <c r="B667" s="184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  <c r="AA667" s="184"/>
    </row>
    <row r="668">
      <c r="A668" s="184"/>
      <c r="B668" s="184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  <c r="AA668" s="184"/>
    </row>
    <row r="669">
      <c r="A669" s="184"/>
      <c r="B669" s="184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  <c r="AA669" s="184"/>
    </row>
    <row r="670">
      <c r="A670" s="184"/>
      <c r="B670" s="184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  <c r="AA670" s="184"/>
    </row>
    <row r="671">
      <c r="A671" s="184"/>
      <c r="B671" s="184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  <c r="AA671" s="184"/>
    </row>
    <row r="672">
      <c r="A672" s="184"/>
      <c r="B672" s="184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  <c r="AA672" s="184"/>
    </row>
    <row r="673">
      <c r="A673" s="184"/>
      <c r="B673" s="184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  <c r="AA673" s="184"/>
    </row>
    <row r="674">
      <c r="A674" s="184"/>
      <c r="B674" s="184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  <c r="AA674" s="184"/>
    </row>
    <row r="675">
      <c r="A675" s="184"/>
      <c r="B675" s="184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  <c r="AA675" s="184"/>
    </row>
    <row r="676">
      <c r="A676" s="184"/>
      <c r="B676" s="184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  <c r="AA676" s="184"/>
    </row>
    <row r="677">
      <c r="A677" s="184"/>
      <c r="B677" s="184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  <c r="AA677" s="184"/>
    </row>
    <row r="678">
      <c r="A678" s="184"/>
      <c r="B678" s="184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  <c r="AA678" s="184"/>
    </row>
    <row r="679">
      <c r="A679" s="184"/>
      <c r="B679" s="184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  <c r="AA679" s="184"/>
    </row>
    <row r="680">
      <c r="A680" s="184"/>
      <c r="B680" s="184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  <c r="AA680" s="184"/>
    </row>
    <row r="681">
      <c r="A681" s="184"/>
      <c r="B681" s="184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  <c r="AA681" s="184"/>
    </row>
    <row r="682">
      <c r="A682" s="184"/>
      <c r="B682" s="184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  <c r="AA682" s="184"/>
    </row>
    <row r="683">
      <c r="A683" s="184"/>
      <c r="B683" s="184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  <c r="AA683" s="184"/>
    </row>
    <row r="684">
      <c r="A684" s="184"/>
      <c r="B684" s="184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  <c r="AA684" s="184"/>
    </row>
    <row r="685">
      <c r="A685" s="184"/>
      <c r="B685" s="184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  <c r="AA685" s="184"/>
    </row>
    <row r="686">
      <c r="A686" s="184"/>
      <c r="B686" s="184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  <c r="AA686" s="184"/>
    </row>
    <row r="687">
      <c r="A687" s="184"/>
      <c r="B687" s="184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  <c r="AA687" s="184"/>
    </row>
    <row r="688">
      <c r="A688" s="184"/>
      <c r="B688" s="184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  <c r="AA688" s="184"/>
    </row>
    <row r="689">
      <c r="A689" s="184"/>
      <c r="B689" s="184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  <c r="AA689" s="184"/>
    </row>
    <row r="690">
      <c r="A690" s="184"/>
      <c r="B690" s="184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  <c r="AA690" s="184"/>
    </row>
    <row r="691">
      <c r="A691" s="184"/>
      <c r="B691" s="184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  <c r="AA691" s="184"/>
    </row>
    <row r="692">
      <c r="A692" s="184"/>
      <c r="B692" s="184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  <c r="AA692" s="184"/>
    </row>
    <row r="693">
      <c r="A693" s="184"/>
      <c r="B693" s="184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  <c r="AA693" s="184"/>
    </row>
    <row r="694">
      <c r="A694" s="184"/>
      <c r="B694" s="184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  <c r="AA694" s="184"/>
    </row>
    <row r="695">
      <c r="A695" s="184"/>
      <c r="B695" s="184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  <c r="AA695" s="184"/>
    </row>
    <row r="696">
      <c r="A696" s="184"/>
      <c r="B696" s="184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  <c r="AA696" s="184"/>
    </row>
    <row r="697">
      <c r="A697" s="184"/>
      <c r="B697" s="184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  <c r="AA697" s="184"/>
    </row>
    <row r="698">
      <c r="A698" s="184"/>
      <c r="B698" s="184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  <c r="AA698" s="184"/>
    </row>
    <row r="699">
      <c r="A699" s="184"/>
      <c r="B699" s="184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  <c r="AA699" s="184"/>
    </row>
    <row r="700">
      <c r="A700" s="184"/>
      <c r="B700" s="184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  <c r="AA700" s="184"/>
    </row>
    <row r="701">
      <c r="A701" s="184"/>
      <c r="B701" s="184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  <c r="AA701" s="184"/>
    </row>
    <row r="702">
      <c r="A702" s="184"/>
      <c r="B702" s="184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  <c r="AA702" s="184"/>
    </row>
    <row r="703">
      <c r="A703" s="184"/>
      <c r="B703" s="184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  <c r="AA703" s="184"/>
    </row>
    <row r="704">
      <c r="A704" s="184"/>
      <c r="B704" s="184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  <c r="AA704" s="184"/>
    </row>
    <row r="705">
      <c r="A705" s="184"/>
      <c r="B705" s="184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  <c r="AA705" s="184"/>
    </row>
    <row r="706">
      <c r="A706" s="184"/>
      <c r="B706" s="184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  <c r="AA706" s="184"/>
    </row>
    <row r="707">
      <c r="A707" s="184"/>
      <c r="B707" s="184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  <c r="AA707" s="184"/>
    </row>
    <row r="708">
      <c r="A708" s="184"/>
      <c r="B708" s="184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  <c r="AA708" s="184"/>
    </row>
    <row r="709">
      <c r="A709" s="184"/>
      <c r="B709" s="184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  <c r="AA709" s="184"/>
    </row>
    <row r="710">
      <c r="A710" s="184"/>
      <c r="B710" s="184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  <c r="AA710" s="184"/>
    </row>
    <row r="711">
      <c r="A711" s="184"/>
      <c r="B711" s="184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  <c r="AA711" s="184"/>
    </row>
    <row r="712">
      <c r="A712" s="184"/>
      <c r="B712" s="184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  <c r="AA712" s="184"/>
    </row>
    <row r="713">
      <c r="A713" s="184"/>
      <c r="B713" s="184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  <c r="AA713" s="184"/>
    </row>
    <row r="714">
      <c r="A714" s="184"/>
      <c r="B714" s="184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  <c r="AA714" s="184"/>
    </row>
    <row r="715">
      <c r="A715" s="184"/>
      <c r="B715" s="184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  <c r="AA715" s="184"/>
    </row>
    <row r="716">
      <c r="A716" s="184"/>
      <c r="B716" s="184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  <c r="AA716" s="184"/>
    </row>
    <row r="717">
      <c r="A717" s="184"/>
      <c r="B717" s="184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  <c r="AA717" s="184"/>
    </row>
    <row r="718">
      <c r="A718" s="184"/>
      <c r="B718" s="184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  <c r="AA718" s="184"/>
    </row>
    <row r="719">
      <c r="A719" s="184"/>
      <c r="B719" s="184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  <c r="AA719" s="184"/>
    </row>
    <row r="720">
      <c r="A720" s="184"/>
      <c r="B720" s="184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  <c r="AA720" s="184"/>
    </row>
    <row r="721">
      <c r="A721" s="184"/>
      <c r="B721" s="184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  <c r="AA721" s="184"/>
    </row>
    <row r="722">
      <c r="A722" s="184"/>
      <c r="B722" s="184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  <c r="AA722" s="184"/>
    </row>
    <row r="723">
      <c r="A723" s="184"/>
      <c r="B723" s="184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  <c r="AA723" s="184"/>
    </row>
    <row r="724">
      <c r="A724" s="184"/>
      <c r="B724" s="184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  <c r="AA724" s="184"/>
    </row>
    <row r="725">
      <c r="A725" s="184"/>
      <c r="B725" s="184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  <c r="AA725" s="184"/>
    </row>
    <row r="726">
      <c r="A726" s="184"/>
      <c r="B726" s="184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  <c r="AA726" s="184"/>
    </row>
    <row r="727">
      <c r="A727" s="184"/>
      <c r="B727" s="184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  <c r="AA727" s="184"/>
    </row>
    <row r="728">
      <c r="A728" s="184"/>
      <c r="B728" s="184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  <c r="AA728" s="184"/>
    </row>
    <row r="729">
      <c r="A729" s="184"/>
      <c r="B729" s="184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  <c r="AA729" s="184"/>
    </row>
    <row r="730">
      <c r="A730" s="184"/>
      <c r="B730" s="184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  <c r="AA730" s="184"/>
    </row>
    <row r="731">
      <c r="A731" s="184"/>
      <c r="B731" s="184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  <c r="AA731" s="184"/>
    </row>
    <row r="732">
      <c r="A732" s="184"/>
      <c r="B732" s="184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  <c r="AA732" s="184"/>
    </row>
    <row r="733">
      <c r="A733" s="184"/>
      <c r="B733" s="184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  <c r="AA733" s="184"/>
    </row>
    <row r="734">
      <c r="A734" s="184"/>
      <c r="B734" s="184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  <c r="AA734" s="184"/>
    </row>
    <row r="735">
      <c r="A735" s="184"/>
      <c r="B735" s="184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  <c r="AA735" s="184"/>
    </row>
    <row r="736">
      <c r="A736" s="184"/>
      <c r="B736" s="184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  <c r="AA736" s="184"/>
    </row>
    <row r="737">
      <c r="A737" s="184"/>
      <c r="B737" s="184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  <c r="AA737" s="184"/>
    </row>
    <row r="738">
      <c r="A738" s="184"/>
      <c r="B738" s="184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  <c r="AA738" s="184"/>
    </row>
    <row r="739">
      <c r="A739" s="184"/>
      <c r="B739" s="184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  <c r="AA739" s="184"/>
    </row>
    <row r="740">
      <c r="A740" s="184"/>
      <c r="B740" s="184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  <c r="AA740" s="184"/>
    </row>
    <row r="741">
      <c r="A741" s="184"/>
      <c r="B741" s="184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  <c r="AA741" s="184"/>
    </row>
    <row r="742">
      <c r="A742" s="184"/>
      <c r="B742" s="184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  <c r="AA742" s="184"/>
    </row>
    <row r="743">
      <c r="A743" s="184"/>
      <c r="B743" s="184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  <c r="AA743" s="184"/>
    </row>
    <row r="744">
      <c r="A744" s="184"/>
      <c r="B744" s="184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  <c r="AA744" s="184"/>
    </row>
    <row r="745">
      <c r="A745" s="184"/>
      <c r="B745" s="184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  <c r="AA745" s="184"/>
    </row>
    <row r="746">
      <c r="A746" s="184"/>
      <c r="B746" s="184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  <c r="AA746" s="184"/>
    </row>
    <row r="747">
      <c r="A747" s="184"/>
      <c r="B747" s="184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  <c r="AA747" s="184"/>
    </row>
    <row r="748">
      <c r="A748" s="184"/>
      <c r="B748" s="184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  <c r="AA748" s="184"/>
    </row>
    <row r="749">
      <c r="A749" s="184"/>
      <c r="B749" s="184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  <c r="AA749" s="184"/>
    </row>
    <row r="750">
      <c r="A750" s="184"/>
      <c r="B750" s="184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  <c r="AA750" s="184"/>
    </row>
    <row r="751">
      <c r="A751" s="184"/>
      <c r="B751" s="184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  <c r="AA751" s="184"/>
    </row>
    <row r="752">
      <c r="A752" s="184"/>
      <c r="B752" s="184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  <c r="AA752" s="184"/>
    </row>
    <row r="753">
      <c r="A753" s="184"/>
      <c r="B753" s="184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  <c r="AA753" s="184"/>
    </row>
    <row r="754">
      <c r="A754" s="184"/>
      <c r="B754" s="184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  <c r="AA754" s="184"/>
    </row>
    <row r="755">
      <c r="A755" s="184"/>
      <c r="B755" s="184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  <c r="AA755" s="184"/>
    </row>
    <row r="756">
      <c r="A756" s="184"/>
      <c r="B756" s="184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  <c r="AA756" s="184"/>
    </row>
    <row r="757">
      <c r="A757" s="184"/>
      <c r="B757" s="184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  <c r="AA757" s="184"/>
    </row>
    <row r="758">
      <c r="A758" s="184"/>
      <c r="B758" s="184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  <c r="Y758" s="184"/>
      <c r="Z758" s="184"/>
      <c r="AA758" s="184"/>
    </row>
    <row r="759">
      <c r="A759" s="184"/>
      <c r="B759" s="184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  <c r="Y759" s="184"/>
      <c r="Z759" s="184"/>
      <c r="AA759" s="184"/>
    </row>
    <row r="760">
      <c r="A760" s="184"/>
      <c r="B760" s="184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  <c r="Y760" s="184"/>
      <c r="Z760" s="184"/>
      <c r="AA760" s="184"/>
    </row>
    <row r="761">
      <c r="A761" s="184"/>
      <c r="B761" s="184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  <c r="Y761" s="184"/>
      <c r="Z761" s="184"/>
      <c r="AA761" s="184"/>
    </row>
    <row r="762">
      <c r="A762" s="184"/>
      <c r="B762" s="184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  <c r="Y762" s="184"/>
      <c r="Z762" s="184"/>
      <c r="AA762" s="184"/>
    </row>
    <row r="763">
      <c r="A763" s="184"/>
      <c r="B763" s="184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  <c r="Y763" s="184"/>
      <c r="Z763" s="184"/>
      <c r="AA763" s="184"/>
    </row>
    <row r="764">
      <c r="A764" s="184"/>
      <c r="B764" s="184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  <c r="Y764" s="184"/>
      <c r="Z764" s="184"/>
      <c r="AA764" s="184"/>
    </row>
    <row r="765">
      <c r="A765" s="184"/>
      <c r="B765" s="184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  <c r="Y765" s="184"/>
      <c r="Z765" s="184"/>
      <c r="AA765" s="184"/>
    </row>
    <row r="766">
      <c r="A766" s="184"/>
      <c r="B766" s="184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  <c r="Y766" s="184"/>
      <c r="Z766" s="184"/>
      <c r="AA766" s="184"/>
    </row>
    <row r="767">
      <c r="A767" s="184"/>
      <c r="B767" s="184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  <c r="Y767" s="184"/>
      <c r="Z767" s="184"/>
      <c r="AA767" s="184"/>
    </row>
    <row r="768">
      <c r="A768" s="184"/>
      <c r="B768" s="184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  <c r="Y768" s="184"/>
      <c r="Z768" s="184"/>
      <c r="AA768" s="184"/>
    </row>
    <row r="769">
      <c r="A769" s="184"/>
      <c r="B769" s="184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  <c r="Y769" s="184"/>
      <c r="Z769" s="184"/>
      <c r="AA769" s="184"/>
    </row>
    <row r="770">
      <c r="A770" s="184"/>
      <c r="B770" s="184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  <c r="AA770" s="184"/>
    </row>
    <row r="771">
      <c r="A771" s="184"/>
      <c r="B771" s="184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  <c r="AA771" s="184"/>
    </row>
    <row r="772">
      <c r="A772" s="184"/>
      <c r="B772" s="184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  <c r="AA772" s="184"/>
    </row>
    <row r="773">
      <c r="A773" s="184"/>
      <c r="B773" s="184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  <c r="AA773" s="184"/>
    </row>
    <row r="774">
      <c r="A774" s="184"/>
      <c r="B774" s="184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  <c r="AA774" s="184"/>
    </row>
    <row r="775">
      <c r="A775" s="184"/>
      <c r="B775" s="184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  <c r="AA775" s="184"/>
    </row>
    <row r="776">
      <c r="A776" s="184"/>
      <c r="B776" s="184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  <c r="AA776" s="184"/>
    </row>
    <row r="777">
      <c r="A777" s="184"/>
      <c r="B777" s="184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  <c r="AA777" s="184"/>
    </row>
    <row r="778">
      <c r="A778" s="184"/>
      <c r="B778" s="184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  <c r="AA778" s="184"/>
    </row>
    <row r="779">
      <c r="A779" s="184"/>
      <c r="B779" s="184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  <c r="AA779" s="184"/>
    </row>
    <row r="780">
      <c r="A780" s="184"/>
      <c r="B780" s="184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  <c r="AA780" s="184"/>
    </row>
    <row r="781">
      <c r="A781" s="184"/>
      <c r="B781" s="184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  <c r="AA781" s="184"/>
    </row>
    <row r="782">
      <c r="A782" s="184"/>
      <c r="B782" s="184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  <c r="AA782" s="184"/>
    </row>
    <row r="783">
      <c r="A783" s="184"/>
      <c r="B783" s="184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  <c r="AA783" s="184"/>
    </row>
    <row r="784">
      <c r="A784" s="184"/>
      <c r="B784" s="184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  <c r="AA784" s="184"/>
    </row>
    <row r="785">
      <c r="A785" s="184"/>
      <c r="B785" s="184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  <c r="AA785" s="184"/>
    </row>
    <row r="786">
      <c r="A786" s="184"/>
      <c r="B786" s="184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  <c r="AA786" s="184"/>
    </row>
    <row r="787">
      <c r="A787" s="184"/>
      <c r="B787" s="184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  <c r="AA787" s="184"/>
    </row>
    <row r="788">
      <c r="A788" s="184"/>
      <c r="B788" s="184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  <c r="AA788" s="184"/>
    </row>
    <row r="789">
      <c r="A789" s="184"/>
      <c r="B789" s="184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  <c r="AA789" s="184"/>
    </row>
    <row r="790">
      <c r="A790" s="184"/>
      <c r="B790" s="184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  <c r="AA790" s="184"/>
    </row>
    <row r="791">
      <c r="A791" s="184"/>
      <c r="B791" s="184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  <c r="AA791" s="184"/>
    </row>
    <row r="792">
      <c r="A792" s="184"/>
      <c r="B792" s="184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  <c r="AA792" s="184"/>
    </row>
    <row r="793">
      <c r="A793" s="184"/>
      <c r="B793" s="184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  <c r="AA793" s="184"/>
    </row>
    <row r="794">
      <c r="A794" s="184"/>
      <c r="B794" s="184"/>
      <c r="C794" s="184"/>
      <c r="D794" s="184"/>
      <c r="E794" s="184"/>
      <c r="F794" s="184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  <c r="Y794" s="184"/>
      <c r="Z794" s="184"/>
      <c r="AA794" s="184"/>
    </row>
    <row r="795">
      <c r="A795" s="184"/>
      <c r="B795" s="184"/>
      <c r="C795" s="184"/>
      <c r="D795" s="184"/>
      <c r="E795" s="184"/>
      <c r="F795" s="184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  <c r="W795" s="184"/>
      <c r="X795" s="184"/>
      <c r="Y795" s="184"/>
      <c r="Z795" s="184"/>
      <c r="AA795" s="184"/>
    </row>
    <row r="796">
      <c r="A796" s="184"/>
      <c r="B796" s="184"/>
      <c r="C796" s="184"/>
      <c r="D796" s="184"/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  <c r="Y796" s="184"/>
      <c r="Z796" s="184"/>
      <c r="AA796" s="184"/>
    </row>
    <row r="797">
      <c r="A797" s="184"/>
      <c r="B797" s="184"/>
      <c r="C797" s="184"/>
      <c r="D797" s="184"/>
      <c r="E797" s="184"/>
      <c r="F797" s="184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  <c r="W797" s="184"/>
      <c r="X797" s="184"/>
      <c r="Y797" s="184"/>
      <c r="Z797" s="184"/>
      <c r="AA797" s="184"/>
    </row>
    <row r="798">
      <c r="A798" s="184"/>
      <c r="B798" s="184"/>
      <c r="C798" s="184"/>
      <c r="D798" s="184"/>
      <c r="E798" s="184"/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  <c r="Y798" s="184"/>
      <c r="Z798" s="184"/>
      <c r="AA798" s="184"/>
    </row>
    <row r="799">
      <c r="A799" s="184"/>
      <c r="B799" s="184"/>
      <c r="C799" s="184"/>
      <c r="D799" s="184"/>
      <c r="E799" s="184"/>
      <c r="F799" s="184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  <c r="W799" s="184"/>
      <c r="X799" s="184"/>
      <c r="Y799" s="184"/>
      <c r="Z799" s="184"/>
      <c r="AA799" s="184"/>
    </row>
    <row r="800">
      <c r="A800" s="184"/>
      <c r="B800" s="184"/>
      <c r="C800" s="184"/>
      <c r="D800" s="184"/>
      <c r="E800" s="184"/>
      <c r="F800" s="184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  <c r="W800" s="184"/>
      <c r="X800" s="184"/>
      <c r="Y800" s="184"/>
      <c r="Z800" s="184"/>
      <c r="AA800" s="184"/>
    </row>
    <row r="801">
      <c r="A801" s="184"/>
      <c r="B801" s="184"/>
      <c r="C801" s="184"/>
      <c r="D801" s="184"/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  <c r="W801" s="184"/>
      <c r="X801" s="184"/>
      <c r="Y801" s="184"/>
      <c r="Z801" s="184"/>
      <c r="AA801" s="184"/>
    </row>
    <row r="802">
      <c r="A802" s="184"/>
      <c r="B802" s="184"/>
      <c r="C802" s="184"/>
      <c r="D802" s="184"/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  <c r="Y802" s="184"/>
      <c r="Z802" s="184"/>
      <c r="AA802" s="184"/>
    </row>
    <row r="803">
      <c r="A803" s="184"/>
      <c r="B803" s="184"/>
      <c r="C803" s="184"/>
      <c r="D803" s="184"/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  <c r="Y803" s="184"/>
      <c r="Z803" s="184"/>
      <c r="AA803" s="184"/>
    </row>
    <row r="804">
      <c r="A804" s="184"/>
      <c r="B804" s="184"/>
      <c r="C804" s="184"/>
      <c r="D804" s="184"/>
      <c r="E804" s="184"/>
      <c r="F804" s="184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  <c r="W804" s="184"/>
      <c r="X804" s="184"/>
      <c r="Y804" s="184"/>
      <c r="Z804" s="184"/>
      <c r="AA804" s="184"/>
    </row>
    <row r="805">
      <c r="A805" s="184"/>
      <c r="B805" s="184"/>
      <c r="C805" s="184"/>
      <c r="D805" s="184"/>
      <c r="E805" s="184"/>
      <c r="F805" s="184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  <c r="W805" s="184"/>
      <c r="X805" s="184"/>
      <c r="Y805" s="184"/>
      <c r="Z805" s="184"/>
      <c r="AA805" s="184"/>
    </row>
    <row r="806">
      <c r="A806" s="184"/>
      <c r="B806" s="184"/>
      <c r="C806" s="184"/>
      <c r="D806" s="184"/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  <c r="Y806" s="184"/>
      <c r="Z806" s="184"/>
      <c r="AA806" s="184"/>
    </row>
    <row r="807">
      <c r="A807" s="184"/>
      <c r="B807" s="184"/>
      <c r="C807" s="184"/>
      <c r="D807" s="184"/>
      <c r="E807" s="184"/>
      <c r="F807" s="184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  <c r="W807" s="184"/>
      <c r="X807" s="184"/>
      <c r="Y807" s="184"/>
      <c r="Z807" s="184"/>
      <c r="AA807" s="184"/>
    </row>
    <row r="808">
      <c r="A808" s="184"/>
      <c r="B808" s="184"/>
      <c r="C808" s="184"/>
      <c r="D808" s="184"/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  <c r="Y808" s="184"/>
      <c r="Z808" s="184"/>
      <c r="AA808" s="184"/>
    </row>
    <row r="809">
      <c r="A809" s="184"/>
      <c r="B809" s="184"/>
      <c r="C809" s="184"/>
      <c r="D809" s="184"/>
      <c r="E809" s="184"/>
      <c r="F809" s="184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  <c r="W809" s="184"/>
      <c r="X809" s="184"/>
      <c r="Y809" s="184"/>
      <c r="Z809" s="184"/>
      <c r="AA809" s="184"/>
    </row>
    <row r="810">
      <c r="A810" s="184"/>
      <c r="B810" s="184"/>
      <c r="C810" s="184"/>
      <c r="D810" s="184"/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  <c r="Y810" s="184"/>
      <c r="Z810" s="184"/>
      <c r="AA810" s="184"/>
    </row>
    <row r="811">
      <c r="A811" s="184"/>
      <c r="B811" s="184"/>
      <c r="C811" s="184"/>
      <c r="D811" s="184"/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  <c r="Y811" s="184"/>
      <c r="Z811" s="184"/>
      <c r="AA811" s="184"/>
    </row>
    <row r="812">
      <c r="A812" s="184"/>
      <c r="B812" s="184"/>
      <c r="C812" s="184"/>
      <c r="D812" s="184"/>
      <c r="E812" s="184"/>
      <c r="F812" s="184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  <c r="Y812" s="184"/>
      <c r="Z812" s="184"/>
      <c r="AA812" s="184"/>
    </row>
    <row r="813">
      <c r="A813" s="184"/>
      <c r="B813" s="184"/>
      <c r="C813" s="184"/>
      <c r="D813" s="184"/>
      <c r="E813" s="184"/>
      <c r="F813" s="184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  <c r="W813" s="184"/>
      <c r="X813" s="184"/>
      <c r="Y813" s="184"/>
      <c r="Z813" s="184"/>
      <c r="AA813" s="184"/>
    </row>
    <row r="814">
      <c r="A814" s="184"/>
      <c r="B814" s="184"/>
      <c r="C814" s="184"/>
      <c r="D814" s="184"/>
      <c r="E814" s="184"/>
      <c r="F814" s="184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  <c r="W814" s="184"/>
      <c r="X814" s="184"/>
      <c r="Y814" s="184"/>
      <c r="Z814" s="184"/>
      <c r="AA814" s="184"/>
    </row>
    <row r="815">
      <c r="A815" s="184"/>
      <c r="B815" s="184"/>
      <c r="C815" s="184"/>
      <c r="D815" s="184"/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  <c r="Y815" s="184"/>
      <c r="Z815" s="184"/>
      <c r="AA815" s="184"/>
    </row>
    <row r="816">
      <c r="A816" s="184"/>
      <c r="B816" s="184"/>
      <c r="C816" s="184"/>
      <c r="D816" s="184"/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  <c r="Y816" s="184"/>
      <c r="Z816" s="184"/>
      <c r="AA816" s="184"/>
    </row>
    <row r="817">
      <c r="A817" s="184"/>
      <c r="B817" s="184"/>
      <c r="C817" s="184"/>
      <c r="D817" s="184"/>
      <c r="E817" s="184"/>
      <c r="F817" s="184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  <c r="W817" s="184"/>
      <c r="X817" s="184"/>
      <c r="Y817" s="184"/>
      <c r="Z817" s="184"/>
      <c r="AA817" s="184"/>
    </row>
    <row r="818">
      <c r="A818" s="184"/>
      <c r="B818" s="184"/>
      <c r="C818" s="184"/>
      <c r="D818" s="184"/>
      <c r="E818" s="184"/>
      <c r="F818" s="184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  <c r="Y818" s="184"/>
      <c r="Z818" s="184"/>
      <c r="AA818" s="184"/>
    </row>
    <row r="819">
      <c r="A819" s="184"/>
      <c r="B819" s="184"/>
      <c r="C819" s="184"/>
      <c r="D819" s="184"/>
      <c r="E819" s="184"/>
      <c r="F819" s="184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4"/>
      <c r="V819" s="184"/>
      <c r="W819" s="184"/>
      <c r="X819" s="184"/>
      <c r="Y819" s="184"/>
      <c r="Z819" s="184"/>
      <c r="AA819" s="184"/>
    </row>
    <row r="820">
      <c r="A820" s="184"/>
      <c r="B820" s="184"/>
      <c r="C820" s="184"/>
      <c r="D820" s="184"/>
      <c r="E820" s="184"/>
      <c r="F820" s="184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  <c r="Y820" s="184"/>
      <c r="Z820" s="184"/>
      <c r="AA820" s="184"/>
    </row>
    <row r="821">
      <c r="A821" s="184"/>
      <c r="B821" s="184"/>
      <c r="C821" s="184"/>
      <c r="D821" s="184"/>
      <c r="E821" s="184"/>
      <c r="F821" s="184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  <c r="Y821" s="184"/>
      <c r="Z821" s="184"/>
      <c r="AA821" s="184"/>
    </row>
    <row r="822">
      <c r="A822" s="184"/>
      <c r="B822" s="184"/>
      <c r="C822" s="184"/>
      <c r="D822" s="184"/>
      <c r="E822" s="184"/>
      <c r="F822" s="184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  <c r="Y822" s="184"/>
      <c r="Z822" s="184"/>
      <c r="AA822" s="184"/>
    </row>
    <row r="823">
      <c r="A823" s="184"/>
      <c r="B823" s="184"/>
      <c r="C823" s="184"/>
      <c r="D823" s="184"/>
      <c r="E823" s="184"/>
      <c r="F823" s="184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  <c r="Y823" s="184"/>
      <c r="Z823" s="184"/>
      <c r="AA823" s="184"/>
    </row>
    <row r="824">
      <c r="A824" s="184"/>
      <c r="B824" s="184"/>
      <c r="C824" s="184"/>
      <c r="D824" s="184"/>
      <c r="E824" s="184"/>
      <c r="F824" s="184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  <c r="Y824" s="184"/>
      <c r="Z824" s="184"/>
      <c r="AA824" s="184"/>
    </row>
    <row r="825">
      <c r="A825" s="184"/>
      <c r="B825" s="184"/>
      <c r="C825" s="184"/>
      <c r="D825" s="184"/>
      <c r="E825" s="184"/>
      <c r="F825" s="184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  <c r="Y825" s="184"/>
      <c r="Z825" s="184"/>
      <c r="AA825" s="184"/>
    </row>
    <row r="826">
      <c r="A826" s="184"/>
      <c r="B826" s="184"/>
      <c r="C826" s="184"/>
      <c r="D826" s="184"/>
      <c r="E826" s="184"/>
      <c r="F826" s="184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  <c r="Y826" s="184"/>
      <c r="Z826" s="184"/>
      <c r="AA826" s="184"/>
    </row>
    <row r="827">
      <c r="A827" s="184"/>
      <c r="B827" s="184"/>
      <c r="C827" s="184"/>
      <c r="D827" s="184"/>
      <c r="E827" s="184"/>
      <c r="F827" s="184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  <c r="Y827" s="184"/>
      <c r="Z827" s="184"/>
      <c r="AA827" s="184"/>
    </row>
    <row r="828">
      <c r="A828" s="184"/>
      <c r="B828" s="184"/>
      <c r="C828" s="184"/>
      <c r="D828" s="184"/>
      <c r="E828" s="184"/>
      <c r="F828" s="184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  <c r="Y828" s="184"/>
      <c r="Z828" s="184"/>
      <c r="AA828" s="184"/>
    </row>
    <row r="829">
      <c r="A829" s="184"/>
      <c r="B829" s="184"/>
      <c r="C829" s="184"/>
      <c r="D829" s="184"/>
      <c r="E829" s="184"/>
      <c r="F829" s="184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  <c r="Y829" s="184"/>
      <c r="Z829" s="184"/>
      <c r="AA829" s="184"/>
    </row>
    <row r="830">
      <c r="A830" s="184"/>
      <c r="B830" s="184"/>
      <c r="C830" s="184"/>
      <c r="D830" s="184"/>
      <c r="E830" s="184"/>
      <c r="F830" s="184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  <c r="Y830" s="184"/>
      <c r="Z830" s="184"/>
      <c r="AA830" s="184"/>
    </row>
    <row r="831">
      <c r="A831" s="184"/>
      <c r="B831" s="184"/>
      <c r="C831" s="184"/>
      <c r="D831" s="184"/>
      <c r="E831" s="184"/>
      <c r="F831" s="184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  <c r="Y831" s="184"/>
      <c r="Z831" s="184"/>
      <c r="AA831" s="184"/>
    </row>
    <row r="832">
      <c r="A832" s="184"/>
      <c r="B832" s="184"/>
      <c r="C832" s="184"/>
      <c r="D832" s="184"/>
      <c r="E832" s="184"/>
      <c r="F832" s="184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  <c r="Y832" s="184"/>
      <c r="Z832" s="184"/>
      <c r="AA832" s="184"/>
    </row>
    <row r="833">
      <c r="A833" s="184"/>
      <c r="B833" s="184"/>
      <c r="C833" s="184"/>
      <c r="D833" s="184"/>
      <c r="E833" s="184"/>
      <c r="F833" s="184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  <c r="Y833" s="184"/>
      <c r="Z833" s="184"/>
      <c r="AA833" s="184"/>
    </row>
    <row r="834">
      <c r="A834" s="184"/>
      <c r="B834" s="184"/>
      <c r="C834" s="184"/>
      <c r="D834" s="184"/>
      <c r="E834" s="184"/>
      <c r="F834" s="184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84"/>
      <c r="V834" s="184"/>
      <c r="W834" s="184"/>
      <c r="X834" s="184"/>
      <c r="Y834" s="184"/>
      <c r="Z834" s="184"/>
      <c r="AA834" s="184"/>
    </row>
    <row r="835">
      <c r="A835" s="184"/>
      <c r="B835" s="184"/>
      <c r="C835" s="184"/>
      <c r="D835" s="184"/>
      <c r="E835" s="184"/>
      <c r="F835" s="184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  <c r="Y835" s="184"/>
      <c r="Z835" s="184"/>
      <c r="AA835" s="184"/>
    </row>
    <row r="836">
      <c r="A836" s="184"/>
      <c r="B836" s="184"/>
      <c r="C836" s="184"/>
      <c r="D836" s="184"/>
      <c r="E836" s="184"/>
      <c r="F836" s="184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  <c r="Y836" s="184"/>
      <c r="Z836" s="184"/>
      <c r="AA836" s="184"/>
    </row>
    <row r="837">
      <c r="A837" s="184"/>
      <c r="B837" s="184"/>
      <c r="C837" s="184"/>
      <c r="D837" s="184"/>
      <c r="E837" s="184"/>
      <c r="F837" s="184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  <c r="Y837" s="184"/>
      <c r="Z837" s="184"/>
      <c r="AA837" s="184"/>
    </row>
    <row r="838">
      <c r="A838" s="184"/>
      <c r="B838" s="184"/>
      <c r="C838" s="184"/>
      <c r="D838" s="184"/>
      <c r="E838" s="184"/>
      <c r="F838" s="184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84"/>
      <c r="V838" s="184"/>
      <c r="W838" s="184"/>
      <c r="X838" s="184"/>
      <c r="Y838" s="184"/>
      <c r="Z838" s="184"/>
      <c r="AA838" s="184"/>
    </row>
    <row r="839">
      <c r="A839" s="184"/>
      <c r="B839" s="184"/>
      <c r="C839" s="184"/>
      <c r="D839" s="184"/>
      <c r="E839" s="184"/>
      <c r="F839" s="184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84"/>
      <c r="V839" s="184"/>
      <c r="W839" s="184"/>
      <c r="X839" s="184"/>
      <c r="Y839" s="184"/>
      <c r="Z839" s="184"/>
      <c r="AA839" s="184"/>
    </row>
    <row r="840">
      <c r="A840" s="184"/>
      <c r="B840" s="184"/>
      <c r="C840" s="184"/>
      <c r="D840" s="184"/>
      <c r="E840" s="184"/>
      <c r="F840" s="184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  <c r="Y840" s="184"/>
      <c r="Z840" s="184"/>
      <c r="AA840" s="184"/>
    </row>
    <row r="841">
      <c r="A841" s="184"/>
      <c r="B841" s="184"/>
      <c r="C841" s="184"/>
      <c r="D841" s="184"/>
      <c r="E841" s="184"/>
      <c r="F841" s="184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84"/>
      <c r="V841" s="184"/>
      <c r="W841" s="184"/>
      <c r="X841" s="184"/>
      <c r="Y841" s="184"/>
      <c r="Z841" s="184"/>
      <c r="AA841" s="184"/>
    </row>
    <row r="842">
      <c r="A842" s="184"/>
      <c r="B842" s="184"/>
      <c r="C842" s="184"/>
      <c r="D842" s="184"/>
      <c r="E842" s="184"/>
      <c r="F842" s="184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  <c r="Y842" s="184"/>
      <c r="Z842" s="184"/>
      <c r="AA842" s="184"/>
    </row>
    <row r="843">
      <c r="A843" s="184"/>
      <c r="B843" s="184"/>
      <c r="C843" s="184"/>
      <c r="D843" s="184"/>
      <c r="E843" s="184"/>
      <c r="F843" s="184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  <c r="Y843" s="184"/>
      <c r="Z843" s="184"/>
      <c r="AA843" s="184"/>
    </row>
    <row r="844">
      <c r="A844" s="184"/>
      <c r="B844" s="184"/>
      <c r="C844" s="184"/>
      <c r="D844" s="184"/>
      <c r="E844" s="184"/>
      <c r="F844" s="184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84"/>
      <c r="V844" s="184"/>
      <c r="W844" s="184"/>
      <c r="X844" s="184"/>
      <c r="Y844" s="184"/>
      <c r="Z844" s="184"/>
      <c r="AA844" s="184"/>
    </row>
    <row r="845">
      <c r="A845" s="184"/>
      <c r="B845" s="184"/>
      <c r="C845" s="184"/>
      <c r="D845" s="184"/>
      <c r="E845" s="184"/>
      <c r="F845" s="184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  <c r="Y845" s="184"/>
      <c r="Z845" s="184"/>
      <c r="AA845" s="184"/>
    </row>
    <row r="846">
      <c r="A846" s="184"/>
      <c r="B846" s="184"/>
      <c r="C846" s="184"/>
      <c r="D846" s="184"/>
      <c r="E846" s="184"/>
      <c r="F846" s="184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84"/>
      <c r="V846" s="184"/>
      <c r="W846" s="184"/>
      <c r="X846" s="184"/>
      <c r="Y846" s="184"/>
      <c r="Z846" s="184"/>
      <c r="AA846" s="184"/>
    </row>
    <row r="847">
      <c r="A847" s="184"/>
      <c r="B847" s="184"/>
      <c r="C847" s="184"/>
      <c r="D847" s="184"/>
      <c r="E847" s="184"/>
      <c r="F847" s="184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84"/>
      <c r="V847" s="184"/>
      <c r="W847" s="184"/>
      <c r="X847" s="184"/>
      <c r="Y847" s="184"/>
      <c r="Z847" s="184"/>
      <c r="AA847" s="184"/>
    </row>
    <row r="848">
      <c r="A848" s="184"/>
      <c r="B848" s="184"/>
      <c r="C848" s="184"/>
      <c r="D848" s="184"/>
      <c r="E848" s="184"/>
      <c r="F848" s="184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84"/>
      <c r="V848" s="184"/>
      <c r="W848" s="184"/>
      <c r="X848" s="184"/>
      <c r="Y848" s="184"/>
      <c r="Z848" s="184"/>
      <c r="AA848" s="184"/>
    </row>
    <row r="849">
      <c r="A849" s="184"/>
      <c r="B849" s="184"/>
      <c r="C849" s="184"/>
      <c r="D849" s="184"/>
      <c r="E849" s="184"/>
      <c r="F849" s="184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  <c r="Y849" s="184"/>
      <c r="Z849" s="184"/>
      <c r="AA849" s="184"/>
    </row>
    <row r="850">
      <c r="A850" s="184"/>
      <c r="B850" s="184"/>
      <c r="C850" s="184"/>
      <c r="D850" s="184"/>
      <c r="E850" s="184"/>
      <c r="F850" s="184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  <c r="Y850" s="184"/>
      <c r="Z850" s="184"/>
      <c r="AA850" s="184"/>
    </row>
    <row r="851">
      <c r="A851" s="184"/>
      <c r="B851" s="184"/>
      <c r="C851" s="184"/>
      <c r="D851" s="184"/>
      <c r="E851" s="184"/>
      <c r="F851" s="184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4"/>
      <c r="V851" s="184"/>
      <c r="W851" s="184"/>
      <c r="X851" s="184"/>
      <c r="Y851" s="184"/>
      <c r="Z851" s="184"/>
      <c r="AA851" s="184"/>
    </row>
    <row r="852">
      <c r="A852" s="184"/>
      <c r="B852" s="184"/>
      <c r="C852" s="184"/>
      <c r="D852" s="184"/>
      <c r="E852" s="184"/>
      <c r="F852" s="184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84"/>
      <c r="V852" s="184"/>
      <c r="W852" s="184"/>
      <c r="X852" s="184"/>
      <c r="Y852" s="184"/>
      <c r="Z852" s="184"/>
      <c r="AA852" s="184"/>
    </row>
    <row r="853">
      <c r="A853" s="184"/>
      <c r="B853" s="184"/>
      <c r="C853" s="184"/>
      <c r="D853" s="184"/>
      <c r="E853" s="184"/>
      <c r="F853" s="184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84"/>
      <c r="V853" s="184"/>
      <c r="W853" s="184"/>
      <c r="X853" s="184"/>
      <c r="Y853" s="184"/>
      <c r="Z853" s="184"/>
      <c r="AA853" s="184"/>
    </row>
    <row r="854">
      <c r="A854" s="184"/>
      <c r="B854" s="184"/>
      <c r="C854" s="184"/>
      <c r="D854" s="184"/>
      <c r="E854" s="184"/>
      <c r="F854" s="184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84"/>
      <c r="V854" s="184"/>
      <c r="W854" s="184"/>
      <c r="X854" s="184"/>
      <c r="Y854" s="184"/>
      <c r="Z854" s="184"/>
      <c r="AA854" s="184"/>
    </row>
    <row r="855">
      <c r="A855" s="184"/>
      <c r="B855" s="184"/>
      <c r="C855" s="184"/>
      <c r="D855" s="184"/>
      <c r="E855" s="184"/>
      <c r="F855" s="184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84"/>
      <c r="V855" s="184"/>
      <c r="W855" s="184"/>
      <c r="X855" s="184"/>
      <c r="Y855" s="184"/>
      <c r="Z855" s="184"/>
      <c r="AA855" s="184"/>
    </row>
    <row r="856">
      <c r="A856" s="184"/>
      <c r="B856" s="184"/>
      <c r="C856" s="184"/>
      <c r="D856" s="184"/>
      <c r="E856" s="184"/>
      <c r="F856" s="184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84"/>
      <c r="V856" s="184"/>
      <c r="W856" s="184"/>
      <c r="X856" s="184"/>
      <c r="Y856" s="184"/>
      <c r="Z856" s="184"/>
      <c r="AA856" s="184"/>
    </row>
    <row r="857">
      <c r="A857" s="184"/>
      <c r="B857" s="184"/>
      <c r="C857" s="184"/>
      <c r="D857" s="184"/>
      <c r="E857" s="184"/>
      <c r="F857" s="184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  <c r="Y857" s="184"/>
      <c r="Z857" s="184"/>
      <c r="AA857" s="184"/>
    </row>
    <row r="858">
      <c r="A858" s="184"/>
      <c r="B858" s="184"/>
      <c r="C858" s="184"/>
      <c r="D858" s="184"/>
      <c r="E858" s="184"/>
      <c r="F858" s="184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  <c r="Y858" s="184"/>
      <c r="Z858" s="184"/>
      <c r="AA858" s="184"/>
    </row>
    <row r="859">
      <c r="A859" s="184"/>
      <c r="B859" s="184"/>
      <c r="C859" s="184"/>
      <c r="D859" s="184"/>
      <c r="E859" s="184"/>
      <c r="F859" s="184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4"/>
      <c r="V859" s="184"/>
      <c r="W859" s="184"/>
      <c r="X859" s="184"/>
      <c r="Y859" s="184"/>
      <c r="Z859" s="184"/>
      <c r="AA859" s="184"/>
    </row>
    <row r="860">
      <c r="A860" s="184"/>
      <c r="B860" s="184"/>
      <c r="C860" s="184"/>
      <c r="D860" s="184"/>
      <c r="E860" s="184"/>
      <c r="F860" s="184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  <c r="Y860" s="184"/>
      <c r="Z860" s="184"/>
      <c r="AA860" s="184"/>
    </row>
    <row r="861">
      <c r="A861" s="184"/>
      <c r="B861" s="184"/>
      <c r="C861" s="184"/>
      <c r="D861" s="184"/>
      <c r="E861" s="184"/>
      <c r="F861" s="184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84"/>
      <c r="V861" s="184"/>
      <c r="W861" s="184"/>
      <c r="X861" s="184"/>
      <c r="Y861" s="184"/>
      <c r="Z861" s="184"/>
      <c r="AA861" s="184"/>
    </row>
    <row r="862">
      <c r="A862" s="184"/>
      <c r="B862" s="184"/>
      <c r="C862" s="184"/>
      <c r="D862" s="184"/>
      <c r="E862" s="184"/>
      <c r="F862" s="184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84"/>
      <c r="V862" s="184"/>
      <c r="W862" s="184"/>
      <c r="X862" s="184"/>
      <c r="Y862" s="184"/>
      <c r="Z862" s="184"/>
      <c r="AA862" s="184"/>
    </row>
    <row r="863">
      <c r="A863" s="184"/>
      <c r="B863" s="184"/>
      <c r="C863" s="184"/>
      <c r="D863" s="184"/>
      <c r="E863" s="184"/>
      <c r="F863" s="184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  <c r="Y863" s="184"/>
      <c r="Z863" s="184"/>
      <c r="AA863" s="184"/>
    </row>
    <row r="864">
      <c r="A864" s="184"/>
      <c r="B864" s="184"/>
      <c r="C864" s="184"/>
      <c r="D864" s="184"/>
      <c r="E864" s="184"/>
      <c r="F864" s="184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  <c r="Y864" s="184"/>
      <c r="Z864" s="184"/>
      <c r="AA864" s="184"/>
    </row>
    <row r="865">
      <c r="A865" s="184"/>
      <c r="B865" s="184"/>
      <c r="C865" s="184"/>
      <c r="D865" s="184"/>
      <c r="E865" s="184"/>
      <c r="F865" s="184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84"/>
      <c r="V865" s="184"/>
      <c r="W865" s="184"/>
      <c r="X865" s="184"/>
      <c r="Y865" s="184"/>
      <c r="Z865" s="184"/>
      <c r="AA865" s="184"/>
    </row>
    <row r="866">
      <c r="A866" s="184"/>
      <c r="B866" s="184"/>
      <c r="C866" s="184"/>
      <c r="D866" s="184"/>
      <c r="E866" s="184"/>
      <c r="F866" s="184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  <c r="Y866" s="184"/>
      <c r="Z866" s="184"/>
      <c r="AA866" s="184"/>
    </row>
    <row r="867">
      <c r="A867" s="184"/>
      <c r="B867" s="184"/>
      <c r="C867" s="184"/>
      <c r="D867" s="184"/>
      <c r="E867" s="184"/>
      <c r="F867" s="184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84"/>
      <c r="V867" s="184"/>
      <c r="W867" s="184"/>
      <c r="X867" s="184"/>
      <c r="Y867" s="184"/>
      <c r="Z867" s="184"/>
      <c r="AA867" s="184"/>
    </row>
    <row r="868">
      <c r="A868" s="184"/>
      <c r="B868" s="184"/>
      <c r="C868" s="184"/>
      <c r="D868" s="184"/>
      <c r="E868" s="184"/>
      <c r="F868" s="184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84"/>
      <c r="V868" s="184"/>
      <c r="W868" s="184"/>
      <c r="X868" s="184"/>
      <c r="Y868" s="184"/>
      <c r="Z868" s="184"/>
      <c r="AA868" s="184"/>
    </row>
    <row r="869">
      <c r="A869" s="184"/>
      <c r="B869" s="184"/>
      <c r="C869" s="184"/>
      <c r="D869" s="184"/>
      <c r="E869" s="184"/>
      <c r="F869" s="184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  <c r="Y869" s="184"/>
      <c r="Z869" s="184"/>
      <c r="AA869" s="184"/>
    </row>
    <row r="870">
      <c r="A870" s="184"/>
      <c r="B870" s="184"/>
      <c r="C870" s="184"/>
      <c r="D870" s="184"/>
      <c r="E870" s="184"/>
      <c r="F870" s="184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  <c r="Y870" s="184"/>
      <c r="Z870" s="184"/>
      <c r="AA870" s="184"/>
    </row>
    <row r="871">
      <c r="A871" s="184"/>
      <c r="B871" s="184"/>
      <c r="C871" s="184"/>
      <c r="D871" s="184"/>
      <c r="E871" s="184"/>
      <c r="F871" s="184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  <c r="Y871" s="184"/>
      <c r="Z871" s="184"/>
      <c r="AA871" s="184"/>
    </row>
    <row r="872">
      <c r="A872" s="184"/>
      <c r="B872" s="184"/>
      <c r="C872" s="184"/>
      <c r="D872" s="184"/>
      <c r="E872" s="184"/>
      <c r="F872" s="184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  <c r="Y872" s="184"/>
      <c r="Z872" s="184"/>
      <c r="AA872" s="184"/>
    </row>
    <row r="873">
      <c r="A873" s="184"/>
      <c r="B873" s="184"/>
      <c r="C873" s="184"/>
      <c r="D873" s="184"/>
      <c r="E873" s="184"/>
      <c r="F873" s="184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  <c r="Y873" s="184"/>
      <c r="Z873" s="184"/>
      <c r="AA873" s="184"/>
    </row>
    <row r="874">
      <c r="A874" s="184"/>
      <c r="B874" s="184"/>
      <c r="C874" s="184"/>
      <c r="D874" s="184"/>
      <c r="E874" s="184"/>
      <c r="F874" s="184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  <c r="Y874" s="184"/>
      <c r="Z874" s="184"/>
      <c r="AA874" s="184"/>
    </row>
    <row r="875">
      <c r="A875" s="184"/>
      <c r="B875" s="184"/>
      <c r="C875" s="184"/>
      <c r="D875" s="184"/>
      <c r="E875" s="184"/>
      <c r="F875" s="184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  <c r="Y875" s="184"/>
      <c r="Z875" s="184"/>
      <c r="AA875" s="184"/>
    </row>
    <row r="876">
      <c r="A876" s="184"/>
      <c r="B876" s="184"/>
      <c r="C876" s="184"/>
      <c r="D876" s="184"/>
      <c r="E876" s="184"/>
      <c r="F876" s="184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  <c r="Y876" s="184"/>
      <c r="Z876" s="184"/>
      <c r="AA876" s="184"/>
    </row>
    <row r="877">
      <c r="A877" s="184"/>
      <c r="B877" s="184"/>
      <c r="C877" s="184"/>
      <c r="D877" s="184"/>
      <c r="E877" s="184"/>
      <c r="F877" s="184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  <c r="Y877" s="184"/>
      <c r="Z877" s="184"/>
      <c r="AA877" s="184"/>
    </row>
    <row r="878">
      <c r="A878" s="184"/>
      <c r="B878" s="184"/>
      <c r="C878" s="184"/>
      <c r="D878" s="184"/>
      <c r="E878" s="184"/>
      <c r="F878" s="184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  <c r="Y878" s="184"/>
      <c r="Z878" s="184"/>
      <c r="AA878" s="184"/>
    </row>
    <row r="879">
      <c r="A879" s="184"/>
      <c r="B879" s="184"/>
      <c r="C879" s="184"/>
      <c r="D879" s="184"/>
      <c r="E879" s="184"/>
      <c r="F879" s="184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  <c r="Y879" s="184"/>
      <c r="Z879" s="184"/>
      <c r="AA879" s="184"/>
    </row>
    <row r="880">
      <c r="A880" s="184"/>
      <c r="B880" s="184"/>
      <c r="C880" s="184"/>
      <c r="D880" s="184"/>
      <c r="E880" s="184"/>
      <c r="F880" s="184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  <c r="Y880" s="184"/>
      <c r="Z880" s="184"/>
      <c r="AA880" s="184"/>
    </row>
    <row r="881">
      <c r="A881" s="184"/>
      <c r="B881" s="184"/>
      <c r="C881" s="184"/>
      <c r="D881" s="184"/>
      <c r="E881" s="184"/>
      <c r="F881" s="184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  <c r="Y881" s="184"/>
      <c r="Z881" s="184"/>
      <c r="AA881" s="184"/>
    </row>
    <row r="882">
      <c r="A882" s="184"/>
      <c r="B882" s="184"/>
      <c r="C882" s="184"/>
      <c r="D882" s="184"/>
      <c r="E882" s="184"/>
      <c r="F882" s="184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84"/>
      <c r="V882" s="184"/>
      <c r="W882" s="184"/>
      <c r="X882" s="184"/>
      <c r="Y882" s="184"/>
      <c r="Z882" s="184"/>
      <c r="AA882" s="184"/>
    </row>
    <row r="883">
      <c r="A883" s="184"/>
      <c r="B883" s="184"/>
      <c r="C883" s="184"/>
      <c r="D883" s="184"/>
      <c r="E883" s="184"/>
      <c r="F883" s="184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84"/>
      <c r="V883" s="184"/>
      <c r="W883" s="184"/>
      <c r="X883" s="184"/>
      <c r="Y883" s="184"/>
      <c r="Z883" s="184"/>
      <c r="AA883" s="184"/>
    </row>
    <row r="884">
      <c r="A884" s="184"/>
      <c r="B884" s="184"/>
      <c r="C884" s="184"/>
      <c r="D884" s="184"/>
      <c r="E884" s="184"/>
      <c r="F884" s="184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84"/>
      <c r="V884" s="184"/>
      <c r="W884" s="184"/>
      <c r="X884" s="184"/>
      <c r="Y884" s="184"/>
      <c r="Z884" s="184"/>
      <c r="AA884" s="184"/>
    </row>
    <row r="885">
      <c r="A885" s="184"/>
      <c r="B885" s="184"/>
      <c r="C885" s="184"/>
      <c r="D885" s="184"/>
      <c r="E885" s="184"/>
      <c r="F885" s="184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84"/>
      <c r="V885" s="184"/>
      <c r="W885" s="184"/>
      <c r="X885" s="184"/>
      <c r="Y885" s="184"/>
      <c r="Z885" s="184"/>
      <c r="AA885" s="184"/>
    </row>
    <row r="886">
      <c r="A886" s="184"/>
      <c r="B886" s="184"/>
      <c r="C886" s="184"/>
      <c r="D886" s="184"/>
      <c r="E886" s="184"/>
      <c r="F886" s="184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84"/>
      <c r="V886" s="184"/>
      <c r="W886" s="184"/>
      <c r="X886" s="184"/>
      <c r="Y886" s="184"/>
      <c r="Z886" s="184"/>
      <c r="AA886" s="184"/>
    </row>
    <row r="887">
      <c r="A887" s="184"/>
      <c r="B887" s="184"/>
      <c r="C887" s="184"/>
      <c r="D887" s="184"/>
      <c r="E887" s="184"/>
      <c r="F887" s="184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84"/>
      <c r="V887" s="184"/>
      <c r="W887" s="184"/>
      <c r="X887" s="184"/>
      <c r="Y887" s="184"/>
      <c r="Z887" s="184"/>
      <c r="AA887" s="184"/>
    </row>
    <row r="888">
      <c r="A888" s="184"/>
      <c r="B888" s="184"/>
      <c r="C888" s="184"/>
      <c r="D888" s="184"/>
      <c r="E888" s="184"/>
      <c r="F888" s="184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84"/>
      <c r="V888" s="184"/>
      <c r="W888" s="184"/>
      <c r="X888" s="184"/>
      <c r="Y888" s="184"/>
      <c r="Z888" s="184"/>
      <c r="AA888" s="184"/>
    </row>
    <row r="889">
      <c r="A889" s="184"/>
      <c r="B889" s="184"/>
      <c r="C889" s="184"/>
      <c r="D889" s="184"/>
      <c r="E889" s="184"/>
      <c r="F889" s="184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84"/>
      <c r="V889" s="184"/>
      <c r="W889" s="184"/>
      <c r="X889" s="184"/>
      <c r="Y889" s="184"/>
      <c r="Z889" s="184"/>
      <c r="AA889" s="184"/>
    </row>
    <row r="890">
      <c r="A890" s="184"/>
      <c r="B890" s="184"/>
      <c r="C890" s="184"/>
      <c r="D890" s="184"/>
      <c r="E890" s="184"/>
      <c r="F890" s="184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84"/>
      <c r="V890" s="184"/>
      <c r="W890" s="184"/>
      <c r="X890" s="184"/>
      <c r="Y890" s="184"/>
      <c r="Z890" s="184"/>
      <c r="AA890" s="184"/>
    </row>
    <row r="891">
      <c r="A891" s="184"/>
      <c r="B891" s="184"/>
      <c r="C891" s="184"/>
      <c r="D891" s="184"/>
      <c r="E891" s="184"/>
      <c r="F891" s="184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84"/>
      <c r="V891" s="184"/>
      <c r="W891" s="184"/>
      <c r="X891" s="184"/>
      <c r="Y891" s="184"/>
      <c r="Z891" s="184"/>
      <c r="AA891" s="184"/>
    </row>
    <row r="892">
      <c r="A892" s="184"/>
      <c r="B892" s="184"/>
      <c r="C892" s="184"/>
      <c r="D892" s="184"/>
      <c r="E892" s="184"/>
      <c r="F892" s="184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84"/>
      <c r="V892" s="184"/>
      <c r="W892" s="184"/>
      <c r="X892" s="184"/>
      <c r="Y892" s="184"/>
      <c r="Z892" s="184"/>
      <c r="AA892" s="184"/>
    </row>
    <row r="893">
      <c r="A893" s="184"/>
      <c r="B893" s="184"/>
      <c r="C893" s="184"/>
      <c r="D893" s="184"/>
      <c r="E893" s="184"/>
      <c r="F893" s="184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84"/>
      <c r="V893" s="184"/>
      <c r="W893" s="184"/>
      <c r="X893" s="184"/>
      <c r="Y893" s="184"/>
      <c r="Z893" s="184"/>
      <c r="AA893" s="184"/>
    </row>
    <row r="894">
      <c r="A894" s="184"/>
      <c r="B894" s="184"/>
      <c r="C894" s="184"/>
      <c r="D894" s="184"/>
      <c r="E894" s="184"/>
      <c r="F894" s="184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84"/>
      <c r="V894" s="184"/>
      <c r="W894" s="184"/>
      <c r="X894" s="184"/>
      <c r="Y894" s="184"/>
      <c r="Z894" s="184"/>
      <c r="AA894" s="184"/>
    </row>
    <row r="895">
      <c r="A895" s="184"/>
      <c r="B895" s="184"/>
      <c r="C895" s="184"/>
      <c r="D895" s="184"/>
      <c r="E895" s="184"/>
      <c r="F895" s="184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84"/>
      <c r="V895" s="184"/>
      <c r="W895" s="184"/>
      <c r="X895" s="184"/>
      <c r="Y895" s="184"/>
      <c r="Z895" s="184"/>
      <c r="AA895" s="184"/>
    </row>
    <row r="896">
      <c r="A896" s="184"/>
      <c r="B896" s="184"/>
      <c r="C896" s="184"/>
      <c r="D896" s="184"/>
      <c r="E896" s="184"/>
      <c r="F896" s="184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84"/>
      <c r="V896" s="184"/>
      <c r="W896" s="184"/>
      <c r="X896" s="184"/>
      <c r="Y896" s="184"/>
      <c r="Z896" s="184"/>
      <c r="AA896" s="184"/>
    </row>
    <row r="897">
      <c r="A897" s="184"/>
      <c r="B897" s="184"/>
      <c r="C897" s="184"/>
      <c r="D897" s="184"/>
      <c r="E897" s="184"/>
      <c r="F897" s="184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84"/>
      <c r="V897" s="184"/>
      <c r="W897" s="184"/>
      <c r="X897" s="184"/>
      <c r="Y897" s="184"/>
      <c r="Z897" s="184"/>
      <c r="AA897" s="184"/>
    </row>
    <row r="898">
      <c r="A898" s="184"/>
      <c r="B898" s="184"/>
      <c r="C898" s="184"/>
      <c r="D898" s="184"/>
      <c r="E898" s="184"/>
      <c r="F898" s="184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84"/>
      <c r="V898" s="184"/>
      <c r="W898" s="184"/>
      <c r="X898" s="184"/>
      <c r="Y898" s="184"/>
      <c r="Z898" s="184"/>
      <c r="AA898" s="184"/>
    </row>
    <row r="899">
      <c r="A899" s="184"/>
      <c r="B899" s="184"/>
      <c r="C899" s="184"/>
      <c r="D899" s="184"/>
      <c r="E899" s="184"/>
      <c r="F899" s="184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84"/>
      <c r="V899" s="184"/>
      <c r="W899" s="184"/>
      <c r="X899" s="184"/>
      <c r="Y899" s="184"/>
      <c r="Z899" s="184"/>
      <c r="AA899" s="184"/>
    </row>
    <row r="900">
      <c r="A900" s="184"/>
      <c r="B900" s="184"/>
      <c r="C900" s="184"/>
      <c r="D900" s="184"/>
      <c r="E900" s="184"/>
      <c r="F900" s="184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84"/>
      <c r="V900" s="184"/>
      <c r="W900" s="184"/>
      <c r="X900" s="184"/>
      <c r="Y900" s="184"/>
      <c r="Z900" s="184"/>
      <c r="AA900" s="184"/>
    </row>
    <row r="901">
      <c r="A901" s="184"/>
      <c r="B901" s="184"/>
      <c r="C901" s="184"/>
      <c r="D901" s="184"/>
      <c r="E901" s="184"/>
      <c r="F901" s="184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84"/>
      <c r="V901" s="184"/>
      <c r="W901" s="184"/>
      <c r="X901" s="184"/>
      <c r="Y901" s="184"/>
      <c r="Z901" s="184"/>
      <c r="AA901" s="184"/>
    </row>
    <row r="902">
      <c r="A902" s="184"/>
      <c r="B902" s="184"/>
      <c r="C902" s="184"/>
      <c r="D902" s="184"/>
      <c r="E902" s="184"/>
      <c r="F902" s="184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84"/>
      <c r="V902" s="184"/>
      <c r="W902" s="184"/>
      <c r="X902" s="184"/>
      <c r="Y902" s="184"/>
      <c r="Z902" s="184"/>
      <c r="AA902" s="184"/>
    </row>
    <row r="903">
      <c r="A903" s="184"/>
      <c r="B903" s="184"/>
      <c r="C903" s="184"/>
      <c r="D903" s="184"/>
      <c r="E903" s="184"/>
      <c r="F903" s="184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84"/>
      <c r="V903" s="184"/>
      <c r="W903" s="184"/>
      <c r="X903" s="184"/>
      <c r="Y903" s="184"/>
      <c r="Z903" s="184"/>
      <c r="AA903" s="184"/>
    </row>
    <row r="904">
      <c r="A904" s="184"/>
      <c r="B904" s="184"/>
      <c r="C904" s="184"/>
      <c r="D904" s="184"/>
      <c r="E904" s="184"/>
      <c r="F904" s="184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84"/>
      <c r="V904" s="184"/>
      <c r="W904" s="184"/>
      <c r="X904" s="184"/>
      <c r="Y904" s="184"/>
      <c r="Z904" s="184"/>
      <c r="AA904" s="184"/>
    </row>
    <row r="905">
      <c r="A905" s="184"/>
      <c r="B905" s="184"/>
      <c r="C905" s="184"/>
      <c r="D905" s="184"/>
      <c r="E905" s="184"/>
      <c r="F905" s="184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84"/>
      <c r="V905" s="184"/>
      <c r="W905" s="184"/>
      <c r="X905" s="184"/>
      <c r="Y905" s="184"/>
      <c r="Z905" s="184"/>
      <c r="AA905" s="184"/>
    </row>
    <row r="906">
      <c r="A906" s="184"/>
      <c r="B906" s="184"/>
      <c r="C906" s="184"/>
      <c r="D906" s="184"/>
      <c r="E906" s="184"/>
      <c r="F906" s="184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84"/>
      <c r="V906" s="184"/>
      <c r="W906" s="184"/>
      <c r="X906" s="184"/>
      <c r="Y906" s="184"/>
      <c r="Z906" s="184"/>
      <c r="AA906" s="184"/>
    </row>
    <row r="907">
      <c r="A907" s="184"/>
      <c r="B907" s="184"/>
      <c r="C907" s="184"/>
      <c r="D907" s="184"/>
      <c r="E907" s="184"/>
      <c r="F907" s="184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84"/>
      <c r="V907" s="184"/>
      <c r="W907" s="184"/>
      <c r="X907" s="184"/>
      <c r="Y907" s="184"/>
      <c r="Z907" s="184"/>
      <c r="AA907" s="184"/>
    </row>
    <row r="908">
      <c r="A908" s="184"/>
      <c r="B908" s="184"/>
      <c r="C908" s="184"/>
      <c r="D908" s="184"/>
      <c r="E908" s="184"/>
      <c r="F908" s="184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84"/>
      <c r="V908" s="184"/>
      <c r="W908" s="184"/>
      <c r="X908" s="184"/>
      <c r="Y908" s="184"/>
      <c r="Z908" s="184"/>
      <c r="AA908" s="184"/>
    </row>
    <row r="909">
      <c r="A909" s="184"/>
      <c r="B909" s="184"/>
      <c r="C909" s="184"/>
      <c r="D909" s="184"/>
      <c r="E909" s="184"/>
      <c r="F909" s="184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84"/>
      <c r="V909" s="184"/>
      <c r="W909" s="184"/>
      <c r="X909" s="184"/>
      <c r="Y909" s="184"/>
      <c r="Z909" s="184"/>
      <c r="AA909" s="184"/>
    </row>
    <row r="910">
      <c r="A910" s="184"/>
      <c r="B910" s="184"/>
      <c r="C910" s="184"/>
      <c r="D910" s="184"/>
      <c r="E910" s="184"/>
      <c r="F910" s="184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84"/>
      <c r="V910" s="184"/>
      <c r="W910" s="184"/>
      <c r="X910" s="184"/>
      <c r="Y910" s="184"/>
      <c r="Z910" s="184"/>
      <c r="AA910" s="184"/>
    </row>
    <row r="911">
      <c r="A911" s="184"/>
      <c r="B911" s="184"/>
      <c r="C911" s="184"/>
      <c r="D911" s="184"/>
      <c r="E911" s="184"/>
      <c r="F911" s="184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84"/>
      <c r="V911" s="184"/>
      <c r="W911" s="184"/>
      <c r="X911" s="184"/>
      <c r="Y911" s="184"/>
      <c r="Z911" s="184"/>
      <c r="AA911" s="184"/>
    </row>
    <row r="912">
      <c r="A912" s="184"/>
      <c r="B912" s="184"/>
      <c r="C912" s="184"/>
      <c r="D912" s="184"/>
      <c r="E912" s="184"/>
      <c r="F912" s="184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84"/>
      <c r="V912" s="184"/>
      <c r="W912" s="184"/>
      <c r="X912" s="184"/>
      <c r="Y912" s="184"/>
      <c r="Z912" s="184"/>
      <c r="AA912" s="184"/>
    </row>
    <row r="913">
      <c r="A913" s="184"/>
      <c r="B913" s="184"/>
      <c r="C913" s="184"/>
      <c r="D913" s="184"/>
      <c r="E913" s="184"/>
      <c r="F913" s="184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84"/>
      <c r="V913" s="184"/>
      <c r="W913" s="184"/>
      <c r="X913" s="184"/>
      <c r="Y913" s="184"/>
      <c r="Z913" s="184"/>
      <c r="AA913" s="184"/>
    </row>
    <row r="914">
      <c r="A914" s="184"/>
      <c r="B914" s="184"/>
      <c r="C914" s="184"/>
      <c r="D914" s="184"/>
      <c r="E914" s="184"/>
      <c r="F914" s="184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84"/>
      <c r="V914" s="184"/>
      <c r="W914" s="184"/>
      <c r="X914" s="184"/>
      <c r="Y914" s="184"/>
      <c r="Z914" s="184"/>
      <c r="AA914" s="184"/>
    </row>
    <row r="915">
      <c r="A915" s="184"/>
      <c r="B915" s="184"/>
      <c r="C915" s="184"/>
      <c r="D915" s="184"/>
      <c r="E915" s="184"/>
      <c r="F915" s="184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84"/>
      <c r="V915" s="184"/>
      <c r="W915" s="184"/>
      <c r="X915" s="184"/>
      <c r="Y915" s="184"/>
      <c r="Z915" s="184"/>
      <c r="AA915" s="184"/>
    </row>
    <row r="916">
      <c r="A916" s="184"/>
      <c r="B916" s="184"/>
      <c r="C916" s="184"/>
      <c r="D916" s="184"/>
      <c r="E916" s="184"/>
      <c r="F916" s="184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84"/>
      <c r="V916" s="184"/>
      <c r="W916" s="184"/>
      <c r="X916" s="184"/>
      <c r="Y916" s="184"/>
      <c r="Z916" s="184"/>
      <c r="AA916" s="184"/>
    </row>
    <row r="917">
      <c r="A917" s="184"/>
      <c r="B917" s="184"/>
      <c r="C917" s="184"/>
      <c r="D917" s="184"/>
      <c r="E917" s="184"/>
      <c r="F917" s="184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84"/>
      <c r="V917" s="184"/>
      <c r="W917" s="184"/>
      <c r="X917" s="184"/>
      <c r="Y917" s="184"/>
      <c r="Z917" s="184"/>
      <c r="AA917" s="184"/>
    </row>
    <row r="918">
      <c r="A918" s="184"/>
      <c r="B918" s="184"/>
      <c r="C918" s="184"/>
      <c r="D918" s="184"/>
      <c r="E918" s="184"/>
      <c r="F918" s="184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84"/>
      <c r="V918" s="184"/>
      <c r="W918" s="184"/>
      <c r="X918" s="184"/>
      <c r="Y918" s="184"/>
      <c r="Z918" s="184"/>
      <c r="AA918" s="184"/>
    </row>
    <row r="919">
      <c r="A919" s="184"/>
      <c r="B919" s="184"/>
      <c r="C919" s="184"/>
      <c r="D919" s="184"/>
      <c r="E919" s="184"/>
      <c r="F919" s="184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84"/>
      <c r="V919" s="184"/>
      <c r="W919" s="184"/>
      <c r="X919" s="184"/>
      <c r="Y919" s="184"/>
      <c r="Z919" s="184"/>
      <c r="AA919" s="184"/>
    </row>
    <row r="920">
      <c r="A920" s="184"/>
      <c r="B920" s="184"/>
      <c r="C920" s="184"/>
      <c r="D920" s="184"/>
      <c r="E920" s="184"/>
      <c r="F920" s="184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84"/>
      <c r="V920" s="184"/>
      <c r="W920" s="184"/>
      <c r="X920" s="184"/>
      <c r="Y920" s="184"/>
      <c r="Z920" s="184"/>
      <c r="AA920" s="184"/>
    </row>
    <row r="921">
      <c r="A921" s="184"/>
      <c r="B921" s="184"/>
      <c r="C921" s="184"/>
      <c r="D921" s="184"/>
      <c r="E921" s="184"/>
      <c r="F921" s="184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84"/>
      <c r="V921" s="184"/>
      <c r="W921" s="184"/>
      <c r="X921" s="184"/>
      <c r="Y921" s="184"/>
      <c r="Z921" s="184"/>
      <c r="AA921" s="184"/>
    </row>
    <row r="922">
      <c r="A922" s="184"/>
      <c r="B922" s="184"/>
      <c r="C922" s="184"/>
      <c r="D922" s="184"/>
      <c r="E922" s="184"/>
      <c r="F922" s="184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84"/>
      <c r="V922" s="184"/>
      <c r="W922" s="184"/>
      <c r="X922" s="184"/>
      <c r="Y922" s="184"/>
      <c r="Z922" s="184"/>
      <c r="AA922" s="184"/>
    </row>
    <row r="923">
      <c r="A923" s="184"/>
      <c r="B923" s="184"/>
      <c r="C923" s="184"/>
      <c r="D923" s="184"/>
      <c r="E923" s="184"/>
      <c r="F923" s="184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84"/>
      <c r="V923" s="184"/>
      <c r="W923" s="184"/>
      <c r="X923" s="184"/>
      <c r="Y923" s="184"/>
      <c r="Z923" s="184"/>
      <c r="AA923" s="184"/>
    </row>
    <row r="924">
      <c r="A924" s="184"/>
      <c r="B924" s="184"/>
      <c r="C924" s="184"/>
      <c r="D924" s="184"/>
      <c r="E924" s="184"/>
      <c r="F924" s="184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84"/>
      <c r="V924" s="184"/>
      <c r="W924" s="184"/>
      <c r="X924" s="184"/>
      <c r="Y924" s="184"/>
      <c r="Z924" s="184"/>
      <c r="AA924" s="184"/>
    </row>
    <row r="925">
      <c r="A925" s="184"/>
      <c r="B925" s="184"/>
      <c r="C925" s="184"/>
      <c r="D925" s="184"/>
      <c r="E925" s="184"/>
      <c r="F925" s="184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84"/>
      <c r="V925" s="184"/>
      <c r="W925" s="184"/>
      <c r="X925" s="184"/>
      <c r="Y925" s="184"/>
      <c r="Z925" s="184"/>
      <c r="AA925" s="184"/>
    </row>
    <row r="926">
      <c r="A926" s="184"/>
      <c r="B926" s="184"/>
      <c r="C926" s="184"/>
      <c r="D926" s="184"/>
      <c r="E926" s="184"/>
      <c r="F926" s="184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84"/>
      <c r="V926" s="184"/>
      <c r="W926" s="184"/>
      <c r="X926" s="184"/>
      <c r="Y926" s="184"/>
      <c r="Z926" s="184"/>
      <c r="AA926" s="184"/>
    </row>
    <row r="927">
      <c r="A927" s="184"/>
      <c r="B927" s="184"/>
      <c r="C927" s="184"/>
      <c r="D927" s="184"/>
      <c r="E927" s="184"/>
      <c r="F927" s="184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84"/>
      <c r="V927" s="184"/>
      <c r="W927" s="184"/>
      <c r="X927" s="184"/>
      <c r="Y927" s="184"/>
      <c r="Z927" s="184"/>
      <c r="AA927" s="184"/>
    </row>
    <row r="928">
      <c r="A928" s="184"/>
      <c r="B928" s="184"/>
      <c r="C928" s="184"/>
      <c r="D928" s="184"/>
      <c r="E928" s="184"/>
      <c r="F928" s="184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84"/>
      <c r="V928" s="184"/>
      <c r="W928" s="184"/>
      <c r="X928" s="184"/>
      <c r="Y928" s="184"/>
      <c r="Z928" s="184"/>
      <c r="AA928" s="184"/>
    </row>
    <row r="929">
      <c r="A929" s="184"/>
      <c r="B929" s="184"/>
      <c r="C929" s="184"/>
      <c r="D929" s="184"/>
      <c r="E929" s="184"/>
      <c r="F929" s="184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84"/>
      <c r="V929" s="184"/>
      <c r="W929" s="184"/>
      <c r="X929" s="184"/>
      <c r="Y929" s="184"/>
      <c r="Z929" s="184"/>
      <c r="AA929" s="184"/>
    </row>
    <row r="930">
      <c r="A930" s="184"/>
      <c r="B930" s="184"/>
      <c r="C930" s="184"/>
      <c r="D930" s="184"/>
      <c r="E930" s="184"/>
      <c r="F930" s="184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84"/>
      <c r="V930" s="184"/>
      <c r="W930" s="184"/>
      <c r="X930" s="184"/>
      <c r="Y930" s="184"/>
      <c r="Z930" s="184"/>
      <c r="AA930" s="184"/>
    </row>
    <row r="931">
      <c r="A931" s="184"/>
      <c r="B931" s="184"/>
      <c r="C931" s="184"/>
      <c r="D931" s="184"/>
      <c r="E931" s="184"/>
      <c r="F931" s="184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84"/>
      <c r="V931" s="184"/>
      <c r="W931" s="184"/>
      <c r="X931" s="184"/>
      <c r="Y931" s="184"/>
      <c r="Z931" s="184"/>
      <c r="AA931" s="184"/>
    </row>
    <row r="932">
      <c r="A932" s="184"/>
      <c r="B932" s="184"/>
      <c r="C932" s="184"/>
      <c r="D932" s="184"/>
      <c r="E932" s="184"/>
      <c r="F932" s="184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84"/>
      <c r="V932" s="184"/>
      <c r="W932" s="184"/>
      <c r="X932" s="184"/>
      <c r="Y932" s="184"/>
      <c r="Z932" s="184"/>
      <c r="AA932" s="184"/>
    </row>
    <row r="933">
      <c r="A933" s="184"/>
      <c r="B933" s="184"/>
      <c r="C933" s="184"/>
      <c r="D933" s="184"/>
      <c r="E933" s="184"/>
      <c r="F933" s="184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84"/>
      <c r="V933" s="184"/>
      <c r="W933" s="184"/>
      <c r="X933" s="184"/>
      <c r="Y933" s="184"/>
      <c r="Z933" s="184"/>
      <c r="AA933" s="184"/>
    </row>
    <row r="934">
      <c r="A934" s="184"/>
      <c r="B934" s="184"/>
      <c r="C934" s="184"/>
      <c r="D934" s="184"/>
      <c r="E934" s="184"/>
      <c r="F934" s="184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84"/>
      <c r="V934" s="184"/>
      <c r="W934" s="184"/>
      <c r="X934" s="184"/>
      <c r="Y934" s="184"/>
      <c r="Z934" s="184"/>
      <c r="AA934" s="184"/>
    </row>
    <row r="935">
      <c r="A935" s="184"/>
      <c r="B935" s="184"/>
      <c r="C935" s="184"/>
      <c r="D935" s="184"/>
      <c r="E935" s="184"/>
      <c r="F935" s="184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84"/>
      <c r="V935" s="184"/>
      <c r="W935" s="184"/>
      <c r="X935" s="184"/>
      <c r="Y935" s="184"/>
      <c r="Z935" s="184"/>
      <c r="AA935" s="184"/>
    </row>
    <row r="936">
      <c r="A936" s="184"/>
      <c r="B936" s="184"/>
      <c r="C936" s="184"/>
      <c r="D936" s="184"/>
      <c r="E936" s="184"/>
      <c r="F936" s="184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84"/>
      <c r="V936" s="184"/>
      <c r="W936" s="184"/>
      <c r="X936" s="184"/>
      <c r="Y936" s="184"/>
      <c r="Z936" s="184"/>
      <c r="AA936" s="184"/>
    </row>
    <row r="937">
      <c r="A937" s="184"/>
      <c r="B937" s="184"/>
      <c r="C937" s="184"/>
      <c r="D937" s="184"/>
      <c r="E937" s="184"/>
      <c r="F937" s="184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84"/>
      <c r="V937" s="184"/>
      <c r="W937" s="184"/>
      <c r="X937" s="184"/>
      <c r="Y937" s="184"/>
      <c r="Z937" s="184"/>
      <c r="AA937" s="184"/>
    </row>
    <row r="938">
      <c r="A938" s="184"/>
      <c r="B938" s="184"/>
      <c r="C938" s="184"/>
      <c r="D938" s="184"/>
      <c r="E938" s="184"/>
      <c r="F938" s="184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84"/>
      <c r="V938" s="184"/>
      <c r="W938" s="184"/>
      <c r="X938" s="184"/>
      <c r="Y938" s="184"/>
      <c r="Z938" s="184"/>
      <c r="AA938" s="184"/>
    </row>
    <row r="939">
      <c r="A939" s="184"/>
      <c r="B939" s="184"/>
      <c r="C939" s="184"/>
      <c r="D939" s="184"/>
      <c r="E939" s="184"/>
      <c r="F939" s="184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84"/>
      <c r="V939" s="184"/>
      <c r="W939" s="184"/>
      <c r="X939" s="184"/>
      <c r="Y939" s="184"/>
      <c r="Z939" s="184"/>
      <c r="AA939" s="184"/>
    </row>
    <row r="940">
      <c r="A940" s="184"/>
      <c r="B940" s="184"/>
      <c r="C940" s="184"/>
      <c r="D940" s="184"/>
      <c r="E940" s="184"/>
      <c r="F940" s="184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84"/>
      <c r="V940" s="184"/>
      <c r="W940" s="184"/>
      <c r="X940" s="184"/>
      <c r="Y940" s="184"/>
      <c r="Z940" s="184"/>
      <c r="AA940" s="184"/>
    </row>
    <row r="941">
      <c r="A941" s="184"/>
      <c r="B941" s="184"/>
      <c r="C941" s="184"/>
      <c r="D941" s="184"/>
      <c r="E941" s="184"/>
      <c r="F941" s="184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84"/>
      <c r="V941" s="184"/>
      <c r="W941" s="184"/>
      <c r="X941" s="184"/>
      <c r="Y941" s="184"/>
      <c r="Z941" s="184"/>
      <c r="AA941" s="184"/>
    </row>
    <row r="942">
      <c r="A942" s="184"/>
      <c r="B942" s="184"/>
      <c r="C942" s="184"/>
      <c r="D942" s="184"/>
      <c r="E942" s="184"/>
      <c r="F942" s="184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84"/>
      <c r="V942" s="184"/>
      <c r="W942" s="184"/>
      <c r="X942" s="184"/>
      <c r="Y942" s="184"/>
      <c r="Z942" s="184"/>
      <c r="AA942" s="184"/>
    </row>
    <row r="943">
      <c r="A943" s="184"/>
      <c r="B943" s="184"/>
      <c r="C943" s="184"/>
      <c r="D943" s="184"/>
      <c r="E943" s="184"/>
      <c r="F943" s="184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84"/>
      <c r="V943" s="184"/>
      <c r="W943" s="184"/>
      <c r="X943" s="184"/>
      <c r="Y943" s="184"/>
      <c r="Z943" s="184"/>
      <c r="AA943" s="184"/>
    </row>
    <row r="944">
      <c r="A944" s="184"/>
      <c r="B944" s="184"/>
      <c r="C944" s="184"/>
      <c r="D944" s="184"/>
      <c r="E944" s="184"/>
      <c r="F944" s="184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84"/>
      <c r="V944" s="184"/>
      <c r="W944" s="184"/>
      <c r="X944" s="184"/>
      <c r="Y944" s="184"/>
      <c r="Z944" s="184"/>
      <c r="AA944" s="184"/>
    </row>
    <row r="945">
      <c r="A945" s="184"/>
      <c r="B945" s="184"/>
      <c r="C945" s="184"/>
      <c r="D945" s="184"/>
      <c r="E945" s="184"/>
      <c r="F945" s="184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84"/>
      <c r="V945" s="184"/>
      <c r="W945" s="184"/>
      <c r="X945" s="184"/>
      <c r="Y945" s="184"/>
      <c r="Z945" s="184"/>
      <c r="AA945" s="184"/>
    </row>
    <row r="946">
      <c r="A946" s="184"/>
      <c r="B946" s="184"/>
      <c r="C946" s="184"/>
      <c r="D946" s="184"/>
      <c r="E946" s="184"/>
      <c r="F946" s="184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84"/>
      <c r="V946" s="184"/>
      <c r="W946" s="184"/>
      <c r="X946" s="184"/>
      <c r="Y946" s="184"/>
      <c r="Z946" s="184"/>
      <c r="AA946" s="184"/>
    </row>
    <row r="947">
      <c r="A947" s="184"/>
      <c r="B947" s="184"/>
      <c r="C947" s="184"/>
      <c r="D947" s="184"/>
      <c r="E947" s="184"/>
      <c r="F947" s="184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84"/>
      <c r="V947" s="184"/>
      <c r="W947" s="184"/>
      <c r="X947" s="184"/>
      <c r="Y947" s="184"/>
      <c r="Z947" s="184"/>
      <c r="AA947" s="184"/>
    </row>
    <row r="948">
      <c r="A948" s="184"/>
      <c r="B948" s="184"/>
      <c r="C948" s="184"/>
      <c r="D948" s="184"/>
      <c r="E948" s="184"/>
      <c r="F948" s="184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84"/>
      <c r="V948" s="184"/>
      <c r="W948" s="184"/>
      <c r="X948" s="184"/>
      <c r="Y948" s="184"/>
      <c r="Z948" s="184"/>
      <c r="AA948" s="184"/>
    </row>
    <row r="949">
      <c r="A949" s="184"/>
      <c r="B949" s="184"/>
      <c r="C949" s="184"/>
      <c r="D949" s="184"/>
      <c r="E949" s="184"/>
      <c r="F949" s="184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84"/>
      <c r="V949" s="184"/>
      <c r="W949" s="184"/>
      <c r="X949" s="184"/>
      <c r="Y949" s="184"/>
      <c r="Z949" s="184"/>
      <c r="AA949" s="184"/>
    </row>
    <row r="950">
      <c r="A950" s="184"/>
      <c r="B950" s="184"/>
      <c r="C950" s="184"/>
      <c r="D950" s="184"/>
      <c r="E950" s="184"/>
      <c r="F950" s="184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84"/>
      <c r="V950" s="184"/>
      <c r="W950" s="184"/>
      <c r="X950" s="184"/>
      <c r="Y950" s="184"/>
      <c r="Z950" s="184"/>
      <c r="AA950" s="184"/>
    </row>
    <row r="951">
      <c r="A951" s="184"/>
      <c r="B951" s="184"/>
      <c r="C951" s="184"/>
      <c r="D951" s="184"/>
      <c r="E951" s="184"/>
      <c r="F951" s="184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84"/>
      <c r="V951" s="184"/>
      <c r="W951" s="184"/>
      <c r="X951" s="184"/>
      <c r="Y951" s="184"/>
      <c r="Z951" s="184"/>
      <c r="AA951" s="184"/>
    </row>
    <row r="952">
      <c r="A952" s="184"/>
      <c r="B952" s="184"/>
      <c r="C952" s="184"/>
      <c r="D952" s="184"/>
      <c r="E952" s="184"/>
      <c r="F952" s="184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84"/>
      <c r="V952" s="184"/>
      <c r="W952" s="184"/>
      <c r="X952" s="184"/>
      <c r="Y952" s="184"/>
      <c r="Z952" s="184"/>
      <c r="AA952" s="184"/>
    </row>
    <row r="953">
      <c r="A953" s="184"/>
      <c r="B953" s="184"/>
      <c r="C953" s="184"/>
      <c r="D953" s="184"/>
      <c r="E953" s="184"/>
      <c r="F953" s="184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84"/>
      <c r="V953" s="184"/>
      <c r="W953" s="184"/>
      <c r="X953" s="184"/>
      <c r="Y953" s="184"/>
      <c r="Z953" s="184"/>
      <c r="AA953" s="184"/>
    </row>
    <row r="954">
      <c r="A954" s="184"/>
      <c r="B954" s="184"/>
      <c r="C954" s="184"/>
      <c r="D954" s="184"/>
      <c r="E954" s="184"/>
      <c r="F954" s="184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84"/>
      <c r="V954" s="184"/>
      <c r="W954" s="184"/>
      <c r="X954" s="184"/>
      <c r="Y954" s="184"/>
      <c r="Z954" s="184"/>
      <c r="AA954" s="184"/>
    </row>
    <row r="955">
      <c r="A955" s="184"/>
      <c r="B955" s="184"/>
      <c r="C955" s="184"/>
      <c r="D955" s="184"/>
      <c r="E955" s="184"/>
      <c r="F955" s="184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84"/>
      <c r="V955" s="184"/>
      <c r="W955" s="184"/>
      <c r="X955" s="184"/>
      <c r="Y955" s="184"/>
      <c r="Z955" s="184"/>
      <c r="AA955" s="184"/>
    </row>
    <row r="956">
      <c r="A956" s="184"/>
      <c r="B956" s="184"/>
      <c r="C956" s="184"/>
      <c r="D956" s="184"/>
      <c r="E956" s="184"/>
      <c r="F956" s="184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84"/>
      <c r="V956" s="184"/>
      <c r="W956" s="184"/>
      <c r="X956" s="184"/>
      <c r="Y956" s="184"/>
      <c r="Z956" s="184"/>
      <c r="AA956" s="184"/>
    </row>
    <row r="957">
      <c r="A957" s="184"/>
      <c r="B957" s="184"/>
      <c r="C957" s="184"/>
      <c r="D957" s="184"/>
      <c r="E957" s="184"/>
      <c r="F957" s="184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84"/>
      <c r="V957" s="184"/>
      <c r="W957" s="184"/>
      <c r="X957" s="184"/>
      <c r="Y957" s="184"/>
      <c r="Z957" s="184"/>
      <c r="AA957" s="184"/>
    </row>
    <row r="958">
      <c r="A958" s="184"/>
      <c r="B958" s="184"/>
      <c r="C958" s="184"/>
      <c r="D958" s="184"/>
      <c r="E958" s="184"/>
      <c r="F958" s="184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84"/>
      <c r="V958" s="184"/>
      <c r="W958" s="184"/>
      <c r="X958" s="184"/>
      <c r="Y958" s="184"/>
      <c r="Z958" s="184"/>
      <c r="AA958" s="184"/>
    </row>
    <row r="959">
      <c r="A959" s="184"/>
      <c r="B959" s="184"/>
      <c r="C959" s="184"/>
      <c r="D959" s="184"/>
      <c r="E959" s="184"/>
      <c r="F959" s="184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84"/>
      <c r="V959" s="184"/>
      <c r="W959" s="184"/>
      <c r="X959" s="184"/>
      <c r="Y959" s="184"/>
      <c r="Z959" s="184"/>
      <c r="AA959" s="184"/>
    </row>
    <row r="960">
      <c r="A960" s="184"/>
      <c r="B960" s="184"/>
      <c r="C960" s="184"/>
      <c r="D960" s="184"/>
      <c r="E960" s="184"/>
      <c r="F960" s="184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84"/>
      <c r="V960" s="184"/>
      <c r="W960" s="184"/>
      <c r="X960" s="184"/>
      <c r="Y960" s="184"/>
      <c r="Z960" s="184"/>
      <c r="AA960" s="184"/>
    </row>
    <row r="961">
      <c r="A961" s="184"/>
      <c r="B961" s="184"/>
      <c r="C961" s="184"/>
      <c r="D961" s="184"/>
      <c r="E961" s="184"/>
      <c r="F961" s="184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84"/>
      <c r="V961" s="184"/>
      <c r="W961" s="184"/>
      <c r="X961" s="184"/>
      <c r="Y961" s="184"/>
      <c r="Z961" s="184"/>
      <c r="AA961" s="184"/>
    </row>
    <row r="962">
      <c r="A962" s="184"/>
      <c r="B962" s="184"/>
      <c r="C962" s="184"/>
      <c r="D962" s="184"/>
      <c r="E962" s="184"/>
      <c r="F962" s="184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84"/>
      <c r="V962" s="184"/>
      <c r="W962" s="184"/>
      <c r="X962" s="184"/>
      <c r="Y962" s="184"/>
      <c r="Z962" s="184"/>
      <c r="AA962" s="184"/>
    </row>
    <row r="963">
      <c r="A963" s="184"/>
      <c r="B963" s="184"/>
      <c r="C963" s="184"/>
      <c r="D963" s="184"/>
      <c r="E963" s="184"/>
      <c r="F963" s="184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84"/>
      <c r="V963" s="184"/>
      <c r="W963" s="184"/>
      <c r="X963" s="184"/>
      <c r="Y963" s="184"/>
      <c r="Z963" s="184"/>
      <c r="AA963" s="184"/>
    </row>
    <row r="964">
      <c r="A964" s="184"/>
      <c r="B964" s="184"/>
      <c r="C964" s="184"/>
      <c r="D964" s="184"/>
      <c r="E964" s="184"/>
      <c r="F964" s="184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84"/>
      <c r="V964" s="184"/>
      <c r="W964" s="184"/>
      <c r="X964" s="184"/>
      <c r="Y964" s="184"/>
      <c r="Z964" s="184"/>
      <c r="AA964" s="184"/>
    </row>
    <row r="965">
      <c r="A965" s="184"/>
      <c r="B965" s="184"/>
      <c r="C965" s="184"/>
      <c r="D965" s="184"/>
      <c r="E965" s="184"/>
      <c r="F965" s="184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84"/>
      <c r="V965" s="184"/>
      <c r="W965" s="184"/>
      <c r="X965" s="184"/>
      <c r="Y965" s="184"/>
      <c r="Z965" s="184"/>
      <c r="AA965" s="184"/>
    </row>
    <row r="966">
      <c r="A966" s="184"/>
      <c r="B966" s="184"/>
      <c r="C966" s="184"/>
      <c r="D966" s="184"/>
      <c r="E966" s="184"/>
      <c r="F966" s="184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84"/>
      <c r="V966" s="184"/>
      <c r="W966" s="184"/>
      <c r="X966" s="184"/>
      <c r="Y966" s="184"/>
      <c r="Z966" s="184"/>
      <c r="AA966" s="184"/>
    </row>
    <row r="967">
      <c r="A967" s="184"/>
      <c r="B967" s="184"/>
      <c r="C967" s="184"/>
      <c r="D967" s="184"/>
      <c r="E967" s="184"/>
      <c r="F967" s="184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84"/>
      <c r="V967" s="184"/>
      <c r="W967" s="184"/>
      <c r="X967" s="184"/>
      <c r="Y967" s="184"/>
      <c r="Z967" s="184"/>
      <c r="AA967" s="184"/>
    </row>
    <row r="968">
      <c r="A968" s="184"/>
      <c r="B968" s="184"/>
      <c r="C968" s="184"/>
      <c r="D968" s="184"/>
      <c r="E968" s="184"/>
      <c r="F968" s="184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84"/>
      <c r="V968" s="184"/>
      <c r="W968" s="184"/>
      <c r="X968" s="184"/>
      <c r="Y968" s="184"/>
      <c r="Z968" s="184"/>
      <c r="AA968" s="184"/>
    </row>
    <row r="969">
      <c r="A969" s="184"/>
      <c r="B969" s="184"/>
      <c r="C969" s="184"/>
      <c r="D969" s="184"/>
      <c r="E969" s="184"/>
      <c r="F969" s="184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84"/>
      <c r="V969" s="184"/>
      <c r="W969" s="184"/>
      <c r="X969" s="184"/>
      <c r="Y969" s="184"/>
      <c r="Z969" s="184"/>
      <c r="AA969" s="184"/>
    </row>
    <row r="970">
      <c r="A970" s="184"/>
      <c r="B970" s="184"/>
      <c r="C970" s="184"/>
      <c r="D970" s="184"/>
      <c r="E970" s="184"/>
      <c r="F970" s="184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84"/>
      <c r="V970" s="184"/>
      <c r="W970" s="184"/>
      <c r="X970" s="184"/>
      <c r="Y970" s="184"/>
      <c r="Z970" s="184"/>
      <c r="AA970" s="184"/>
    </row>
    <row r="971">
      <c r="A971" s="184"/>
      <c r="B971" s="184"/>
      <c r="C971" s="184"/>
      <c r="D971" s="184"/>
      <c r="E971" s="184"/>
      <c r="F971" s="184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84"/>
      <c r="V971" s="184"/>
      <c r="W971" s="184"/>
      <c r="X971" s="184"/>
      <c r="Y971" s="184"/>
      <c r="Z971" s="184"/>
      <c r="AA971" s="184"/>
    </row>
    <row r="972">
      <c r="A972" s="184"/>
      <c r="B972" s="184"/>
      <c r="C972" s="184"/>
      <c r="D972" s="184"/>
      <c r="E972" s="184"/>
      <c r="F972" s="184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84"/>
      <c r="V972" s="184"/>
      <c r="W972" s="184"/>
      <c r="X972" s="184"/>
      <c r="Y972" s="184"/>
      <c r="Z972" s="184"/>
      <c r="AA972" s="184"/>
    </row>
    <row r="973">
      <c r="A973" s="184"/>
      <c r="B973" s="184"/>
      <c r="C973" s="184"/>
      <c r="D973" s="184"/>
      <c r="E973" s="184"/>
      <c r="F973" s="184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84"/>
      <c r="V973" s="184"/>
      <c r="W973" s="184"/>
      <c r="X973" s="184"/>
      <c r="Y973" s="184"/>
      <c r="Z973" s="184"/>
      <c r="AA973" s="184"/>
    </row>
    <row r="974">
      <c r="A974" s="184"/>
      <c r="B974" s="184"/>
      <c r="C974" s="184"/>
      <c r="D974" s="184"/>
      <c r="E974" s="184"/>
      <c r="F974" s="184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84"/>
      <c r="V974" s="184"/>
      <c r="W974" s="184"/>
      <c r="X974" s="184"/>
      <c r="Y974" s="184"/>
      <c r="Z974" s="184"/>
      <c r="AA974" s="184"/>
    </row>
    <row r="975">
      <c r="A975" s="184"/>
      <c r="B975" s="184"/>
      <c r="C975" s="184"/>
      <c r="D975" s="184"/>
      <c r="E975" s="184"/>
      <c r="F975" s="184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84"/>
      <c r="V975" s="184"/>
      <c r="W975" s="184"/>
      <c r="X975" s="184"/>
      <c r="Y975" s="184"/>
      <c r="Z975" s="184"/>
      <c r="AA975" s="184"/>
    </row>
    <row r="976">
      <c r="A976" s="184"/>
      <c r="B976" s="184"/>
      <c r="C976" s="184"/>
      <c r="D976" s="184"/>
      <c r="E976" s="184"/>
      <c r="F976" s="184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84"/>
      <c r="V976" s="184"/>
      <c r="W976" s="184"/>
      <c r="X976" s="184"/>
      <c r="Y976" s="184"/>
      <c r="Z976" s="184"/>
      <c r="AA976" s="184"/>
    </row>
    <row r="977">
      <c r="A977" s="184"/>
      <c r="B977" s="184"/>
      <c r="C977" s="184"/>
      <c r="D977" s="184"/>
      <c r="E977" s="184"/>
      <c r="F977" s="184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84"/>
      <c r="V977" s="184"/>
      <c r="W977" s="184"/>
      <c r="X977" s="184"/>
      <c r="Y977" s="184"/>
      <c r="Z977" s="184"/>
      <c r="AA977" s="184"/>
    </row>
    <row r="978">
      <c r="A978" s="184"/>
      <c r="B978" s="184"/>
      <c r="C978" s="184"/>
      <c r="D978" s="184"/>
      <c r="E978" s="184"/>
      <c r="F978" s="184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84"/>
      <c r="V978" s="184"/>
      <c r="W978" s="184"/>
      <c r="X978" s="184"/>
      <c r="Y978" s="184"/>
      <c r="Z978" s="184"/>
      <c r="AA978" s="184"/>
    </row>
    <row r="979">
      <c r="A979" s="184"/>
      <c r="B979" s="184"/>
      <c r="C979" s="184"/>
      <c r="D979" s="184"/>
      <c r="E979" s="184"/>
      <c r="F979" s="184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84"/>
      <c r="V979" s="184"/>
      <c r="W979" s="184"/>
      <c r="X979" s="184"/>
      <c r="Y979" s="184"/>
      <c r="Z979" s="184"/>
      <c r="AA979" s="184"/>
    </row>
    <row r="980">
      <c r="A980" s="184"/>
      <c r="B980" s="184"/>
      <c r="C980" s="184"/>
      <c r="D980" s="184"/>
      <c r="E980" s="184"/>
      <c r="F980" s="184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84"/>
      <c r="V980" s="184"/>
      <c r="W980" s="184"/>
      <c r="X980" s="184"/>
      <c r="Y980" s="184"/>
      <c r="Z980" s="184"/>
      <c r="AA980" s="184"/>
    </row>
    <row r="981">
      <c r="A981" s="184"/>
      <c r="B981" s="184"/>
      <c r="C981" s="184"/>
      <c r="D981" s="184"/>
      <c r="E981" s="184"/>
      <c r="F981" s="184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84"/>
      <c r="V981" s="184"/>
      <c r="W981" s="184"/>
      <c r="X981" s="184"/>
      <c r="Y981" s="184"/>
      <c r="Z981" s="184"/>
      <c r="AA981" s="184"/>
    </row>
    <row r="982">
      <c r="A982" s="184"/>
      <c r="B982" s="184"/>
      <c r="C982" s="184"/>
      <c r="D982" s="184"/>
      <c r="E982" s="184"/>
      <c r="F982" s="184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84"/>
      <c r="V982" s="184"/>
      <c r="W982" s="184"/>
      <c r="X982" s="184"/>
      <c r="Y982" s="184"/>
      <c r="Z982" s="184"/>
      <c r="AA982" s="184"/>
    </row>
    <row r="983">
      <c r="A983" s="184"/>
      <c r="B983" s="184"/>
      <c r="C983" s="184"/>
      <c r="D983" s="184"/>
      <c r="E983" s="184"/>
      <c r="F983" s="184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84"/>
      <c r="V983" s="184"/>
      <c r="W983" s="184"/>
      <c r="X983" s="184"/>
      <c r="Y983" s="184"/>
      <c r="Z983" s="184"/>
      <c r="AA983" s="184"/>
    </row>
    <row r="984">
      <c r="A984" s="184"/>
      <c r="B984" s="184"/>
      <c r="C984" s="184"/>
      <c r="D984" s="184"/>
      <c r="E984" s="184"/>
      <c r="F984" s="184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84"/>
      <c r="V984" s="184"/>
      <c r="W984" s="184"/>
      <c r="X984" s="184"/>
      <c r="Y984" s="184"/>
      <c r="Z984" s="184"/>
      <c r="AA984" s="184"/>
    </row>
    <row r="985">
      <c r="A985" s="184"/>
      <c r="B985" s="184"/>
      <c r="C985" s="184"/>
      <c r="D985" s="184"/>
      <c r="E985" s="184"/>
      <c r="F985" s="184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84"/>
      <c r="V985" s="184"/>
      <c r="W985" s="184"/>
      <c r="X985" s="184"/>
      <c r="Y985" s="184"/>
      <c r="Z985" s="184"/>
      <c r="AA985" s="184"/>
    </row>
    <row r="986">
      <c r="A986" s="184"/>
      <c r="B986" s="184"/>
      <c r="C986" s="184"/>
      <c r="D986" s="184"/>
      <c r="E986" s="184"/>
      <c r="F986" s="184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84"/>
      <c r="V986" s="184"/>
      <c r="W986" s="184"/>
      <c r="X986" s="184"/>
      <c r="Y986" s="184"/>
      <c r="Z986" s="184"/>
      <c r="AA986" s="184"/>
    </row>
    <row r="987">
      <c r="A987" s="184"/>
      <c r="B987" s="184"/>
      <c r="C987" s="184"/>
      <c r="D987" s="184"/>
      <c r="E987" s="184"/>
      <c r="F987" s="184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84"/>
      <c r="V987" s="184"/>
      <c r="W987" s="184"/>
      <c r="X987" s="184"/>
      <c r="Y987" s="184"/>
      <c r="Z987" s="184"/>
      <c r="AA987" s="184"/>
    </row>
    <row r="988">
      <c r="A988" s="184"/>
      <c r="B988" s="184"/>
      <c r="C988" s="184"/>
      <c r="D988" s="184"/>
      <c r="E988" s="184"/>
      <c r="F988" s="184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84"/>
      <c r="V988" s="184"/>
      <c r="W988" s="184"/>
      <c r="X988" s="184"/>
      <c r="Y988" s="184"/>
      <c r="Z988" s="184"/>
      <c r="AA988" s="184"/>
    </row>
    <row r="989">
      <c r="A989" s="184"/>
      <c r="B989" s="184"/>
      <c r="C989" s="184"/>
      <c r="D989" s="184"/>
      <c r="E989" s="184"/>
      <c r="F989" s="184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84"/>
      <c r="V989" s="184"/>
      <c r="W989" s="184"/>
      <c r="X989" s="184"/>
      <c r="Y989" s="184"/>
      <c r="Z989" s="184"/>
      <c r="AA989" s="184"/>
    </row>
    <row r="990">
      <c r="A990" s="184"/>
      <c r="B990" s="184"/>
      <c r="C990" s="184"/>
      <c r="D990" s="184"/>
      <c r="E990" s="184"/>
      <c r="F990" s="184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84"/>
      <c r="V990" s="184"/>
      <c r="W990" s="184"/>
      <c r="X990" s="184"/>
      <c r="Y990" s="184"/>
      <c r="Z990" s="184"/>
      <c r="AA990" s="184"/>
    </row>
    <row r="991">
      <c r="A991" s="184"/>
      <c r="B991" s="184"/>
      <c r="C991" s="184"/>
      <c r="D991" s="184"/>
      <c r="E991" s="184"/>
      <c r="F991" s="184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84"/>
      <c r="V991" s="184"/>
      <c r="W991" s="184"/>
      <c r="X991" s="184"/>
      <c r="Y991" s="184"/>
      <c r="Z991" s="184"/>
      <c r="AA991" s="184"/>
    </row>
    <row r="992">
      <c r="A992" s="184"/>
      <c r="B992" s="184"/>
      <c r="C992" s="184"/>
      <c r="D992" s="184"/>
      <c r="E992" s="184"/>
      <c r="F992" s="184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84"/>
      <c r="V992" s="184"/>
      <c r="W992" s="184"/>
      <c r="X992" s="184"/>
      <c r="Y992" s="184"/>
      <c r="Z992" s="184"/>
      <c r="AA992" s="184"/>
    </row>
    <row r="993">
      <c r="A993" s="184"/>
      <c r="B993" s="184"/>
      <c r="C993" s="184"/>
      <c r="D993" s="184"/>
      <c r="E993" s="184"/>
      <c r="F993" s="184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84"/>
      <c r="V993" s="184"/>
      <c r="W993" s="184"/>
      <c r="X993" s="184"/>
      <c r="Y993" s="184"/>
      <c r="Z993" s="184"/>
      <c r="AA993" s="184"/>
    </row>
    <row r="994">
      <c r="A994" s="184"/>
      <c r="B994" s="184"/>
      <c r="C994" s="184"/>
      <c r="D994" s="184"/>
      <c r="E994" s="184"/>
      <c r="F994" s="184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84"/>
      <c r="V994" s="184"/>
      <c r="W994" s="184"/>
      <c r="X994" s="184"/>
      <c r="Y994" s="184"/>
      <c r="Z994" s="184"/>
      <c r="AA994" s="184"/>
    </row>
    <row r="995">
      <c r="A995" s="184"/>
      <c r="B995" s="184"/>
      <c r="C995" s="184"/>
      <c r="D995" s="184"/>
      <c r="E995" s="184"/>
      <c r="F995" s="184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84"/>
      <c r="V995" s="184"/>
      <c r="W995" s="184"/>
      <c r="X995" s="184"/>
      <c r="Y995" s="184"/>
      <c r="Z995" s="184"/>
      <c r="AA995" s="184"/>
    </row>
    <row r="996">
      <c r="A996" s="184"/>
      <c r="B996" s="184"/>
      <c r="C996" s="184"/>
      <c r="D996" s="184"/>
      <c r="E996" s="184"/>
      <c r="F996" s="184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84"/>
      <c r="V996" s="184"/>
      <c r="W996" s="184"/>
      <c r="X996" s="184"/>
      <c r="Y996" s="184"/>
      <c r="Z996" s="184"/>
      <c r="AA996" s="184"/>
    </row>
    <row r="997">
      <c r="A997" s="184"/>
      <c r="B997" s="184"/>
      <c r="C997" s="184"/>
      <c r="D997" s="184"/>
      <c r="E997" s="184"/>
      <c r="F997" s="184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84"/>
      <c r="V997" s="184"/>
      <c r="W997" s="184"/>
      <c r="X997" s="184"/>
      <c r="Y997" s="184"/>
      <c r="Z997" s="184"/>
      <c r="AA997" s="184"/>
    </row>
    <row r="998">
      <c r="A998" s="184"/>
      <c r="B998" s="184"/>
      <c r="C998" s="184"/>
      <c r="D998" s="184"/>
      <c r="E998" s="184"/>
      <c r="F998" s="184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84"/>
      <c r="V998" s="184"/>
      <c r="W998" s="184"/>
      <c r="X998" s="184"/>
      <c r="Y998" s="184"/>
      <c r="Z998" s="184"/>
      <c r="AA998" s="184"/>
    </row>
  </sheetData>
  <mergeCells count="3">
    <mergeCell ref="A21:A22"/>
    <mergeCell ref="A23:A24"/>
    <mergeCell ref="A25:A26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23.88"/>
    <col customWidth="1" min="3" max="3" width="27.25"/>
    <col customWidth="1" min="4" max="4" width="22.25"/>
    <col customWidth="1" min="5" max="5" width="29.88"/>
  </cols>
  <sheetData>
    <row r="1" ht="36.75" customHeight="1">
      <c r="A1" s="428" t="s">
        <v>131</v>
      </c>
      <c r="B1" s="429" t="s">
        <v>545</v>
      </c>
      <c r="C1" s="430" t="s">
        <v>243</v>
      </c>
      <c r="D1" s="430" t="s">
        <v>245</v>
      </c>
      <c r="E1" s="430" t="s">
        <v>246</v>
      </c>
      <c r="F1" s="431" t="s">
        <v>247</v>
      </c>
      <c r="G1" s="431" t="s">
        <v>244</v>
      </c>
      <c r="H1" s="432" t="s">
        <v>248</v>
      </c>
      <c r="I1" s="433"/>
      <c r="J1" s="433"/>
      <c r="K1" s="386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</row>
    <row r="2">
      <c r="A2" s="434" t="s">
        <v>25</v>
      </c>
      <c r="B2" s="227" t="s">
        <v>722</v>
      </c>
      <c r="C2" s="396">
        <v>5.55582502E8</v>
      </c>
      <c r="D2" s="409" t="s">
        <v>723</v>
      </c>
      <c r="E2" s="146"/>
      <c r="F2" s="435"/>
      <c r="G2" s="436"/>
      <c r="H2" s="435"/>
      <c r="I2" s="435"/>
      <c r="J2" s="435"/>
      <c r="K2" s="435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</row>
    <row r="3">
      <c r="A3" s="437" t="s">
        <v>25</v>
      </c>
      <c r="B3" s="407" t="s">
        <v>724</v>
      </c>
      <c r="C3" s="438">
        <v>7.09453556E8</v>
      </c>
      <c r="D3" s="150" t="s">
        <v>725</v>
      </c>
      <c r="E3" s="439" t="s">
        <v>726</v>
      </c>
      <c r="F3" s="146">
        <v>1.0</v>
      </c>
      <c r="G3" s="149"/>
      <c r="H3" s="146"/>
      <c r="I3" s="146"/>
      <c r="J3" s="146"/>
      <c r="K3" s="146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</row>
    <row r="4">
      <c r="A4" s="437" t="s">
        <v>25</v>
      </c>
      <c r="B4" s="407" t="s">
        <v>727</v>
      </c>
      <c r="C4" s="438">
        <v>7.5564044E8</v>
      </c>
      <c r="D4" s="150" t="s">
        <v>728</v>
      </c>
      <c r="E4" s="439" t="s">
        <v>729</v>
      </c>
      <c r="F4" s="146">
        <v>1.0</v>
      </c>
      <c r="G4" s="149"/>
      <c r="H4" s="146"/>
      <c r="I4" s="146"/>
      <c r="J4" s="149"/>
      <c r="K4" s="149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</row>
    <row r="5">
      <c r="A5" s="437" t="s">
        <v>25</v>
      </c>
      <c r="B5" s="145" t="s">
        <v>730</v>
      </c>
      <c r="C5" s="391">
        <v>7.55866906E8</v>
      </c>
      <c r="D5" s="150" t="s">
        <v>731</v>
      </c>
      <c r="E5" s="439" t="s">
        <v>732</v>
      </c>
      <c r="F5" s="146">
        <v>1.0</v>
      </c>
      <c r="G5" s="149"/>
      <c r="H5" s="146"/>
      <c r="I5" s="146"/>
      <c r="J5" s="149"/>
      <c r="K5" s="149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</row>
    <row r="6">
      <c r="A6" s="440" t="s">
        <v>39</v>
      </c>
      <c r="B6" s="441" t="s">
        <v>733</v>
      </c>
      <c r="C6" s="396" t="s">
        <v>734</v>
      </c>
      <c r="D6" s="145" t="s">
        <v>735</v>
      </c>
      <c r="E6" s="439" t="s">
        <v>736</v>
      </c>
      <c r="F6" s="146">
        <v>1.0</v>
      </c>
      <c r="G6" s="149"/>
      <c r="H6" s="146"/>
      <c r="I6" s="146"/>
      <c r="J6" s="146"/>
      <c r="K6" s="149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</row>
    <row r="7">
      <c r="A7" s="442" t="s">
        <v>39</v>
      </c>
      <c r="B7" s="157" t="s">
        <v>737</v>
      </c>
      <c r="C7" s="443">
        <v>2.20722827E8</v>
      </c>
      <c r="D7" s="145" t="s">
        <v>738</v>
      </c>
      <c r="E7" s="146" t="s">
        <v>739</v>
      </c>
      <c r="F7" s="146">
        <v>1.0</v>
      </c>
      <c r="G7" s="149"/>
      <c r="H7" s="146"/>
      <c r="I7" s="146"/>
      <c r="J7" s="149"/>
      <c r="K7" s="149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</row>
    <row r="8">
      <c r="A8" s="440" t="s">
        <v>39</v>
      </c>
      <c r="B8" s="228" t="s">
        <v>740</v>
      </c>
      <c r="C8" s="443" t="s">
        <v>741</v>
      </c>
      <c r="D8" s="145" t="s">
        <v>742</v>
      </c>
      <c r="E8" s="439" t="s">
        <v>743</v>
      </c>
      <c r="F8" s="146">
        <v>1.0</v>
      </c>
      <c r="G8" s="149"/>
      <c r="H8" s="146"/>
      <c r="I8" s="146"/>
      <c r="J8" s="149"/>
      <c r="K8" s="149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</row>
    <row r="9">
      <c r="A9" s="444" t="s">
        <v>64</v>
      </c>
      <c r="B9" s="380" t="s">
        <v>744</v>
      </c>
      <c r="C9" s="388"/>
      <c r="D9" s="145" t="s">
        <v>745</v>
      </c>
      <c r="E9" s="445" t="s">
        <v>746</v>
      </c>
      <c r="F9" s="11">
        <v>1.0</v>
      </c>
      <c r="G9" s="7"/>
      <c r="H9" s="7"/>
      <c r="I9" s="7"/>
      <c r="J9" s="11"/>
      <c r="K9" s="7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</row>
    <row r="10">
      <c r="A10" s="444" t="s">
        <v>64</v>
      </c>
      <c r="B10" s="227" t="s">
        <v>712</v>
      </c>
      <c r="C10" s="396">
        <v>5.50118335E8</v>
      </c>
      <c r="D10" s="150" t="s">
        <v>713</v>
      </c>
      <c r="E10" s="11" t="s">
        <v>714</v>
      </c>
      <c r="F10" s="11">
        <v>1.0</v>
      </c>
      <c r="G10" s="7"/>
      <c r="H10" s="7"/>
      <c r="I10" s="7"/>
      <c r="J10" s="7"/>
      <c r="K10" s="7"/>
    </row>
    <row r="11">
      <c r="A11" s="444" t="s">
        <v>64</v>
      </c>
      <c r="B11" s="446" t="s">
        <v>719</v>
      </c>
      <c r="C11" s="396">
        <v>5.55185503E8</v>
      </c>
      <c r="D11" s="150" t="s">
        <v>720</v>
      </c>
      <c r="E11" s="11" t="s">
        <v>721</v>
      </c>
      <c r="F11" s="11">
        <v>1.0</v>
      </c>
      <c r="G11" s="7"/>
      <c r="H11" s="7"/>
      <c r="I11" s="7"/>
      <c r="J11" s="7"/>
      <c r="K11" s="7"/>
    </row>
    <row r="12">
      <c r="A12" s="447" t="s">
        <v>78</v>
      </c>
      <c r="B12" s="227" t="s">
        <v>747</v>
      </c>
      <c r="C12" s="228" t="s">
        <v>748</v>
      </c>
      <c r="D12" s="150" t="s">
        <v>749</v>
      </c>
      <c r="E12" s="439" t="s">
        <v>750</v>
      </c>
      <c r="F12" s="146">
        <v>1.0</v>
      </c>
      <c r="G12" s="149"/>
      <c r="H12" s="146"/>
      <c r="I12" s="146"/>
      <c r="J12" s="149"/>
      <c r="K12" s="149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</row>
    <row r="13">
      <c r="A13" s="447" t="s">
        <v>78</v>
      </c>
      <c r="B13" s="227" t="s">
        <v>751</v>
      </c>
      <c r="C13" s="227" t="s">
        <v>752</v>
      </c>
      <c r="D13" s="448" t="s">
        <v>753</v>
      </c>
      <c r="E13" s="439" t="s">
        <v>754</v>
      </c>
      <c r="F13" s="146">
        <v>1.0</v>
      </c>
      <c r="G13" s="149"/>
      <c r="H13" s="149"/>
      <c r="I13" s="149"/>
      <c r="J13" s="149"/>
      <c r="K13" s="149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</row>
    <row r="14">
      <c r="A14" s="149"/>
      <c r="B14" s="149"/>
      <c r="C14" s="149"/>
      <c r="D14" s="149"/>
      <c r="E14" s="149"/>
      <c r="F14" s="403"/>
      <c r="G14" s="403"/>
      <c r="H14" s="403"/>
      <c r="I14" s="403"/>
      <c r="J14" s="403"/>
      <c r="K14" s="403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</row>
    <row r="15">
      <c r="A15" s="414" t="s">
        <v>704</v>
      </c>
      <c r="B15" s="381" t="s">
        <v>705</v>
      </c>
      <c r="C15" s="371">
        <v>7.02951774E8</v>
      </c>
      <c r="D15" s="449" t="s">
        <v>706</v>
      </c>
      <c r="E15" s="149"/>
      <c r="F15" s="403"/>
      <c r="G15" s="403"/>
      <c r="H15" s="403"/>
      <c r="I15" s="403"/>
      <c r="J15" s="403"/>
      <c r="K15" s="403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</row>
    <row r="16">
      <c r="A16" s="34"/>
      <c r="B16" s="401" t="s">
        <v>707</v>
      </c>
      <c r="C16" s="38">
        <v>5.53120044E8</v>
      </c>
      <c r="D16" s="381" t="s">
        <v>708</v>
      </c>
      <c r="E16" s="149"/>
      <c r="F16" s="149"/>
      <c r="G16" s="149"/>
      <c r="H16" s="149"/>
      <c r="I16" s="149"/>
      <c r="J16" s="149"/>
      <c r="K16" s="149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</row>
    <row r="17">
      <c r="A17" s="417" t="s">
        <v>709</v>
      </c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</row>
    <row r="18">
      <c r="A18" s="34"/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</row>
    <row r="19">
      <c r="A19" s="418" t="s">
        <v>710</v>
      </c>
      <c r="B19" s="146" t="s">
        <v>740</v>
      </c>
      <c r="C19" s="146" t="s">
        <v>741</v>
      </c>
      <c r="D19" s="146" t="s">
        <v>742</v>
      </c>
      <c r="E19" s="146" t="s">
        <v>743</v>
      </c>
      <c r="F19" s="146">
        <v>1.0</v>
      </c>
      <c r="G19" s="149"/>
      <c r="H19" s="149"/>
      <c r="I19" s="149"/>
      <c r="J19" s="149"/>
      <c r="K19" s="149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</row>
    <row r="20">
      <c r="A20" s="34"/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</row>
    <row r="21">
      <c r="A21" s="184"/>
      <c r="B21" s="450"/>
      <c r="C21" s="184"/>
      <c r="D21" s="184"/>
      <c r="E21" s="184"/>
      <c r="F21" s="184"/>
      <c r="G21" s="184"/>
      <c r="H21" s="184"/>
      <c r="I21" s="181" t="s">
        <v>466</v>
      </c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</row>
    <row r="22">
      <c r="A22" s="184"/>
      <c r="B22" s="450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</row>
    <row r="23">
      <c r="A23" s="184"/>
      <c r="B23" s="450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</row>
    <row r="24">
      <c r="A24" s="184"/>
      <c r="B24" s="451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</row>
    <row r="25">
      <c r="A25" s="184"/>
      <c r="B25" s="451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</row>
    <row r="26">
      <c r="A26" s="184"/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</row>
    <row r="27">
      <c r="A27" s="184"/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</row>
    <row r="28">
      <c r="A28" s="184"/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</row>
    <row r="29">
      <c r="A29" s="184"/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</row>
    <row r="30">
      <c r="A30" s="184"/>
      <c r="B30" s="184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</row>
    <row r="31">
      <c r="A31" s="184"/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</row>
    <row r="32">
      <c r="A32" s="184"/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</row>
    <row r="33">
      <c r="A33" s="184"/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</row>
    <row r="34">
      <c r="A34" s="184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</row>
    <row r="35">
      <c r="A35" s="184"/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</row>
    <row r="36">
      <c r="A36" s="184"/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</row>
    <row r="37">
      <c r="A37" s="184"/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</row>
    <row r="38">
      <c r="A38" s="184"/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</row>
    <row r="39">
      <c r="A39" s="184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</row>
    <row r="40">
      <c r="A40" s="184"/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</row>
    <row r="41">
      <c r="A41" s="184"/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</row>
    <row r="42">
      <c r="A42" s="184"/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</row>
    <row r="43">
      <c r="A43" s="184"/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</row>
    <row r="44">
      <c r="A44" s="184"/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</row>
    <row r="45">
      <c r="A45" s="184"/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</row>
    <row r="46">
      <c r="A46" s="184"/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</row>
    <row r="47">
      <c r="A47" s="184"/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</row>
    <row r="48">
      <c r="A48" s="184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</row>
    <row r="49">
      <c r="A49" s="184"/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</row>
    <row r="50">
      <c r="A50" s="184"/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</row>
    <row r="51">
      <c r="A51" s="184"/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</row>
    <row r="52">
      <c r="A52" s="184"/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</row>
    <row r="53">
      <c r="A53" s="184"/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</row>
    <row r="54">
      <c r="A54" s="184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</row>
    <row r="55">
      <c r="A55" s="184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</row>
    <row r="56">
      <c r="A56" s="184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</row>
    <row r="57">
      <c r="A57" s="184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</row>
    <row r="58">
      <c r="A58" s="184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</row>
    <row r="59">
      <c r="A59" s="184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</row>
    <row r="60">
      <c r="A60" s="184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</row>
    <row r="61">
      <c r="A61" s="184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</row>
    <row r="62">
      <c r="A62" s="184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4"/>
    </row>
    <row r="63">
      <c r="A63" s="184"/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4"/>
    </row>
    <row r="64">
      <c r="A64" s="184"/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</row>
    <row r="65">
      <c r="A65" s="184"/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4"/>
    </row>
    <row r="66">
      <c r="A66" s="184"/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</row>
    <row r="67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</row>
    <row r="68">
      <c r="A68" s="184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4"/>
    </row>
    <row r="69">
      <c r="A69" s="184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</row>
    <row r="70">
      <c r="A70" s="184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4"/>
    </row>
    <row r="71">
      <c r="A71" s="184"/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4"/>
    </row>
    <row r="72">
      <c r="A72" s="184"/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4"/>
    </row>
    <row r="73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4"/>
    </row>
    <row r="74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</row>
    <row r="75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</row>
    <row r="76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</row>
    <row r="77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</row>
    <row r="78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4"/>
    </row>
    <row r="79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  <c r="AA79" s="184"/>
    </row>
    <row r="80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  <c r="AA80" s="184"/>
    </row>
    <row r="81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  <c r="AA81" s="184"/>
    </row>
    <row r="82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  <c r="AA82" s="184"/>
    </row>
    <row r="83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  <c r="AA83" s="184"/>
    </row>
    <row r="84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  <c r="AA84" s="184"/>
    </row>
    <row r="85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</row>
    <row r="8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</row>
    <row r="87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84"/>
    </row>
    <row r="88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</row>
    <row r="89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  <c r="AA89" s="184"/>
    </row>
    <row r="90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  <c r="AA90" s="184"/>
    </row>
    <row r="91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  <c r="AA91" s="184"/>
    </row>
    <row r="92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</row>
    <row r="93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  <c r="AA93" s="184"/>
    </row>
    <row r="94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  <c r="AA94" s="184"/>
    </row>
    <row r="95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  <c r="AA95" s="184"/>
    </row>
    <row r="9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  <c r="AA96" s="184"/>
    </row>
    <row r="97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  <c r="AA97" s="184"/>
    </row>
    <row r="98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  <c r="AA98" s="184"/>
    </row>
    <row r="99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  <c r="AA99" s="184"/>
    </row>
    <row r="100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  <c r="AA100" s="184"/>
    </row>
    <row r="101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  <c r="AA101" s="184"/>
    </row>
    <row r="102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  <c r="AA102" s="184"/>
    </row>
    <row r="103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  <c r="AA103" s="184"/>
    </row>
    <row r="104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  <c r="AA104" s="184"/>
    </row>
    <row r="105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  <c r="AA105" s="184"/>
    </row>
    <row r="10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  <c r="AA106" s="184"/>
    </row>
    <row r="107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  <c r="AA107" s="184"/>
    </row>
    <row r="108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  <c r="AA108" s="184"/>
    </row>
    <row r="109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  <c r="AA109" s="184"/>
    </row>
    <row r="110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  <c r="AA110" s="184"/>
    </row>
    <row r="111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</row>
    <row r="112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</row>
    <row r="113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  <c r="AA113" s="184"/>
    </row>
    <row r="114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</row>
    <row r="115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</row>
    <row r="11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</row>
    <row r="117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  <c r="AA117" s="184"/>
    </row>
    <row r="118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</row>
    <row r="119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</row>
    <row r="120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</row>
    <row r="121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  <c r="AA121" s="184"/>
    </row>
    <row r="122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</row>
    <row r="123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</row>
    <row r="124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</row>
    <row r="125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  <c r="AA125" s="184"/>
    </row>
    <row r="1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  <c r="AA126" s="184"/>
    </row>
    <row r="127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  <c r="AA127" s="184"/>
    </row>
    <row r="128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  <c r="AA128" s="184"/>
    </row>
    <row r="129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  <c r="AA129" s="184"/>
    </row>
    <row r="130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  <c r="AA130" s="184"/>
    </row>
    <row r="131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  <c r="AA131" s="184"/>
    </row>
    <row r="132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  <c r="AA132" s="184"/>
    </row>
    <row r="133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  <c r="AA133" s="184"/>
    </row>
    <row r="134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  <c r="AA134" s="184"/>
    </row>
    <row r="135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  <c r="AA135" s="184"/>
    </row>
    <row r="13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  <c r="AA136" s="184"/>
    </row>
    <row r="137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  <c r="AA137" s="184"/>
    </row>
    <row r="138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  <c r="AA138" s="184"/>
    </row>
    <row r="139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  <c r="AA139" s="184"/>
    </row>
    <row r="140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  <c r="AA140" s="184"/>
    </row>
    <row r="141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  <c r="AA141" s="184"/>
    </row>
    <row r="142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  <c r="AA142" s="184"/>
    </row>
    <row r="143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  <c r="AA143" s="184"/>
    </row>
    <row r="144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  <c r="AA144" s="184"/>
    </row>
    <row r="145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  <c r="AA145" s="184"/>
    </row>
    <row r="14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  <c r="AA146" s="184"/>
    </row>
    <row r="147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  <c r="AA147" s="184"/>
    </row>
    <row r="148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  <c r="AA148" s="184"/>
    </row>
    <row r="149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  <c r="AA149" s="184"/>
    </row>
    <row r="150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  <c r="AA150" s="184"/>
    </row>
    <row r="151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  <c r="AA151" s="184"/>
    </row>
    <row r="152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  <c r="AA152" s="184"/>
    </row>
    <row r="153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  <c r="AA153" s="184"/>
    </row>
    <row r="154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  <c r="AA154" s="184"/>
    </row>
    <row r="155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  <c r="AA155" s="184"/>
    </row>
    <row r="15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  <c r="AA156" s="184"/>
    </row>
    <row r="157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  <c r="AA157" s="184"/>
    </row>
    <row r="158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  <c r="AA158" s="184"/>
    </row>
    <row r="159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  <c r="AA159" s="184"/>
    </row>
    <row r="160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  <c r="AA160" s="184"/>
    </row>
    <row r="161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  <c r="AA161" s="184"/>
    </row>
    <row r="162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  <c r="AA162" s="184"/>
    </row>
    <row r="163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  <c r="AA163" s="184"/>
    </row>
    <row r="164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  <c r="AA164" s="184"/>
    </row>
    <row r="165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  <c r="AA165" s="184"/>
    </row>
    <row r="16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  <c r="AA166" s="184"/>
    </row>
    <row r="167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  <c r="AA167" s="184"/>
    </row>
    <row r="168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  <c r="AA168" s="184"/>
    </row>
    <row r="169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  <c r="AA169" s="184"/>
    </row>
    <row r="170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  <c r="AA170" s="184"/>
    </row>
    <row r="171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  <c r="AA171" s="184"/>
    </row>
    <row r="172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  <c r="AA172" s="184"/>
    </row>
    <row r="173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  <c r="AA173" s="184"/>
    </row>
    <row r="174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  <c r="AA174" s="184"/>
    </row>
    <row r="175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  <c r="AA175" s="184"/>
    </row>
    <row r="17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  <c r="AA176" s="184"/>
    </row>
    <row r="177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  <c r="AA177" s="184"/>
    </row>
    <row r="178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  <c r="AA178" s="184"/>
    </row>
    <row r="179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  <c r="AA179" s="184"/>
    </row>
    <row r="180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  <c r="AA180" s="184"/>
    </row>
    <row r="181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  <c r="AA181" s="184"/>
    </row>
    <row r="182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  <c r="AA182" s="184"/>
    </row>
    <row r="183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  <c r="AA183" s="184"/>
    </row>
    <row r="184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  <c r="AA184" s="184"/>
    </row>
    <row r="185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  <c r="AA185" s="184"/>
    </row>
    <row r="18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  <c r="AA186" s="184"/>
    </row>
    <row r="187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  <c r="AA187" s="184"/>
    </row>
    <row r="188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  <c r="AA188" s="184"/>
    </row>
    <row r="189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  <c r="AA189" s="184"/>
    </row>
    <row r="190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  <c r="AA190" s="184"/>
    </row>
    <row r="191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  <c r="AA191" s="184"/>
    </row>
    <row r="192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  <c r="AA192" s="184"/>
    </row>
    <row r="193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  <c r="AA193" s="184"/>
    </row>
    <row r="194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  <c r="AA194" s="184"/>
    </row>
    <row r="195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  <c r="AA195" s="184"/>
    </row>
    <row r="19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  <c r="AA196" s="184"/>
    </row>
    <row r="197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  <c r="AA197" s="184"/>
    </row>
    <row r="198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  <c r="AA198" s="184"/>
    </row>
    <row r="199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  <c r="AA199" s="184"/>
    </row>
    <row r="200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  <c r="AA200" s="184"/>
    </row>
    <row r="201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  <c r="AA201" s="184"/>
    </row>
    <row r="202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  <c r="AA202" s="184"/>
    </row>
    <row r="203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  <c r="AA203" s="184"/>
    </row>
    <row r="204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  <c r="AA204" s="184"/>
    </row>
    <row r="205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  <c r="AA205" s="184"/>
    </row>
    <row r="20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  <c r="AA206" s="184"/>
    </row>
    <row r="207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  <c r="AA207" s="184"/>
    </row>
    <row r="208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  <c r="AA208" s="184"/>
    </row>
    <row r="209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  <c r="AA209" s="184"/>
    </row>
    <row r="210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  <c r="AA210" s="184"/>
    </row>
    <row r="211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  <c r="AA211" s="184"/>
    </row>
    <row r="212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  <c r="AA212" s="184"/>
    </row>
    <row r="213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  <c r="AA213" s="184"/>
    </row>
    <row r="214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  <c r="AA214" s="184"/>
    </row>
    <row r="215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  <c r="AA215" s="184"/>
    </row>
    <row r="21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  <c r="AA216" s="184"/>
    </row>
    <row r="217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  <c r="AA217" s="184"/>
    </row>
    <row r="218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  <c r="AA218" s="184"/>
    </row>
    <row r="219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  <c r="AA219" s="184"/>
    </row>
    <row r="220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  <c r="AA220" s="184"/>
    </row>
    <row r="221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  <c r="AA221" s="184"/>
    </row>
    <row r="222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  <c r="AA222" s="184"/>
    </row>
    <row r="223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  <c r="AA223" s="184"/>
    </row>
    <row r="224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  <c r="AA224" s="184"/>
    </row>
    <row r="225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  <c r="AA225" s="184"/>
    </row>
    <row r="2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  <c r="AA226" s="184"/>
    </row>
    <row r="227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  <c r="AA227" s="184"/>
    </row>
    <row r="228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  <c r="AA228" s="184"/>
    </row>
    <row r="229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  <c r="AA229" s="184"/>
    </row>
    <row r="230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  <c r="AA230" s="184"/>
    </row>
    <row r="231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  <c r="AA231" s="184"/>
    </row>
    <row r="232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  <c r="AA232" s="184"/>
    </row>
    <row r="233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  <c r="AA233" s="184"/>
    </row>
    <row r="234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  <c r="AA234" s="184"/>
    </row>
    <row r="235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  <c r="AA235" s="184"/>
    </row>
    <row r="23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  <c r="AA236" s="184"/>
    </row>
    <row r="237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  <c r="AA237" s="184"/>
    </row>
    <row r="238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  <c r="AA238" s="184"/>
    </row>
    <row r="239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  <c r="AA239" s="184"/>
    </row>
    <row r="240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  <c r="AA240" s="184"/>
    </row>
    <row r="241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  <c r="AA241" s="184"/>
    </row>
    <row r="242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  <c r="AA242" s="184"/>
    </row>
    <row r="243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  <c r="AA243" s="184"/>
    </row>
    <row r="244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  <c r="AA244" s="184"/>
    </row>
    <row r="245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  <c r="AA245" s="184"/>
    </row>
    <row r="24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  <c r="AA246" s="184"/>
    </row>
    <row r="247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  <c r="AA247" s="184"/>
    </row>
    <row r="248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  <c r="AA248" s="184"/>
    </row>
    <row r="249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  <c r="AA249" s="184"/>
    </row>
    <row r="250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  <c r="AA250" s="184"/>
    </row>
    <row r="251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  <c r="AA251" s="184"/>
    </row>
    <row r="252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  <c r="AA252" s="184"/>
    </row>
    <row r="253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  <c r="AA253" s="184"/>
    </row>
    <row r="254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  <c r="AA254" s="184"/>
    </row>
    <row r="255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  <c r="AA255" s="184"/>
    </row>
    <row r="25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  <c r="AA256" s="184"/>
    </row>
    <row r="257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  <c r="AA257" s="184"/>
    </row>
    <row r="258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  <c r="AA258" s="184"/>
    </row>
    <row r="259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  <c r="AA259" s="184"/>
    </row>
    <row r="260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  <c r="AA260" s="184"/>
    </row>
    <row r="261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  <c r="AA261" s="184"/>
    </row>
    <row r="262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  <c r="AA262" s="184"/>
    </row>
    <row r="263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  <c r="AA263" s="184"/>
    </row>
    <row r="264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  <c r="AA264" s="184"/>
    </row>
    <row r="265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  <c r="AA265" s="184"/>
    </row>
    <row r="26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  <c r="AA266" s="184"/>
    </row>
    <row r="267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  <c r="AA267" s="184"/>
    </row>
    <row r="268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  <c r="AA268" s="184"/>
    </row>
    <row r="269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  <c r="AA269" s="184"/>
    </row>
    <row r="270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  <c r="AA270" s="184"/>
    </row>
    <row r="271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  <c r="AA271" s="184"/>
    </row>
    <row r="272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  <c r="AA272" s="184"/>
    </row>
    <row r="273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  <c r="AA273" s="184"/>
    </row>
    <row r="274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  <c r="AA274" s="184"/>
    </row>
    <row r="275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  <c r="AA275" s="184"/>
    </row>
    <row r="276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  <c r="AA276" s="184"/>
    </row>
    <row r="277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  <c r="AA277" s="184"/>
    </row>
    <row r="278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  <c r="AA278" s="184"/>
    </row>
    <row r="279">
      <c r="A279" s="184"/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  <c r="AA279" s="184"/>
    </row>
    <row r="280">
      <c r="A280" s="184"/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  <c r="AA280" s="184"/>
    </row>
    <row r="281">
      <c r="A281" s="184"/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  <c r="AA281" s="184"/>
    </row>
    <row r="282">
      <c r="A282" s="184"/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  <c r="AA282" s="184"/>
    </row>
    <row r="283">
      <c r="A283" s="184"/>
      <c r="B283" s="184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  <c r="AA283" s="184"/>
    </row>
    <row r="284">
      <c r="A284" s="184"/>
      <c r="B284" s="184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  <c r="AA284" s="184"/>
    </row>
    <row r="285">
      <c r="A285" s="184"/>
      <c r="B285" s="184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  <c r="AA285" s="184"/>
    </row>
    <row r="286">
      <c r="A286" s="184"/>
      <c r="B286" s="184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  <c r="AA286" s="184"/>
    </row>
    <row r="287">
      <c r="A287" s="184"/>
      <c r="B287" s="184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  <c r="AA287" s="184"/>
    </row>
    <row r="288">
      <c r="A288" s="184"/>
      <c r="B288" s="184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  <c r="AA288" s="184"/>
    </row>
    <row r="289">
      <c r="A289" s="184"/>
      <c r="B289" s="184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  <c r="AA289" s="184"/>
    </row>
    <row r="290">
      <c r="A290" s="184"/>
      <c r="B290" s="184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  <c r="AA290" s="184"/>
    </row>
    <row r="291">
      <c r="A291" s="184"/>
      <c r="B291" s="184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  <c r="AA291" s="184"/>
    </row>
    <row r="292">
      <c r="A292" s="184"/>
      <c r="B292" s="184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  <c r="AA292" s="184"/>
    </row>
    <row r="293">
      <c r="A293" s="184"/>
      <c r="B293" s="184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  <c r="AA293" s="184"/>
    </row>
    <row r="294">
      <c r="A294" s="184"/>
      <c r="B294" s="184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  <c r="AA294" s="184"/>
    </row>
    <row r="295">
      <c r="A295" s="184"/>
      <c r="B295" s="184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  <c r="AA295" s="184"/>
    </row>
    <row r="296">
      <c r="A296" s="184"/>
      <c r="B296" s="184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  <c r="AA296" s="184"/>
    </row>
    <row r="297">
      <c r="A297" s="184"/>
      <c r="B297" s="184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  <c r="AA297" s="184"/>
    </row>
    <row r="298">
      <c r="A298" s="184"/>
      <c r="B298" s="184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  <c r="AA298" s="184"/>
    </row>
    <row r="299">
      <c r="A299" s="184"/>
      <c r="B299" s="184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  <c r="AA299" s="184"/>
    </row>
    <row r="300">
      <c r="A300" s="184"/>
      <c r="B300" s="184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  <c r="AA300" s="184"/>
    </row>
    <row r="301">
      <c r="A301" s="184"/>
      <c r="B301" s="184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  <c r="AA301" s="184"/>
    </row>
    <row r="302">
      <c r="A302" s="184"/>
      <c r="B302" s="184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  <c r="AA302" s="184"/>
    </row>
    <row r="303">
      <c r="A303" s="184"/>
      <c r="B303" s="184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  <c r="AA303" s="184"/>
    </row>
    <row r="304">
      <c r="A304" s="184"/>
      <c r="B304" s="184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  <c r="AA304" s="184"/>
    </row>
    <row r="305">
      <c r="A305" s="184"/>
      <c r="B305" s="184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  <c r="AA305" s="184"/>
    </row>
    <row r="306">
      <c r="A306" s="184"/>
      <c r="B306" s="184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  <c r="AA306" s="184"/>
    </row>
    <row r="307">
      <c r="A307" s="184"/>
      <c r="B307" s="184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  <c r="AA307" s="184"/>
    </row>
    <row r="308">
      <c r="A308" s="184"/>
      <c r="B308" s="184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  <c r="AA308" s="184"/>
    </row>
    <row r="309">
      <c r="A309" s="184"/>
      <c r="B309" s="184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  <c r="AA309" s="184"/>
    </row>
    <row r="310">
      <c r="A310" s="184"/>
      <c r="B310" s="184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  <c r="AA310" s="184"/>
    </row>
    <row r="311">
      <c r="A311" s="184"/>
      <c r="B311" s="184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  <c r="AA311" s="184"/>
    </row>
    <row r="312">
      <c r="A312" s="184"/>
      <c r="B312" s="184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  <c r="AA312" s="184"/>
    </row>
    <row r="313">
      <c r="A313" s="184"/>
      <c r="B313" s="184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  <c r="AA313" s="184"/>
    </row>
    <row r="314">
      <c r="A314" s="184"/>
      <c r="B314" s="184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  <c r="AA314" s="184"/>
    </row>
    <row r="315">
      <c r="A315" s="184"/>
      <c r="B315" s="184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  <c r="AA315" s="184"/>
    </row>
    <row r="316">
      <c r="A316" s="184"/>
      <c r="B316" s="184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  <c r="AA316" s="184"/>
    </row>
    <row r="317">
      <c r="A317" s="184"/>
      <c r="B317" s="184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  <c r="AA317" s="184"/>
    </row>
    <row r="318">
      <c r="A318" s="184"/>
      <c r="B318" s="184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  <c r="AA318" s="184"/>
    </row>
    <row r="319">
      <c r="A319" s="184"/>
      <c r="B319" s="184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  <c r="AA319" s="184"/>
    </row>
    <row r="320">
      <c r="A320" s="184"/>
      <c r="B320" s="184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  <c r="AA320" s="184"/>
    </row>
    <row r="321">
      <c r="A321" s="184"/>
      <c r="B321" s="184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  <c r="AA321" s="184"/>
    </row>
    <row r="322">
      <c r="A322" s="184"/>
      <c r="B322" s="184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  <c r="AA322" s="184"/>
    </row>
    <row r="323">
      <c r="A323" s="184"/>
      <c r="B323" s="184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  <c r="AA323" s="184"/>
    </row>
    <row r="324">
      <c r="A324" s="184"/>
      <c r="B324" s="184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  <c r="AA324" s="184"/>
    </row>
    <row r="325">
      <c r="A325" s="184"/>
      <c r="B325" s="184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  <c r="AA325" s="184"/>
    </row>
    <row r="326">
      <c r="A326" s="184"/>
      <c r="B326" s="184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  <c r="AA326" s="184"/>
    </row>
    <row r="327">
      <c r="A327" s="184"/>
      <c r="B327" s="184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  <c r="AA327" s="184"/>
    </row>
    <row r="328">
      <c r="A328" s="184"/>
      <c r="B328" s="184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  <c r="AA328" s="184"/>
    </row>
    <row r="329">
      <c r="A329" s="184"/>
      <c r="B329" s="184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  <c r="AA329" s="184"/>
    </row>
    <row r="330">
      <c r="A330" s="184"/>
      <c r="B330" s="184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  <c r="AA330" s="184"/>
    </row>
    <row r="331">
      <c r="A331" s="184"/>
      <c r="B331" s="184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  <c r="AA331" s="184"/>
    </row>
    <row r="332">
      <c r="A332" s="184"/>
      <c r="B332" s="184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  <c r="AA332" s="184"/>
    </row>
    <row r="333">
      <c r="A333" s="184"/>
      <c r="B333" s="184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  <c r="AA333" s="184"/>
    </row>
    <row r="334">
      <c r="A334" s="184"/>
      <c r="B334" s="184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  <c r="AA334" s="184"/>
    </row>
    <row r="335">
      <c r="A335" s="184"/>
      <c r="B335" s="184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  <c r="AA335" s="184"/>
    </row>
    <row r="336">
      <c r="A336" s="184"/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  <c r="AA336" s="184"/>
    </row>
    <row r="337">
      <c r="A337" s="184"/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  <c r="AA337" s="184"/>
    </row>
    <row r="338">
      <c r="A338" s="184"/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  <c r="AA338" s="184"/>
    </row>
    <row r="339">
      <c r="A339" s="184"/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  <c r="AA339" s="184"/>
    </row>
    <row r="340">
      <c r="A340" s="184"/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  <c r="AA340" s="184"/>
    </row>
    <row r="341">
      <c r="A341" s="184"/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  <c r="AA341" s="184"/>
    </row>
    <row r="342">
      <c r="A342" s="184"/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  <c r="AA342" s="184"/>
    </row>
    <row r="343">
      <c r="A343" s="184"/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  <c r="AA343" s="184"/>
    </row>
    <row r="344">
      <c r="A344" s="184"/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  <c r="AA344" s="184"/>
    </row>
    <row r="345">
      <c r="A345" s="184"/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  <c r="AA345" s="184"/>
    </row>
    <row r="346">
      <c r="A346" s="184"/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  <c r="AA346" s="184"/>
    </row>
    <row r="347">
      <c r="A347" s="184"/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  <c r="AA347" s="184"/>
    </row>
    <row r="348">
      <c r="A348" s="184"/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  <c r="AA348" s="184"/>
    </row>
    <row r="349">
      <c r="A349" s="184"/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  <c r="AA349" s="184"/>
    </row>
    <row r="350">
      <c r="A350" s="184"/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  <c r="AA350" s="184"/>
    </row>
    <row r="351">
      <c r="A351" s="184"/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  <c r="AA351" s="184"/>
    </row>
    <row r="352">
      <c r="A352" s="184"/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  <c r="AA352" s="184"/>
    </row>
    <row r="353">
      <c r="A353" s="184"/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  <c r="AA353" s="184"/>
    </row>
    <row r="354">
      <c r="A354" s="184"/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  <c r="AA354" s="184"/>
    </row>
    <row r="355">
      <c r="A355" s="184"/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  <c r="AA355" s="184"/>
    </row>
    <row r="356">
      <c r="A356" s="184"/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  <c r="AA356" s="184"/>
    </row>
    <row r="357">
      <c r="A357" s="184"/>
      <c r="B357" s="184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  <c r="AA357" s="184"/>
    </row>
    <row r="358">
      <c r="A358" s="184"/>
      <c r="B358" s="184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  <c r="AA358" s="184"/>
    </row>
    <row r="359">
      <c r="A359" s="184"/>
      <c r="B359" s="184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  <c r="AA359" s="184"/>
    </row>
    <row r="360">
      <c r="A360" s="184"/>
      <c r="B360" s="184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  <c r="AA360" s="184"/>
    </row>
    <row r="361">
      <c r="A361" s="184"/>
      <c r="B361" s="184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  <c r="AA361" s="184"/>
    </row>
    <row r="362">
      <c r="A362" s="184"/>
      <c r="B362" s="184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  <c r="AA362" s="184"/>
    </row>
    <row r="363">
      <c r="A363" s="184"/>
      <c r="B363" s="184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  <c r="AA363" s="184"/>
    </row>
    <row r="364">
      <c r="A364" s="184"/>
      <c r="B364" s="184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  <c r="AA364" s="184"/>
    </row>
    <row r="365">
      <c r="A365" s="184"/>
      <c r="B365" s="184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  <c r="AA365" s="184"/>
    </row>
    <row r="366">
      <c r="A366" s="184"/>
      <c r="B366" s="184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  <c r="AA366" s="184"/>
    </row>
    <row r="367">
      <c r="A367" s="184"/>
      <c r="B367" s="184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  <c r="AA367" s="184"/>
    </row>
    <row r="368">
      <c r="A368" s="184"/>
      <c r="B368" s="184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  <c r="AA368" s="184"/>
    </row>
    <row r="369">
      <c r="A369" s="184"/>
      <c r="B369" s="184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  <c r="AA369" s="184"/>
    </row>
    <row r="370">
      <c r="A370" s="184"/>
      <c r="B370" s="184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  <c r="AA370" s="184"/>
    </row>
    <row r="371">
      <c r="A371" s="184"/>
      <c r="B371" s="184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  <c r="AA371" s="184"/>
    </row>
    <row r="372">
      <c r="A372" s="184"/>
      <c r="B372" s="184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  <c r="AA372" s="184"/>
    </row>
    <row r="373">
      <c r="A373" s="184"/>
      <c r="B373" s="184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  <c r="AA373" s="184"/>
    </row>
    <row r="374">
      <c r="A374" s="184"/>
      <c r="B374" s="184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  <c r="AA374" s="184"/>
    </row>
    <row r="375">
      <c r="A375" s="184"/>
      <c r="B375" s="184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  <c r="AA375" s="184"/>
    </row>
    <row r="376">
      <c r="A376" s="184"/>
      <c r="B376" s="184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  <c r="AA376" s="184"/>
    </row>
    <row r="377">
      <c r="A377" s="184"/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  <c r="AA377" s="184"/>
    </row>
    <row r="378">
      <c r="A378" s="184"/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  <c r="AA378" s="184"/>
    </row>
    <row r="379">
      <c r="A379" s="184"/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  <c r="AA379" s="184"/>
    </row>
    <row r="380">
      <c r="A380" s="184"/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  <c r="AA380" s="184"/>
    </row>
    <row r="381">
      <c r="A381" s="184"/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  <c r="AA381" s="184"/>
    </row>
    <row r="382">
      <c r="A382" s="184"/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  <c r="AA382" s="184"/>
    </row>
    <row r="383">
      <c r="A383" s="184"/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  <c r="AA383" s="184"/>
    </row>
    <row r="384">
      <c r="A384" s="184"/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  <c r="AA384" s="184"/>
    </row>
    <row r="385">
      <c r="A385" s="184"/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  <c r="AA385" s="184"/>
    </row>
    <row r="386">
      <c r="A386" s="184"/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  <c r="AA386" s="184"/>
    </row>
    <row r="387">
      <c r="A387" s="184"/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  <c r="AA387" s="184"/>
    </row>
    <row r="388">
      <c r="A388" s="184"/>
      <c r="B388" s="184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  <c r="AA388" s="184"/>
    </row>
    <row r="389">
      <c r="A389" s="184"/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  <c r="AA389" s="184"/>
    </row>
    <row r="390">
      <c r="A390" s="184"/>
      <c r="B390" s="184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  <c r="AA390" s="184"/>
    </row>
    <row r="391">
      <c r="A391" s="184"/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  <c r="AA391" s="184"/>
    </row>
    <row r="392">
      <c r="A392" s="184"/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  <c r="AA392" s="184"/>
    </row>
    <row r="393">
      <c r="A393" s="184"/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  <c r="AA393" s="184"/>
    </row>
    <row r="394">
      <c r="A394" s="184"/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  <c r="AA394" s="184"/>
    </row>
    <row r="395">
      <c r="A395" s="184"/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  <c r="AA395" s="184"/>
    </row>
    <row r="396">
      <c r="A396" s="184"/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  <c r="AA396" s="184"/>
    </row>
    <row r="397">
      <c r="A397" s="184"/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  <c r="AA397" s="184"/>
    </row>
    <row r="398">
      <c r="A398" s="184"/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  <c r="AA398" s="184"/>
    </row>
    <row r="399">
      <c r="A399" s="184"/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  <c r="AA399" s="184"/>
    </row>
    <row r="400">
      <c r="A400" s="184"/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  <c r="AA400" s="184"/>
    </row>
    <row r="401">
      <c r="A401" s="184"/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  <c r="AA401" s="184"/>
    </row>
    <row r="402">
      <c r="A402" s="184"/>
      <c r="B402" s="184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  <c r="AA402" s="184"/>
    </row>
    <row r="403">
      <c r="A403" s="184"/>
      <c r="B403" s="184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  <c r="AA403" s="184"/>
    </row>
    <row r="404">
      <c r="A404" s="184"/>
      <c r="B404" s="184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  <c r="AA404" s="184"/>
    </row>
    <row r="405">
      <c r="A405" s="184"/>
      <c r="B405" s="184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  <c r="AA405" s="184"/>
    </row>
    <row r="406">
      <c r="A406" s="184"/>
      <c r="B406" s="184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  <c r="AA406" s="184"/>
    </row>
    <row r="407">
      <c r="A407" s="184"/>
      <c r="B407" s="184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  <c r="AA407" s="184"/>
    </row>
    <row r="408">
      <c r="A408" s="184"/>
      <c r="B408" s="184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  <c r="AA408" s="184"/>
    </row>
    <row r="409">
      <c r="A409" s="184"/>
      <c r="B409" s="184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  <c r="AA409" s="184"/>
    </row>
    <row r="410">
      <c r="A410" s="184"/>
      <c r="B410" s="184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  <c r="AA410" s="184"/>
    </row>
    <row r="411">
      <c r="A411" s="184"/>
      <c r="B411" s="184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  <c r="AA411" s="184"/>
    </row>
    <row r="412">
      <c r="A412" s="184"/>
      <c r="B412" s="184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  <c r="AA412" s="184"/>
    </row>
    <row r="413">
      <c r="A413" s="184"/>
      <c r="B413" s="184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  <c r="AA413" s="184"/>
    </row>
    <row r="414">
      <c r="A414" s="184"/>
      <c r="B414" s="184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  <c r="AA414" s="184"/>
    </row>
    <row r="415">
      <c r="A415" s="184"/>
      <c r="B415" s="184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  <c r="AA415" s="184"/>
    </row>
    <row r="416">
      <c r="A416" s="184"/>
      <c r="B416" s="184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  <c r="AA416" s="184"/>
    </row>
    <row r="417">
      <c r="A417" s="184"/>
      <c r="B417" s="184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  <c r="AA417" s="184"/>
    </row>
    <row r="418">
      <c r="A418" s="184"/>
      <c r="B418" s="184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  <c r="AA418" s="184"/>
    </row>
    <row r="419">
      <c r="A419" s="184"/>
      <c r="B419" s="184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  <c r="AA419" s="184"/>
    </row>
    <row r="420">
      <c r="A420" s="184"/>
      <c r="B420" s="184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  <c r="AA420" s="184"/>
    </row>
    <row r="421">
      <c r="A421" s="184"/>
      <c r="B421" s="184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  <c r="AA421" s="184"/>
    </row>
    <row r="422">
      <c r="A422" s="184"/>
      <c r="B422" s="184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  <c r="AA422" s="184"/>
    </row>
    <row r="423">
      <c r="A423" s="184"/>
      <c r="B423" s="184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  <c r="AA423" s="184"/>
    </row>
    <row r="424">
      <c r="A424" s="184"/>
      <c r="B424" s="184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  <c r="AA424" s="184"/>
    </row>
    <row r="425">
      <c r="A425" s="184"/>
      <c r="B425" s="184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  <c r="AA425" s="184"/>
    </row>
    <row r="426">
      <c r="A426" s="184"/>
      <c r="B426" s="184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  <c r="AA426" s="184"/>
    </row>
    <row r="427">
      <c r="A427" s="184"/>
      <c r="B427" s="184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  <c r="AA427" s="184"/>
    </row>
    <row r="428">
      <c r="A428" s="184"/>
      <c r="B428" s="184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  <c r="AA428" s="184"/>
    </row>
    <row r="429">
      <c r="A429" s="184"/>
      <c r="B429" s="184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  <c r="AA429" s="184"/>
    </row>
    <row r="430">
      <c r="A430" s="184"/>
      <c r="B430" s="184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  <c r="AA430" s="184"/>
    </row>
    <row r="431">
      <c r="A431" s="184"/>
      <c r="B431" s="184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  <c r="AA431" s="184"/>
    </row>
    <row r="432">
      <c r="A432" s="184"/>
      <c r="B432" s="184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  <c r="AA432" s="184"/>
    </row>
    <row r="433">
      <c r="A433" s="184"/>
      <c r="B433" s="184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  <c r="AA433" s="184"/>
    </row>
    <row r="434">
      <c r="A434" s="184"/>
      <c r="B434" s="184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  <c r="AA434" s="184"/>
    </row>
    <row r="435">
      <c r="A435" s="184"/>
      <c r="B435" s="184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  <c r="AA435" s="184"/>
    </row>
    <row r="436">
      <c r="A436" s="184"/>
      <c r="B436" s="184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  <c r="AA436" s="184"/>
    </row>
    <row r="437">
      <c r="A437" s="184"/>
      <c r="B437" s="184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  <c r="AA437" s="184"/>
    </row>
    <row r="438">
      <c r="A438" s="184"/>
      <c r="B438" s="184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  <c r="AA438" s="184"/>
    </row>
    <row r="439">
      <c r="A439" s="184"/>
      <c r="B439" s="184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  <c r="AA439" s="184"/>
    </row>
    <row r="440">
      <c r="A440" s="184"/>
      <c r="B440" s="184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  <c r="AA440" s="184"/>
    </row>
    <row r="441">
      <c r="A441" s="184"/>
      <c r="B441" s="184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  <c r="AA441" s="184"/>
    </row>
    <row r="442">
      <c r="A442" s="184"/>
      <c r="B442" s="184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  <c r="AA442" s="184"/>
    </row>
    <row r="443">
      <c r="A443" s="184"/>
      <c r="B443" s="184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  <c r="AA443" s="184"/>
    </row>
    <row r="444">
      <c r="A444" s="184"/>
      <c r="B444" s="184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  <c r="AA444" s="184"/>
    </row>
    <row r="445">
      <c r="A445" s="184"/>
      <c r="B445" s="184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  <c r="AA445" s="184"/>
    </row>
    <row r="446">
      <c r="A446" s="184"/>
      <c r="B446" s="184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  <c r="AA446" s="184"/>
    </row>
    <row r="447">
      <c r="A447" s="184"/>
      <c r="B447" s="184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  <c r="AA447" s="184"/>
    </row>
    <row r="448">
      <c r="A448" s="184"/>
      <c r="B448" s="184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  <c r="AA448" s="184"/>
    </row>
    <row r="449">
      <c r="A449" s="184"/>
      <c r="B449" s="184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  <c r="AA449" s="184"/>
    </row>
    <row r="450">
      <c r="A450" s="184"/>
      <c r="B450" s="184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  <c r="AA450" s="184"/>
    </row>
    <row r="451">
      <c r="A451" s="184"/>
      <c r="B451" s="184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  <c r="AA451" s="184"/>
    </row>
    <row r="452">
      <c r="A452" s="184"/>
      <c r="B452" s="184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  <c r="AA452" s="184"/>
    </row>
    <row r="453">
      <c r="A453" s="184"/>
      <c r="B453" s="184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  <c r="AA453" s="184"/>
    </row>
    <row r="454">
      <c r="A454" s="184"/>
      <c r="B454" s="184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  <c r="AA454" s="184"/>
    </row>
    <row r="455">
      <c r="A455" s="184"/>
      <c r="B455" s="184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  <c r="AA455" s="184"/>
    </row>
    <row r="456">
      <c r="A456" s="184"/>
      <c r="B456" s="184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  <c r="AA456" s="184"/>
    </row>
    <row r="457">
      <c r="A457" s="184"/>
      <c r="B457" s="184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  <c r="AA457" s="184"/>
    </row>
    <row r="458">
      <c r="A458" s="184"/>
      <c r="B458" s="184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  <c r="AA458" s="184"/>
    </row>
    <row r="459">
      <c r="A459" s="184"/>
      <c r="B459" s="184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  <c r="AA459" s="184"/>
    </row>
    <row r="460">
      <c r="A460" s="184"/>
      <c r="B460" s="184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  <c r="AA460" s="184"/>
    </row>
    <row r="461">
      <c r="A461" s="184"/>
      <c r="B461" s="184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  <c r="AA461" s="184"/>
    </row>
    <row r="462">
      <c r="A462" s="184"/>
      <c r="B462" s="184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  <c r="AA462" s="184"/>
    </row>
    <row r="463">
      <c r="A463" s="184"/>
      <c r="B463" s="184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  <c r="AA463" s="184"/>
    </row>
    <row r="464">
      <c r="A464" s="184"/>
      <c r="B464" s="184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  <c r="AA464" s="184"/>
    </row>
    <row r="465">
      <c r="A465" s="184"/>
      <c r="B465" s="184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  <c r="AA465" s="184"/>
    </row>
    <row r="466">
      <c r="A466" s="184"/>
      <c r="B466" s="184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  <c r="AA466" s="184"/>
    </row>
    <row r="467">
      <c r="A467" s="184"/>
      <c r="B467" s="184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  <c r="AA467" s="184"/>
    </row>
    <row r="468">
      <c r="A468" s="184"/>
      <c r="B468" s="184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  <c r="AA468" s="184"/>
    </row>
    <row r="469">
      <c r="A469" s="184"/>
      <c r="B469" s="184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  <c r="AA469" s="184"/>
    </row>
    <row r="470">
      <c r="A470" s="184"/>
      <c r="B470" s="184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  <c r="AA470" s="184"/>
    </row>
    <row r="471">
      <c r="A471" s="184"/>
      <c r="B471" s="184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  <c r="AA471" s="184"/>
    </row>
    <row r="472">
      <c r="A472" s="184"/>
      <c r="B472" s="184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  <c r="AA472" s="184"/>
    </row>
    <row r="473">
      <c r="A473" s="184"/>
      <c r="B473" s="184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  <c r="AA473" s="184"/>
    </row>
    <row r="474">
      <c r="A474" s="184"/>
      <c r="B474" s="184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  <c r="AA474" s="184"/>
    </row>
    <row r="475">
      <c r="A475" s="184"/>
      <c r="B475" s="184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  <c r="AA475" s="184"/>
    </row>
    <row r="476">
      <c r="A476" s="184"/>
      <c r="B476" s="184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  <c r="AA476" s="184"/>
    </row>
    <row r="477">
      <c r="A477" s="184"/>
      <c r="B477" s="184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  <c r="AA477" s="184"/>
    </row>
    <row r="478">
      <c r="A478" s="184"/>
      <c r="B478" s="184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  <c r="AA478" s="184"/>
    </row>
    <row r="479">
      <c r="A479" s="184"/>
      <c r="B479" s="184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  <c r="AA479" s="184"/>
    </row>
    <row r="480">
      <c r="A480" s="184"/>
      <c r="B480" s="184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  <c r="AA480" s="184"/>
    </row>
    <row r="481">
      <c r="A481" s="184"/>
      <c r="B481" s="184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  <c r="AA481" s="184"/>
    </row>
    <row r="482">
      <c r="A482" s="184"/>
      <c r="B482" s="184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  <c r="AA482" s="184"/>
    </row>
    <row r="483">
      <c r="A483" s="184"/>
      <c r="B483" s="184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  <c r="AA483" s="184"/>
    </row>
    <row r="484">
      <c r="A484" s="184"/>
      <c r="B484" s="184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  <c r="AA484" s="184"/>
    </row>
    <row r="485">
      <c r="A485" s="184"/>
      <c r="B485" s="184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  <c r="Y485" s="184"/>
      <c r="Z485" s="184"/>
      <c r="AA485" s="184"/>
    </row>
    <row r="486">
      <c r="A486" s="184"/>
      <c r="B486" s="184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  <c r="Y486" s="184"/>
      <c r="Z486" s="184"/>
      <c r="AA486" s="184"/>
    </row>
    <row r="487">
      <c r="A487" s="184"/>
      <c r="B487" s="184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  <c r="Y487" s="184"/>
      <c r="Z487" s="184"/>
      <c r="AA487" s="184"/>
    </row>
    <row r="488">
      <c r="A488" s="184"/>
      <c r="B488" s="184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  <c r="Y488" s="184"/>
      <c r="Z488" s="184"/>
      <c r="AA488" s="184"/>
    </row>
    <row r="489">
      <c r="A489" s="184"/>
      <c r="B489" s="184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  <c r="Y489" s="184"/>
      <c r="Z489" s="184"/>
      <c r="AA489" s="184"/>
    </row>
    <row r="490">
      <c r="A490" s="184"/>
      <c r="B490" s="184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  <c r="Y490" s="184"/>
      <c r="Z490" s="184"/>
      <c r="AA490" s="184"/>
    </row>
    <row r="491">
      <c r="A491" s="184"/>
      <c r="B491" s="184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  <c r="Y491" s="184"/>
      <c r="Z491" s="184"/>
      <c r="AA491" s="184"/>
    </row>
    <row r="492">
      <c r="A492" s="184"/>
      <c r="B492" s="184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  <c r="Y492" s="184"/>
      <c r="Z492" s="184"/>
      <c r="AA492" s="184"/>
    </row>
    <row r="493">
      <c r="A493" s="184"/>
      <c r="B493" s="184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  <c r="Y493" s="184"/>
      <c r="Z493" s="184"/>
      <c r="AA493" s="184"/>
    </row>
    <row r="494">
      <c r="A494" s="184"/>
      <c r="B494" s="184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  <c r="Y494" s="184"/>
      <c r="Z494" s="184"/>
      <c r="AA494" s="184"/>
    </row>
    <row r="495">
      <c r="A495" s="184"/>
      <c r="B495" s="184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  <c r="Y495" s="184"/>
      <c r="Z495" s="184"/>
      <c r="AA495" s="184"/>
    </row>
    <row r="496">
      <c r="A496" s="184"/>
      <c r="B496" s="184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  <c r="Y496" s="184"/>
      <c r="Z496" s="184"/>
      <c r="AA496" s="184"/>
    </row>
    <row r="497">
      <c r="A497" s="184"/>
      <c r="B497" s="184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  <c r="Y497" s="184"/>
      <c r="Z497" s="184"/>
      <c r="AA497" s="184"/>
    </row>
    <row r="498">
      <c r="A498" s="184"/>
      <c r="B498" s="184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  <c r="Y498" s="184"/>
      <c r="Z498" s="184"/>
      <c r="AA498" s="184"/>
    </row>
    <row r="499">
      <c r="A499" s="184"/>
      <c r="B499" s="184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  <c r="Y499" s="184"/>
      <c r="Z499" s="184"/>
      <c r="AA499" s="184"/>
    </row>
    <row r="500">
      <c r="A500" s="184"/>
      <c r="B500" s="184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  <c r="Y500" s="184"/>
      <c r="Z500" s="184"/>
      <c r="AA500" s="184"/>
    </row>
    <row r="501">
      <c r="A501" s="184"/>
      <c r="B501" s="184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  <c r="Y501" s="184"/>
      <c r="Z501" s="184"/>
      <c r="AA501" s="184"/>
    </row>
    <row r="502">
      <c r="A502" s="184"/>
      <c r="B502" s="184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  <c r="AA502" s="184"/>
    </row>
    <row r="503">
      <c r="A503" s="184"/>
      <c r="B503" s="184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  <c r="Y503" s="184"/>
      <c r="Z503" s="184"/>
      <c r="AA503" s="184"/>
    </row>
    <row r="504">
      <c r="A504" s="184"/>
      <c r="B504" s="184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  <c r="Y504" s="184"/>
      <c r="Z504" s="184"/>
      <c r="AA504" s="184"/>
    </row>
    <row r="505">
      <c r="A505" s="184"/>
      <c r="B505" s="184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  <c r="Y505" s="184"/>
      <c r="Z505" s="184"/>
      <c r="AA505" s="184"/>
    </row>
    <row r="506">
      <c r="A506" s="184"/>
      <c r="B506" s="184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  <c r="Y506" s="184"/>
      <c r="Z506" s="184"/>
      <c r="AA506" s="184"/>
    </row>
    <row r="507">
      <c r="A507" s="184"/>
      <c r="B507" s="184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  <c r="Y507" s="184"/>
      <c r="Z507" s="184"/>
      <c r="AA507" s="184"/>
    </row>
    <row r="508">
      <c r="A508" s="184"/>
      <c r="B508" s="184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  <c r="Y508" s="184"/>
      <c r="Z508" s="184"/>
      <c r="AA508" s="184"/>
    </row>
    <row r="509">
      <c r="A509" s="184"/>
      <c r="B509" s="184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  <c r="Y509" s="184"/>
      <c r="Z509" s="184"/>
      <c r="AA509" s="184"/>
    </row>
    <row r="510">
      <c r="A510" s="184"/>
      <c r="B510" s="184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  <c r="Y510" s="184"/>
      <c r="Z510" s="184"/>
      <c r="AA510" s="184"/>
    </row>
    <row r="511">
      <c r="A511" s="184"/>
      <c r="B511" s="184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  <c r="Y511" s="184"/>
      <c r="Z511" s="184"/>
      <c r="AA511" s="184"/>
    </row>
    <row r="512">
      <c r="A512" s="184"/>
      <c r="B512" s="184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  <c r="Y512" s="184"/>
      <c r="Z512" s="184"/>
      <c r="AA512" s="184"/>
    </row>
    <row r="513">
      <c r="A513" s="184"/>
      <c r="B513" s="184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  <c r="Y513" s="184"/>
      <c r="Z513" s="184"/>
      <c r="AA513" s="184"/>
    </row>
    <row r="514">
      <c r="A514" s="184"/>
      <c r="B514" s="184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  <c r="Y514" s="184"/>
      <c r="Z514" s="184"/>
      <c r="AA514" s="184"/>
    </row>
    <row r="515">
      <c r="A515" s="184"/>
      <c r="B515" s="184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  <c r="Y515" s="184"/>
      <c r="Z515" s="184"/>
      <c r="AA515" s="184"/>
    </row>
    <row r="516">
      <c r="A516" s="184"/>
      <c r="B516" s="184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  <c r="Y516" s="184"/>
      <c r="Z516" s="184"/>
      <c r="AA516" s="184"/>
    </row>
    <row r="517">
      <c r="A517" s="184"/>
      <c r="B517" s="184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  <c r="AA517" s="184"/>
    </row>
    <row r="518">
      <c r="A518" s="184"/>
      <c r="B518" s="184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  <c r="Y518" s="184"/>
      <c r="Z518" s="184"/>
      <c r="AA518" s="184"/>
    </row>
    <row r="519">
      <c r="A519" s="184"/>
      <c r="B519" s="184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  <c r="AA519" s="184"/>
    </row>
    <row r="520">
      <c r="A520" s="184"/>
      <c r="B520" s="184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  <c r="Y520" s="184"/>
      <c r="Z520" s="184"/>
      <c r="AA520" s="184"/>
    </row>
    <row r="521">
      <c r="A521" s="184"/>
      <c r="B521" s="184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  <c r="Y521" s="184"/>
      <c r="Z521" s="184"/>
      <c r="AA521" s="184"/>
    </row>
    <row r="522">
      <c r="A522" s="184"/>
      <c r="B522" s="184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  <c r="AA522" s="184"/>
    </row>
    <row r="523">
      <c r="A523" s="184"/>
      <c r="B523" s="184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  <c r="AA523" s="184"/>
    </row>
    <row r="524">
      <c r="A524" s="184"/>
      <c r="B524" s="184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  <c r="AA524" s="184"/>
    </row>
    <row r="525">
      <c r="A525" s="184"/>
      <c r="B525" s="184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  <c r="AA525" s="184"/>
    </row>
    <row r="526">
      <c r="A526" s="184"/>
      <c r="B526" s="184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  <c r="Y526" s="184"/>
      <c r="Z526" s="184"/>
      <c r="AA526" s="184"/>
    </row>
    <row r="527">
      <c r="A527" s="184"/>
      <c r="B527" s="184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  <c r="Y527" s="184"/>
      <c r="Z527" s="184"/>
      <c r="AA527" s="184"/>
    </row>
    <row r="528">
      <c r="A528" s="184"/>
      <c r="B528" s="184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  <c r="Y528" s="184"/>
      <c r="Z528" s="184"/>
      <c r="AA528" s="184"/>
    </row>
    <row r="529">
      <c r="A529" s="184"/>
      <c r="B529" s="184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  <c r="AA529" s="184"/>
    </row>
    <row r="530">
      <c r="A530" s="184"/>
      <c r="B530" s="184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  <c r="Y530" s="184"/>
      <c r="Z530" s="184"/>
      <c r="AA530" s="184"/>
    </row>
    <row r="531">
      <c r="A531" s="184"/>
      <c r="B531" s="184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  <c r="AA531" s="184"/>
    </row>
    <row r="532">
      <c r="A532" s="184"/>
      <c r="B532" s="184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  <c r="AA532" s="184"/>
    </row>
    <row r="533">
      <c r="A533" s="184"/>
      <c r="B533" s="184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  <c r="AA533" s="184"/>
    </row>
    <row r="534">
      <c r="A534" s="184"/>
      <c r="B534" s="184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  <c r="Y534" s="184"/>
      <c r="Z534" s="184"/>
      <c r="AA534" s="184"/>
    </row>
    <row r="535">
      <c r="A535" s="184"/>
      <c r="B535" s="184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  <c r="AA535" s="184"/>
    </row>
    <row r="536">
      <c r="A536" s="184"/>
      <c r="B536" s="184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  <c r="Y536" s="184"/>
      <c r="Z536" s="184"/>
      <c r="AA536" s="184"/>
    </row>
    <row r="537">
      <c r="A537" s="184"/>
      <c r="B537" s="184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  <c r="Y537" s="184"/>
      <c r="Z537" s="184"/>
      <c r="AA537" s="184"/>
    </row>
    <row r="538">
      <c r="A538" s="184"/>
      <c r="B538" s="184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  <c r="AA538" s="184"/>
    </row>
    <row r="539">
      <c r="A539" s="184"/>
      <c r="B539" s="184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  <c r="AA539" s="184"/>
    </row>
    <row r="540">
      <c r="A540" s="184"/>
      <c r="B540" s="184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  <c r="AA540" s="184"/>
    </row>
    <row r="541">
      <c r="A541" s="184"/>
      <c r="B541" s="184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  <c r="Y541" s="184"/>
      <c r="Z541" s="184"/>
      <c r="AA541" s="184"/>
    </row>
    <row r="542">
      <c r="A542" s="184"/>
      <c r="B542" s="184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  <c r="AA542" s="184"/>
    </row>
    <row r="543">
      <c r="A543" s="184"/>
      <c r="B543" s="184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  <c r="Y543" s="184"/>
      <c r="Z543" s="184"/>
      <c r="AA543" s="184"/>
    </row>
    <row r="544">
      <c r="A544" s="184"/>
      <c r="B544" s="184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  <c r="Y544" s="184"/>
      <c r="Z544" s="184"/>
      <c r="AA544" s="184"/>
    </row>
    <row r="545">
      <c r="A545" s="184"/>
      <c r="B545" s="184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  <c r="AA545" s="184"/>
    </row>
    <row r="546">
      <c r="A546" s="184"/>
      <c r="B546" s="184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  <c r="AA546" s="184"/>
    </row>
    <row r="547">
      <c r="A547" s="184"/>
      <c r="B547" s="184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  <c r="AA547" s="184"/>
    </row>
    <row r="548">
      <c r="A548" s="184"/>
      <c r="B548" s="184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  <c r="Y548" s="184"/>
      <c r="Z548" s="184"/>
      <c r="AA548" s="184"/>
    </row>
    <row r="549">
      <c r="A549" s="184"/>
      <c r="B549" s="184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  <c r="Y549" s="184"/>
      <c r="Z549" s="184"/>
      <c r="AA549" s="184"/>
    </row>
    <row r="550">
      <c r="A550" s="184"/>
      <c r="B550" s="184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  <c r="AA550" s="184"/>
    </row>
    <row r="551">
      <c r="A551" s="184"/>
      <c r="B551" s="184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  <c r="Y551" s="184"/>
      <c r="Z551" s="184"/>
      <c r="AA551" s="184"/>
    </row>
    <row r="552">
      <c r="A552" s="184"/>
      <c r="B552" s="184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  <c r="AA552" s="184"/>
    </row>
    <row r="553">
      <c r="A553" s="184"/>
      <c r="B553" s="184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  <c r="Y553" s="184"/>
      <c r="Z553" s="184"/>
      <c r="AA553" s="184"/>
    </row>
    <row r="554">
      <c r="A554" s="184"/>
      <c r="B554" s="184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  <c r="AA554" s="184"/>
    </row>
    <row r="555">
      <c r="A555" s="184"/>
      <c r="B555" s="184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  <c r="AA555" s="184"/>
    </row>
    <row r="556">
      <c r="A556" s="184"/>
      <c r="B556" s="184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  <c r="AA556" s="184"/>
    </row>
    <row r="557">
      <c r="A557" s="184"/>
      <c r="B557" s="184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  <c r="Y557" s="184"/>
      <c r="Z557" s="184"/>
      <c r="AA557" s="184"/>
    </row>
    <row r="558">
      <c r="A558" s="184"/>
      <c r="B558" s="184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  <c r="Y558" s="184"/>
      <c r="Z558" s="184"/>
      <c r="AA558" s="184"/>
    </row>
    <row r="559">
      <c r="A559" s="184"/>
      <c r="B559" s="184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  <c r="AA559" s="184"/>
    </row>
    <row r="560">
      <c r="A560" s="184"/>
      <c r="B560" s="184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  <c r="AA560" s="184"/>
    </row>
    <row r="561">
      <c r="A561" s="184"/>
      <c r="B561" s="184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  <c r="Y561" s="184"/>
      <c r="Z561" s="184"/>
      <c r="AA561" s="184"/>
    </row>
    <row r="562">
      <c r="A562" s="184"/>
      <c r="B562" s="184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  <c r="AA562" s="184"/>
    </row>
    <row r="563">
      <c r="A563" s="184"/>
      <c r="B563" s="184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  <c r="AA563" s="184"/>
    </row>
    <row r="564">
      <c r="A564" s="184"/>
      <c r="B564" s="184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  <c r="AA564" s="184"/>
    </row>
    <row r="565">
      <c r="A565" s="184"/>
      <c r="B565" s="184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  <c r="AA565" s="184"/>
    </row>
    <row r="566">
      <c r="A566" s="184"/>
      <c r="B566" s="184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  <c r="AA566" s="184"/>
    </row>
    <row r="567">
      <c r="A567" s="184"/>
      <c r="B567" s="184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  <c r="AA567" s="184"/>
    </row>
    <row r="568">
      <c r="A568" s="184"/>
      <c r="B568" s="184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  <c r="AA568" s="184"/>
    </row>
    <row r="569">
      <c r="A569" s="184"/>
      <c r="B569" s="184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  <c r="AA569" s="184"/>
    </row>
    <row r="570">
      <c r="A570" s="184"/>
      <c r="B570" s="184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  <c r="AA570" s="184"/>
    </row>
    <row r="571">
      <c r="A571" s="184"/>
      <c r="B571" s="184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  <c r="AA571" s="184"/>
    </row>
    <row r="572">
      <c r="A572" s="184"/>
      <c r="B572" s="184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  <c r="AA572" s="184"/>
    </row>
    <row r="573">
      <c r="A573" s="184"/>
      <c r="B573" s="184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  <c r="AA573" s="184"/>
    </row>
    <row r="574">
      <c r="A574" s="184"/>
      <c r="B574" s="184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  <c r="AA574" s="184"/>
    </row>
    <row r="575">
      <c r="A575" s="184"/>
      <c r="B575" s="184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  <c r="AA575" s="184"/>
    </row>
    <row r="576">
      <c r="A576" s="184"/>
      <c r="B576" s="184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  <c r="AA576" s="184"/>
    </row>
    <row r="577">
      <c r="A577" s="184"/>
      <c r="B577" s="184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  <c r="Y577" s="184"/>
      <c r="Z577" s="184"/>
      <c r="AA577" s="184"/>
    </row>
    <row r="578">
      <c r="A578" s="184"/>
      <c r="B578" s="184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  <c r="AA578" s="184"/>
    </row>
    <row r="579">
      <c r="A579" s="184"/>
      <c r="B579" s="184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  <c r="AA579" s="184"/>
    </row>
    <row r="580">
      <c r="A580" s="184"/>
      <c r="B580" s="184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  <c r="AA580" s="184"/>
    </row>
    <row r="581">
      <c r="A581" s="184"/>
      <c r="B581" s="184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  <c r="AA581" s="184"/>
    </row>
    <row r="582">
      <c r="A582" s="184"/>
      <c r="B582" s="184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  <c r="AA582" s="184"/>
    </row>
    <row r="583">
      <c r="A583" s="184"/>
      <c r="B583" s="184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  <c r="AA583" s="184"/>
    </row>
    <row r="584">
      <c r="A584" s="184"/>
      <c r="B584" s="184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  <c r="AA584" s="184"/>
    </row>
    <row r="585">
      <c r="A585" s="184"/>
      <c r="B585" s="184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  <c r="AA585" s="184"/>
    </row>
    <row r="586">
      <c r="A586" s="184"/>
      <c r="B586" s="184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  <c r="AA586" s="184"/>
    </row>
    <row r="587">
      <c r="A587" s="184"/>
      <c r="B587" s="184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  <c r="Y587" s="184"/>
      <c r="Z587" s="184"/>
      <c r="AA587" s="184"/>
    </row>
    <row r="588">
      <c r="A588" s="184"/>
      <c r="B588" s="184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  <c r="AA588" s="184"/>
    </row>
    <row r="589">
      <c r="A589" s="184"/>
      <c r="B589" s="184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  <c r="AA589" s="184"/>
    </row>
    <row r="590">
      <c r="A590" s="184"/>
      <c r="B590" s="184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  <c r="Y590" s="184"/>
      <c r="Z590" s="184"/>
      <c r="AA590" s="184"/>
    </row>
    <row r="591">
      <c r="A591" s="184"/>
      <c r="B591" s="184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  <c r="AA591" s="184"/>
    </row>
    <row r="592">
      <c r="A592" s="184"/>
      <c r="B592" s="184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  <c r="AA592" s="184"/>
    </row>
    <row r="593">
      <c r="A593" s="184"/>
      <c r="B593" s="184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  <c r="AA593" s="184"/>
    </row>
    <row r="594">
      <c r="A594" s="184"/>
      <c r="B594" s="184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  <c r="Y594" s="184"/>
      <c r="Z594" s="184"/>
      <c r="AA594" s="184"/>
    </row>
    <row r="595">
      <c r="A595" s="184"/>
      <c r="B595" s="184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  <c r="Y595" s="184"/>
      <c r="Z595" s="184"/>
      <c r="AA595" s="184"/>
    </row>
    <row r="596">
      <c r="A596" s="184"/>
      <c r="B596" s="184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  <c r="Y596" s="184"/>
      <c r="Z596" s="184"/>
      <c r="AA596" s="184"/>
    </row>
    <row r="597">
      <c r="A597" s="184"/>
      <c r="B597" s="184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  <c r="Y597" s="184"/>
      <c r="Z597" s="184"/>
      <c r="AA597" s="184"/>
    </row>
    <row r="598">
      <c r="A598" s="184"/>
      <c r="B598" s="184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  <c r="Y598" s="184"/>
      <c r="Z598" s="184"/>
      <c r="AA598" s="184"/>
    </row>
    <row r="599">
      <c r="A599" s="184"/>
      <c r="B599" s="184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  <c r="AA599" s="184"/>
    </row>
    <row r="600">
      <c r="A600" s="184"/>
      <c r="B600" s="184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  <c r="AA600" s="184"/>
    </row>
    <row r="601">
      <c r="A601" s="184"/>
      <c r="B601" s="184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  <c r="AA601" s="184"/>
    </row>
    <row r="602">
      <c r="A602" s="184"/>
      <c r="B602" s="184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  <c r="Y602" s="184"/>
      <c r="Z602" s="184"/>
      <c r="AA602" s="184"/>
    </row>
    <row r="603">
      <c r="A603" s="184"/>
      <c r="B603" s="184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  <c r="AA603" s="184"/>
    </row>
    <row r="604">
      <c r="A604" s="184"/>
      <c r="B604" s="184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  <c r="AA604" s="184"/>
    </row>
    <row r="605">
      <c r="A605" s="184"/>
      <c r="B605" s="184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  <c r="AA605" s="184"/>
    </row>
    <row r="606">
      <c r="A606" s="184"/>
      <c r="B606" s="184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  <c r="AA606" s="184"/>
    </row>
    <row r="607">
      <c r="A607" s="184"/>
      <c r="B607" s="184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  <c r="AA607" s="184"/>
    </row>
    <row r="608">
      <c r="A608" s="184"/>
      <c r="B608" s="184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  <c r="Y608" s="184"/>
      <c r="Z608" s="184"/>
      <c r="AA608" s="184"/>
    </row>
    <row r="609">
      <c r="A609" s="184"/>
      <c r="B609" s="184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  <c r="AA609" s="184"/>
    </row>
    <row r="610">
      <c r="A610" s="184"/>
      <c r="B610" s="184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  <c r="AA610" s="184"/>
    </row>
    <row r="611">
      <c r="A611" s="184"/>
      <c r="B611" s="184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  <c r="Y611" s="184"/>
      <c r="Z611" s="184"/>
      <c r="AA611" s="184"/>
    </row>
    <row r="612">
      <c r="A612" s="184"/>
      <c r="B612" s="184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  <c r="AA612" s="184"/>
    </row>
    <row r="613">
      <c r="A613" s="184"/>
      <c r="B613" s="184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  <c r="AA613" s="184"/>
    </row>
    <row r="614">
      <c r="A614" s="184"/>
      <c r="B614" s="184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  <c r="AA614" s="184"/>
    </row>
    <row r="615">
      <c r="A615" s="184"/>
      <c r="B615" s="184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  <c r="AA615" s="184"/>
    </row>
    <row r="616">
      <c r="A616" s="184"/>
      <c r="B616" s="184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  <c r="AA616" s="184"/>
    </row>
    <row r="617">
      <c r="A617" s="184"/>
      <c r="B617" s="184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  <c r="AA617" s="184"/>
    </row>
    <row r="618">
      <c r="A618" s="184"/>
      <c r="B618" s="184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  <c r="AA618" s="184"/>
    </row>
    <row r="619">
      <c r="A619" s="184"/>
      <c r="B619" s="184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  <c r="AA619" s="184"/>
    </row>
    <row r="620">
      <c r="A620" s="184"/>
      <c r="B620" s="184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  <c r="AA620" s="184"/>
    </row>
    <row r="621">
      <c r="A621" s="184"/>
      <c r="B621" s="184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  <c r="AA621" s="184"/>
    </row>
    <row r="622">
      <c r="A622" s="184"/>
      <c r="B622" s="184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  <c r="AA622" s="184"/>
    </row>
    <row r="623">
      <c r="A623" s="184"/>
      <c r="B623" s="184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  <c r="AA623" s="184"/>
    </row>
    <row r="624">
      <c r="A624" s="184"/>
      <c r="B624" s="184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  <c r="AA624" s="184"/>
    </row>
    <row r="625">
      <c r="A625" s="184"/>
      <c r="B625" s="184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  <c r="AA625" s="184"/>
    </row>
    <row r="626">
      <c r="A626" s="184"/>
      <c r="B626" s="184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  <c r="AA626" s="184"/>
    </row>
    <row r="627">
      <c r="A627" s="184"/>
      <c r="B627" s="184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  <c r="AA627" s="184"/>
    </row>
    <row r="628">
      <c r="A628" s="184"/>
      <c r="B628" s="184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  <c r="AA628" s="184"/>
    </row>
    <row r="629">
      <c r="A629" s="184"/>
      <c r="B629" s="184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  <c r="AA629" s="184"/>
    </row>
    <row r="630">
      <c r="A630" s="184"/>
      <c r="B630" s="184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  <c r="Y630" s="184"/>
      <c r="Z630" s="184"/>
      <c r="AA630" s="184"/>
    </row>
    <row r="631">
      <c r="A631" s="184"/>
      <c r="B631" s="184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  <c r="Y631" s="184"/>
      <c r="Z631" s="184"/>
      <c r="AA631" s="184"/>
    </row>
    <row r="632">
      <c r="A632" s="184"/>
      <c r="B632" s="184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  <c r="AA632" s="184"/>
    </row>
    <row r="633">
      <c r="A633" s="184"/>
      <c r="B633" s="184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  <c r="Y633" s="184"/>
      <c r="Z633" s="184"/>
      <c r="AA633" s="184"/>
    </row>
    <row r="634">
      <c r="A634" s="184"/>
      <c r="B634" s="184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  <c r="Y634" s="184"/>
      <c r="Z634" s="184"/>
      <c r="AA634" s="184"/>
    </row>
    <row r="635">
      <c r="A635" s="184"/>
      <c r="B635" s="184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  <c r="Y635" s="184"/>
      <c r="Z635" s="184"/>
      <c r="AA635" s="184"/>
    </row>
    <row r="636">
      <c r="A636" s="184"/>
      <c r="B636" s="184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  <c r="Y636" s="184"/>
      <c r="Z636" s="184"/>
      <c r="AA636" s="184"/>
    </row>
    <row r="637">
      <c r="A637" s="184"/>
      <c r="B637" s="184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  <c r="Y637" s="184"/>
      <c r="Z637" s="184"/>
      <c r="AA637" s="184"/>
    </row>
    <row r="638">
      <c r="A638" s="184"/>
      <c r="B638" s="184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  <c r="Y638" s="184"/>
      <c r="Z638" s="184"/>
      <c r="AA638" s="184"/>
    </row>
    <row r="639">
      <c r="A639" s="184"/>
      <c r="B639" s="184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  <c r="Y639" s="184"/>
      <c r="Z639" s="184"/>
      <c r="AA639" s="184"/>
    </row>
    <row r="640">
      <c r="A640" s="184"/>
      <c r="B640" s="184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  <c r="Y640" s="184"/>
      <c r="Z640" s="184"/>
      <c r="AA640" s="184"/>
    </row>
    <row r="641">
      <c r="A641" s="184"/>
      <c r="B641" s="184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  <c r="Y641" s="184"/>
      <c r="Z641" s="184"/>
      <c r="AA641" s="184"/>
    </row>
    <row r="642">
      <c r="A642" s="184"/>
      <c r="B642" s="184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  <c r="Y642" s="184"/>
      <c r="Z642" s="184"/>
      <c r="AA642" s="184"/>
    </row>
    <row r="643">
      <c r="A643" s="184"/>
      <c r="B643" s="184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  <c r="Y643" s="184"/>
      <c r="Z643" s="184"/>
      <c r="AA643" s="184"/>
    </row>
    <row r="644">
      <c r="A644" s="184"/>
      <c r="B644" s="184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  <c r="AA644" s="184"/>
    </row>
    <row r="645">
      <c r="A645" s="184"/>
      <c r="B645" s="184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  <c r="AA645" s="184"/>
    </row>
    <row r="646">
      <c r="A646" s="184"/>
      <c r="B646" s="184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  <c r="AA646" s="184"/>
    </row>
    <row r="647">
      <c r="A647" s="184"/>
      <c r="B647" s="184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  <c r="AA647" s="184"/>
    </row>
    <row r="648">
      <c r="A648" s="184"/>
      <c r="B648" s="184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  <c r="AA648" s="184"/>
    </row>
    <row r="649">
      <c r="A649" s="184"/>
      <c r="B649" s="184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  <c r="AA649" s="184"/>
    </row>
    <row r="650">
      <c r="A650" s="184"/>
      <c r="B650" s="184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  <c r="AA650" s="184"/>
    </row>
    <row r="651">
      <c r="A651" s="184"/>
      <c r="B651" s="184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  <c r="AA651" s="184"/>
    </row>
    <row r="652">
      <c r="A652" s="184"/>
      <c r="B652" s="184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  <c r="AA652" s="184"/>
    </row>
    <row r="653">
      <c r="A653" s="184"/>
      <c r="B653" s="184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  <c r="AA653" s="184"/>
    </row>
    <row r="654">
      <c r="A654" s="184"/>
      <c r="B654" s="184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  <c r="AA654" s="184"/>
    </row>
    <row r="655">
      <c r="A655" s="184"/>
      <c r="B655" s="184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  <c r="AA655" s="184"/>
    </row>
    <row r="656">
      <c r="A656" s="184"/>
      <c r="B656" s="184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  <c r="AA656" s="184"/>
    </row>
    <row r="657">
      <c r="A657" s="184"/>
      <c r="B657" s="184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  <c r="AA657" s="184"/>
    </row>
    <row r="658">
      <c r="A658" s="184"/>
      <c r="B658" s="184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  <c r="AA658" s="184"/>
    </row>
    <row r="659">
      <c r="A659" s="184"/>
      <c r="B659" s="184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  <c r="AA659" s="184"/>
    </row>
    <row r="660">
      <c r="A660" s="184"/>
      <c r="B660" s="184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  <c r="AA660" s="184"/>
    </row>
    <row r="661">
      <c r="A661" s="184"/>
      <c r="B661" s="184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  <c r="AA661" s="184"/>
    </row>
    <row r="662">
      <c r="A662" s="184"/>
      <c r="B662" s="184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  <c r="AA662" s="184"/>
    </row>
    <row r="663">
      <c r="A663" s="184"/>
      <c r="B663" s="184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  <c r="AA663" s="184"/>
    </row>
    <row r="664">
      <c r="A664" s="184"/>
      <c r="B664" s="184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  <c r="AA664" s="184"/>
    </row>
    <row r="665">
      <c r="A665" s="184"/>
      <c r="B665" s="184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  <c r="AA665" s="184"/>
    </row>
    <row r="666">
      <c r="A666" s="184"/>
      <c r="B666" s="184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  <c r="AA666" s="184"/>
    </row>
    <row r="667">
      <c r="A667" s="184"/>
      <c r="B667" s="184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  <c r="AA667" s="184"/>
    </row>
    <row r="668">
      <c r="A668" s="184"/>
      <c r="B668" s="184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  <c r="AA668" s="184"/>
    </row>
    <row r="669">
      <c r="A669" s="184"/>
      <c r="B669" s="184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  <c r="AA669" s="184"/>
    </row>
    <row r="670">
      <c r="A670" s="184"/>
      <c r="B670" s="184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  <c r="AA670" s="184"/>
    </row>
    <row r="671">
      <c r="A671" s="184"/>
      <c r="B671" s="184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  <c r="AA671" s="184"/>
    </row>
    <row r="672">
      <c r="A672" s="184"/>
      <c r="B672" s="184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  <c r="AA672" s="184"/>
    </row>
    <row r="673">
      <c r="A673" s="184"/>
      <c r="B673" s="184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  <c r="AA673" s="184"/>
    </row>
    <row r="674">
      <c r="A674" s="184"/>
      <c r="B674" s="184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  <c r="AA674" s="184"/>
    </row>
    <row r="675">
      <c r="A675" s="184"/>
      <c r="B675" s="184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  <c r="AA675" s="184"/>
    </row>
    <row r="676">
      <c r="A676" s="184"/>
      <c r="B676" s="184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  <c r="AA676" s="184"/>
    </row>
    <row r="677">
      <c r="A677" s="184"/>
      <c r="B677" s="184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  <c r="AA677" s="184"/>
    </row>
    <row r="678">
      <c r="A678" s="184"/>
      <c r="B678" s="184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  <c r="AA678" s="184"/>
    </row>
    <row r="679">
      <c r="A679" s="184"/>
      <c r="B679" s="184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  <c r="AA679" s="184"/>
    </row>
    <row r="680">
      <c r="A680" s="184"/>
      <c r="B680" s="184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  <c r="AA680" s="184"/>
    </row>
    <row r="681">
      <c r="A681" s="184"/>
      <c r="B681" s="184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  <c r="AA681" s="184"/>
    </row>
    <row r="682">
      <c r="A682" s="184"/>
      <c r="B682" s="184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  <c r="AA682" s="184"/>
    </row>
    <row r="683">
      <c r="A683" s="184"/>
      <c r="B683" s="184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  <c r="AA683" s="184"/>
    </row>
    <row r="684">
      <c r="A684" s="184"/>
      <c r="B684" s="184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  <c r="AA684" s="184"/>
    </row>
    <row r="685">
      <c r="A685" s="184"/>
      <c r="B685" s="184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  <c r="AA685" s="184"/>
    </row>
    <row r="686">
      <c r="A686" s="184"/>
      <c r="B686" s="184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  <c r="AA686" s="184"/>
    </row>
    <row r="687">
      <c r="A687" s="184"/>
      <c r="B687" s="184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  <c r="AA687" s="184"/>
    </row>
    <row r="688">
      <c r="A688" s="184"/>
      <c r="B688" s="184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  <c r="AA688" s="184"/>
    </row>
    <row r="689">
      <c r="A689" s="184"/>
      <c r="B689" s="184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  <c r="AA689" s="184"/>
    </row>
    <row r="690">
      <c r="A690" s="184"/>
      <c r="B690" s="184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  <c r="AA690" s="184"/>
    </row>
    <row r="691">
      <c r="A691" s="184"/>
      <c r="B691" s="184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  <c r="AA691" s="184"/>
    </row>
    <row r="692">
      <c r="A692" s="184"/>
      <c r="B692" s="184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  <c r="AA692" s="184"/>
    </row>
    <row r="693">
      <c r="A693" s="184"/>
      <c r="B693" s="184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  <c r="AA693" s="184"/>
    </row>
    <row r="694">
      <c r="A694" s="184"/>
      <c r="B694" s="184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  <c r="AA694" s="184"/>
    </row>
    <row r="695">
      <c r="A695" s="184"/>
      <c r="B695" s="184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  <c r="AA695" s="184"/>
    </row>
    <row r="696">
      <c r="A696" s="184"/>
      <c r="B696" s="184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  <c r="AA696" s="184"/>
    </row>
    <row r="697">
      <c r="A697" s="184"/>
      <c r="B697" s="184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  <c r="AA697" s="184"/>
    </row>
    <row r="698">
      <c r="A698" s="184"/>
      <c r="B698" s="184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  <c r="AA698" s="184"/>
    </row>
    <row r="699">
      <c r="A699" s="184"/>
      <c r="B699" s="184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  <c r="AA699" s="184"/>
    </row>
    <row r="700">
      <c r="A700" s="184"/>
      <c r="B700" s="184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  <c r="AA700" s="184"/>
    </row>
    <row r="701">
      <c r="A701" s="184"/>
      <c r="B701" s="184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  <c r="AA701" s="184"/>
    </row>
    <row r="702">
      <c r="A702" s="184"/>
      <c r="B702" s="184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  <c r="AA702" s="184"/>
    </row>
    <row r="703">
      <c r="A703" s="184"/>
      <c r="B703" s="184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  <c r="AA703" s="184"/>
    </row>
    <row r="704">
      <c r="A704" s="184"/>
      <c r="B704" s="184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  <c r="AA704" s="184"/>
    </row>
    <row r="705">
      <c r="A705" s="184"/>
      <c r="B705" s="184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  <c r="AA705" s="184"/>
    </row>
    <row r="706">
      <c r="A706" s="184"/>
      <c r="B706" s="184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  <c r="AA706" s="184"/>
    </row>
    <row r="707">
      <c r="A707" s="184"/>
      <c r="B707" s="184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  <c r="AA707" s="184"/>
    </row>
    <row r="708">
      <c r="A708" s="184"/>
      <c r="B708" s="184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  <c r="AA708" s="184"/>
    </row>
    <row r="709">
      <c r="A709" s="184"/>
      <c r="B709" s="184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  <c r="AA709" s="184"/>
    </row>
    <row r="710">
      <c r="A710" s="184"/>
      <c r="B710" s="184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  <c r="AA710" s="184"/>
    </row>
    <row r="711">
      <c r="A711" s="184"/>
      <c r="B711" s="184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  <c r="AA711" s="184"/>
    </row>
    <row r="712">
      <c r="A712" s="184"/>
      <c r="B712" s="184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  <c r="AA712" s="184"/>
    </row>
    <row r="713">
      <c r="A713" s="184"/>
      <c r="B713" s="184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  <c r="AA713" s="184"/>
    </row>
    <row r="714">
      <c r="A714" s="184"/>
      <c r="B714" s="184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  <c r="AA714" s="184"/>
    </row>
    <row r="715">
      <c r="A715" s="184"/>
      <c r="B715" s="184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  <c r="AA715" s="184"/>
    </row>
    <row r="716">
      <c r="A716" s="184"/>
      <c r="B716" s="184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  <c r="AA716" s="184"/>
    </row>
    <row r="717">
      <c r="A717" s="184"/>
      <c r="B717" s="184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  <c r="AA717" s="184"/>
    </row>
    <row r="718">
      <c r="A718" s="184"/>
      <c r="B718" s="184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  <c r="AA718" s="184"/>
    </row>
    <row r="719">
      <c r="A719" s="184"/>
      <c r="B719" s="184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  <c r="AA719" s="184"/>
    </row>
    <row r="720">
      <c r="A720" s="184"/>
      <c r="B720" s="184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  <c r="AA720" s="184"/>
    </row>
    <row r="721">
      <c r="A721" s="184"/>
      <c r="B721" s="184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  <c r="AA721" s="184"/>
    </row>
    <row r="722">
      <c r="A722" s="184"/>
      <c r="B722" s="184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  <c r="AA722" s="184"/>
    </row>
    <row r="723">
      <c r="A723" s="184"/>
      <c r="B723" s="184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  <c r="AA723" s="184"/>
    </row>
    <row r="724">
      <c r="A724" s="184"/>
      <c r="B724" s="184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  <c r="AA724" s="184"/>
    </row>
    <row r="725">
      <c r="A725" s="184"/>
      <c r="B725" s="184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  <c r="AA725" s="184"/>
    </row>
    <row r="726">
      <c r="A726" s="184"/>
      <c r="B726" s="184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  <c r="AA726" s="184"/>
    </row>
    <row r="727">
      <c r="A727" s="184"/>
      <c r="B727" s="184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  <c r="AA727" s="184"/>
    </row>
    <row r="728">
      <c r="A728" s="184"/>
      <c r="B728" s="184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  <c r="AA728" s="184"/>
    </row>
    <row r="729">
      <c r="A729" s="184"/>
      <c r="B729" s="184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  <c r="AA729" s="184"/>
    </row>
    <row r="730">
      <c r="A730" s="184"/>
      <c r="B730" s="184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  <c r="AA730" s="184"/>
    </row>
    <row r="731">
      <c r="A731" s="184"/>
      <c r="B731" s="184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  <c r="AA731" s="184"/>
    </row>
    <row r="732">
      <c r="A732" s="184"/>
      <c r="B732" s="184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  <c r="AA732" s="184"/>
    </row>
    <row r="733">
      <c r="A733" s="184"/>
      <c r="B733" s="184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  <c r="AA733" s="184"/>
    </row>
    <row r="734">
      <c r="A734" s="184"/>
      <c r="B734" s="184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  <c r="AA734" s="184"/>
    </row>
    <row r="735">
      <c r="A735" s="184"/>
      <c r="B735" s="184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  <c r="AA735" s="184"/>
    </row>
    <row r="736">
      <c r="A736" s="184"/>
      <c r="B736" s="184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  <c r="AA736" s="184"/>
    </row>
    <row r="737">
      <c r="A737" s="184"/>
      <c r="B737" s="184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  <c r="AA737" s="184"/>
    </row>
    <row r="738">
      <c r="A738" s="184"/>
      <c r="B738" s="184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  <c r="AA738" s="184"/>
    </row>
    <row r="739">
      <c r="A739" s="184"/>
      <c r="B739" s="184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  <c r="AA739" s="184"/>
    </row>
    <row r="740">
      <c r="A740" s="184"/>
      <c r="B740" s="184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  <c r="AA740" s="184"/>
    </row>
    <row r="741">
      <c r="A741" s="184"/>
      <c r="B741" s="184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  <c r="AA741" s="184"/>
    </row>
    <row r="742">
      <c r="A742" s="184"/>
      <c r="B742" s="184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  <c r="AA742" s="184"/>
    </row>
    <row r="743">
      <c r="A743" s="184"/>
      <c r="B743" s="184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  <c r="AA743" s="184"/>
    </row>
    <row r="744">
      <c r="A744" s="184"/>
      <c r="B744" s="184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  <c r="AA744" s="184"/>
    </row>
    <row r="745">
      <c r="A745" s="184"/>
      <c r="B745" s="184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  <c r="AA745" s="184"/>
    </row>
    <row r="746">
      <c r="A746" s="184"/>
      <c r="B746" s="184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  <c r="AA746" s="184"/>
    </row>
    <row r="747">
      <c r="A747" s="184"/>
      <c r="B747" s="184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  <c r="AA747" s="184"/>
    </row>
    <row r="748">
      <c r="A748" s="184"/>
      <c r="B748" s="184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  <c r="AA748" s="184"/>
    </row>
    <row r="749">
      <c r="A749" s="184"/>
      <c r="B749" s="184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  <c r="AA749" s="184"/>
    </row>
    <row r="750">
      <c r="A750" s="184"/>
      <c r="B750" s="184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  <c r="AA750" s="184"/>
    </row>
    <row r="751">
      <c r="A751" s="184"/>
      <c r="B751" s="184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  <c r="AA751" s="184"/>
    </row>
    <row r="752">
      <c r="A752" s="184"/>
      <c r="B752" s="184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  <c r="AA752" s="184"/>
    </row>
    <row r="753">
      <c r="A753" s="184"/>
      <c r="B753" s="184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  <c r="AA753" s="184"/>
    </row>
    <row r="754">
      <c r="A754" s="184"/>
      <c r="B754" s="184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  <c r="AA754" s="184"/>
    </row>
    <row r="755">
      <c r="A755" s="184"/>
      <c r="B755" s="184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  <c r="AA755" s="184"/>
    </row>
    <row r="756">
      <c r="A756" s="184"/>
      <c r="B756" s="184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  <c r="AA756" s="184"/>
    </row>
    <row r="757">
      <c r="A757" s="184"/>
      <c r="B757" s="184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  <c r="AA757" s="184"/>
    </row>
    <row r="758">
      <c r="A758" s="184"/>
      <c r="B758" s="184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  <c r="Y758" s="184"/>
      <c r="Z758" s="184"/>
      <c r="AA758" s="184"/>
    </row>
    <row r="759">
      <c r="A759" s="184"/>
      <c r="B759" s="184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  <c r="Y759" s="184"/>
      <c r="Z759" s="184"/>
      <c r="AA759" s="184"/>
    </row>
    <row r="760">
      <c r="A760" s="184"/>
      <c r="B760" s="184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  <c r="Y760" s="184"/>
      <c r="Z760" s="184"/>
      <c r="AA760" s="184"/>
    </row>
    <row r="761">
      <c r="A761" s="184"/>
      <c r="B761" s="184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  <c r="Y761" s="184"/>
      <c r="Z761" s="184"/>
      <c r="AA761" s="184"/>
    </row>
    <row r="762">
      <c r="A762" s="184"/>
      <c r="B762" s="184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  <c r="Y762" s="184"/>
      <c r="Z762" s="184"/>
      <c r="AA762" s="184"/>
    </row>
    <row r="763">
      <c r="A763" s="184"/>
      <c r="B763" s="184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  <c r="Y763" s="184"/>
      <c r="Z763" s="184"/>
      <c r="AA763" s="184"/>
    </row>
    <row r="764">
      <c r="A764" s="184"/>
      <c r="B764" s="184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  <c r="Y764" s="184"/>
      <c r="Z764" s="184"/>
      <c r="AA764" s="184"/>
    </row>
    <row r="765">
      <c r="A765" s="184"/>
      <c r="B765" s="184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  <c r="Y765" s="184"/>
      <c r="Z765" s="184"/>
      <c r="AA765" s="184"/>
    </row>
    <row r="766">
      <c r="A766" s="184"/>
      <c r="B766" s="184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  <c r="Y766" s="184"/>
      <c r="Z766" s="184"/>
      <c r="AA766" s="184"/>
    </row>
    <row r="767">
      <c r="A767" s="184"/>
      <c r="B767" s="184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  <c r="Y767" s="184"/>
      <c r="Z767" s="184"/>
      <c r="AA767" s="184"/>
    </row>
    <row r="768">
      <c r="A768" s="184"/>
      <c r="B768" s="184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  <c r="Y768" s="184"/>
      <c r="Z768" s="184"/>
      <c r="AA768" s="184"/>
    </row>
    <row r="769">
      <c r="A769" s="184"/>
      <c r="B769" s="184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  <c r="Y769" s="184"/>
      <c r="Z769" s="184"/>
      <c r="AA769" s="184"/>
    </row>
    <row r="770">
      <c r="A770" s="184"/>
      <c r="B770" s="184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  <c r="AA770" s="184"/>
    </row>
    <row r="771">
      <c r="A771" s="184"/>
      <c r="B771" s="184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  <c r="AA771" s="184"/>
    </row>
    <row r="772">
      <c r="A772" s="184"/>
      <c r="B772" s="184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  <c r="AA772" s="184"/>
    </row>
    <row r="773">
      <c r="A773" s="184"/>
      <c r="B773" s="184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  <c r="AA773" s="184"/>
    </row>
    <row r="774">
      <c r="A774" s="184"/>
      <c r="B774" s="184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  <c r="AA774" s="184"/>
    </row>
    <row r="775">
      <c r="A775" s="184"/>
      <c r="B775" s="184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  <c r="AA775" s="184"/>
    </row>
    <row r="776">
      <c r="A776" s="184"/>
      <c r="B776" s="184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  <c r="AA776" s="184"/>
    </row>
    <row r="777">
      <c r="A777" s="184"/>
      <c r="B777" s="184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  <c r="AA777" s="184"/>
    </row>
    <row r="778">
      <c r="A778" s="184"/>
      <c r="B778" s="184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  <c r="AA778" s="184"/>
    </row>
    <row r="779">
      <c r="A779" s="184"/>
      <c r="B779" s="184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  <c r="AA779" s="184"/>
    </row>
    <row r="780">
      <c r="A780" s="184"/>
      <c r="B780" s="184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  <c r="AA780" s="184"/>
    </row>
    <row r="781">
      <c r="A781" s="184"/>
      <c r="B781" s="184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  <c r="AA781" s="184"/>
    </row>
    <row r="782">
      <c r="A782" s="184"/>
      <c r="B782" s="184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  <c r="AA782" s="184"/>
    </row>
    <row r="783">
      <c r="A783" s="184"/>
      <c r="B783" s="184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  <c r="AA783" s="184"/>
    </row>
    <row r="784">
      <c r="A784" s="184"/>
      <c r="B784" s="184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  <c r="AA784" s="184"/>
    </row>
    <row r="785">
      <c r="A785" s="184"/>
      <c r="B785" s="184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  <c r="AA785" s="184"/>
    </row>
    <row r="786">
      <c r="A786" s="184"/>
      <c r="B786" s="184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  <c r="AA786" s="184"/>
    </row>
    <row r="787">
      <c r="A787" s="184"/>
      <c r="B787" s="184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  <c r="AA787" s="184"/>
    </row>
    <row r="788">
      <c r="A788" s="184"/>
      <c r="B788" s="184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  <c r="AA788" s="184"/>
    </row>
    <row r="789">
      <c r="A789" s="184"/>
      <c r="B789" s="184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  <c r="AA789" s="184"/>
    </row>
    <row r="790">
      <c r="A790" s="184"/>
      <c r="B790" s="184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  <c r="AA790" s="184"/>
    </row>
    <row r="791">
      <c r="A791" s="184"/>
      <c r="B791" s="184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  <c r="AA791" s="184"/>
    </row>
    <row r="792">
      <c r="A792" s="184"/>
      <c r="B792" s="184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  <c r="AA792" s="184"/>
    </row>
    <row r="793">
      <c r="A793" s="184"/>
      <c r="B793" s="184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  <c r="AA793" s="184"/>
    </row>
    <row r="794">
      <c r="A794" s="184"/>
      <c r="B794" s="184"/>
      <c r="C794" s="184"/>
      <c r="D794" s="184"/>
      <c r="E794" s="184"/>
      <c r="F794" s="184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  <c r="Y794" s="184"/>
      <c r="Z794" s="184"/>
      <c r="AA794" s="184"/>
    </row>
    <row r="795">
      <c r="A795" s="184"/>
      <c r="B795" s="184"/>
      <c r="C795" s="184"/>
      <c r="D795" s="184"/>
      <c r="E795" s="184"/>
      <c r="F795" s="184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  <c r="W795" s="184"/>
      <c r="X795" s="184"/>
      <c r="Y795" s="184"/>
      <c r="Z795" s="184"/>
      <c r="AA795" s="184"/>
    </row>
    <row r="796">
      <c r="A796" s="184"/>
      <c r="B796" s="184"/>
      <c r="C796" s="184"/>
      <c r="D796" s="184"/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  <c r="Y796" s="184"/>
      <c r="Z796" s="184"/>
      <c r="AA796" s="184"/>
    </row>
    <row r="797">
      <c r="A797" s="184"/>
      <c r="B797" s="184"/>
      <c r="C797" s="184"/>
      <c r="D797" s="184"/>
      <c r="E797" s="184"/>
      <c r="F797" s="184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  <c r="W797" s="184"/>
      <c r="X797" s="184"/>
      <c r="Y797" s="184"/>
      <c r="Z797" s="184"/>
      <c r="AA797" s="184"/>
    </row>
    <row r="798">
      <c r="A798" s="184"/>
      <c r="B798" s="184"/>
      <c r="C798" s="184"/>
      <c r="D798" s="184"/>
      <c r="E798" s="184"/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  <c r="Y798" s="184"/>
      <c r="Z798" s="184"/>
      <c r="AA798" s="184"/>
    </row>
    <row r="799">
      <c r="A799" s="184"/>
      <c r="B799" s="184"/>
      <c r="C799" s="184"/>
      <c r="D799" s="184"/>
      <c r="E799" s="184"/>
      <c r="F799" s="184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  <c r="W799" s="184"/>
      <c r="X799" s="184"/>
      <c r="Y799" s="184"/>
      <c r="Z799" s="184"/>
      <c r="AA799" s="184"/>
    </row>
    <row r="800">
      <c r="A800" s="184"/>
      <c r="B800" s="184"/>
      <c r="C800" s="184"/>
      <c r="D800" s="184"/>
      <c r="E800" s="184"/>
      <c r="F800" s="184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  <c r="W800" s="184"/>
      <c r="X800" s="184"/>
      <c r="Y800" s="184"/>
      <c r="Z800" s="184"/>
      <c r="AA800" s="184"/>
    </row>
    <row r="801">
      <c r="A801" s="184"/>
      <c r="B801" s="184"/>
      <c r="C801" s="184"/>
      <c r="D801" s="184"/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  <c r="W801" s="184"/>
      <c r="X801" s="184"/>
      <c r="Y801" s="184"/>
      <c r="Z801" s="184"/>
      <c r="AA801" s="184"/>
    </row>
    <row r="802">
      <c r="A802" s="184"/>
      <c r="B802" s="184"/>
      <c r="C802" s="184"/>
      <c r="D802" s="184"/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  <c r="Y802" s="184"/>
      <c r="Z802" s="184"/>
      <c r="AA802" s="184"/>
    </row>
    <row r="803">
      <c r="A803" s="184"/>
      <c r="B803" s="184"/>
      <c r="C803" s="184"/>
      <c r="D803" s="184"/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  <c r="Y803" s="184"/>
      <c r="Z803" s="184"/>
      <c r="AA803" s="184"/>
    </row>
    <row r="804">
      <c r="A804" s="184"/>
      <c r="B804" s="184"/>
      <c r="C804" s="184"/>
      <c r="D804" s="184"/>
      <c r="E804" s="184"/>
      <c r="F804" s="184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  <c r="W804" s="184"/>
      <c r="X804" s="184"/>
      <c r="Y804" s="184"/>
      <c r="Z804" s="184"/>
      <c r="AA804" s="184"/>
    </row>
    <row r="805">
      <c r="A805" s="184"/>
      <c r="B805" s="184"/>
      <c r="C805" s="184"/>
      <c r="D805" s="184"/>
      <c r="E805" s="184"/>
      <c r="F805" s="184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  <c r="W805" s="184"/>
      <c r="X805" s="184"/>
      <c r="Y805" s="184"/>
      <c r="Z805" s="184"/>
      <c r="AA805" s="184"/>
    </row>
    <row r="806">
      <c r="A806" s="184"/>
      <c r="B806" s="184"/>
      <c r="C806" s="184"/>
      <c r="D806" s="184"/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  <c r="Y806" s="184"/>
      <c r="Z806" s="184"/>
      <c r="AA806" s="184"/>
    </row>
    <row r="807">
      <c r="A807" s="184"/>
      <c r="B807" s="184"/>
      <c r="C807" s="184"/>
      <c r="D807" s="184"/>
      <c r="E807" s="184"/>
      <c r="F807" s="184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  <c r="W807" s="184"/>
      <c r="X807" s="184"/>
      <c r="Y807" s="184"/>
      <c r="Z807" s="184"/>
      <c r="AA807" s="184"/>
    </row>
    <row r="808">
      <c r="A808" s="184"/>
      <c r="B808" s="184"/>
      <c r="C808" s="184"/>
      <c r="D808" s="184"/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  <c r="Y808" s="184"/>
      <c r="Z808" s="184"/>
      <c r="AA808" s="184"/>
    </row>
    <row r="809">
      <c r="A809" s="184"/>
      <c r="B809" s="184"/>
      <c r="C809" s="184"/>
      <c r="D809" s="184"/>
      <c r="E809" s="184"/>
      <c r="F809" s="184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  <c r="W809" s="184"/>
      <c r="X809" s="184"/>
      <c r="Y809" s="184"/>
      <c r="Z809" s="184"/>
      <c r="AA809" s="184"/>
    </row>
    <row r="810">
      <c r="A810" s="184"/>
      <c r="B810" s="184"/>
      <c r="C810" s="184"/>
      <c r="D810" s="184"/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  <c r="Y810" s="184"/>
      <c r="Z810" s="184"/>
      <c r="AA810" s="184"/>
    </row>
    <row r="811">
      <c r="A811" s="184"/>
      <c r="B811" s="184"/>
      <c r="C811" s="184"/>
      <c r="D811" s="184"/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  <c r="Y811" s="184"/>
      <c r="Z811" s="184"/>
      <c r="AA811" s="184"/>
    </row>
    <row r="812">
      <c r="A812" s="184"/>
      <c r="B812" s="184"/>
      <c r="C812" s="184"/>
      <c r="D812" s="184"/>
      <c r="E812" s="184"/>
      <c r="F812" s="184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  <c r="Y812" s="184"/>
      <c r="Z812" s="184"/>
      <c r="AA812" s="184"/>
    </row>
    <row r="813">
      <c r="A813" s="184"/>
      <c r="B813" s="184"/>
      <c r="C813" s="184"/>
      <c r="D813" s="184"/>
      <c r="E813" s="184"/>
      <c r="F813" s="184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  <c r="W813" s="184"/>
      <c r="X813" s="184"/>
      <c r="Y813" s="184"/>
      <c r="Z813" s="184"/>
      <c r="AA813" s="184"/>
    </row>
    <row r="814">
      <c r="A814" s="184"/>
      <c r="B814" s="184"/>
      <c r="C814" s="184"/>
      <c r="D814" s="184"/>
      <c r="E814" s="184"/>
      <c r="F814" s="184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  <c r="W814" s="184"/>
      <c r="X814" s="184"/>
      <c r="Y814" s="184"/>
      <c r="Z814" s="184"/>
      <c r="AA814" s="184"/>
    </row>
    <row r="815">
      <c r="A815" s="184"/>
      <c r="B815" s="184"/>
      <c r="C815" s="184"/>
      <c r="D815" s="184"/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  <c r="Y815" s="184"/>
      <c r="Z815" s="184"/>
      <c r="AA815" s="184"/>
    </row>
    <row r="816">
      <c r="A816" s="184"/>
      <c r="B816" s="184"/>
      <c r="C816" s="184"/>
      <c r="D816" s="184"/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  <c r="Y816" s="184"/>
      <c r="Z816" s="184"/>
      <c r="AA816" s="184"/>
    </row>
    <row r="817">
      <c r="A817" s="184"/>
      <c r="B817" s="184"/>
      <c r="C817" s="184"/>
      <c r="D817" s="184"/>
      <c r="E817" s="184"/>
      <c r="F817" s="184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  <c r="W817" s="184"/>
      <c r="X817" s="184"/>
      <c r="Y817" s="184"/>
      <c r="Z817" s="184"/>
      <c r="AA817" s="184"/>
    </row>
    <row r="818">
      <c r="A818" s="184"/>
      <c r="B818" s="184"/>
      <c r="C818" s="184"/>
      <c r="D818" s="184"/>
      <c r="E818" s="184"/>
      <c r="F818" s="184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  <c r="Y818" s="184"/>
      <c r="Z818" s="184"/>
      <c r="AA818" s="184"/>
    </row>
    <row r="819">
      <c r="A819" s="184"/>
      <c r="B819" s="184"/>
      <c r="C819" s="184"/>
      <c r="D819" s="184"/>
      <c r="E819" s="184"/>
      <c r="F819" s="184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4"/>
      <c r="V819" s="184"/>
      <c r="W819" s="184"/>
      <c r="X819" s="184"/>
      <c r="Y819" s="184"/>
      <c r="Z819" s="184"/>
      <c r="AA819" s="184"/>
    </row>
    <row r="820">
      <c r="A820" s="184"/>
      <c r="B820" s="184"/>
      <c r="C820" s="184"/>
      <c r="D820" s="184"/>
      <c r="E820" s="184"/>
      <c r="F820" s="184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  <c r="Y820" s="184"/>
      <c r="Z820" s="184"/>
      <c r="AA820" s="184"/>
    </row>
    <row r="821">
      <c r="A821" s="184"/>
      <c r="B821" s="184"/>
      <c r="C821" s="184"/>
      <c r="D821" s="184"/>
      <c r="E821" s="184"/>
      <c r="F821" s="184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  <c r="Y821" s="184"/>
      <c r="Z821" s="184"/>
      <c r="AA821" s="184"/>
    </row>
    <row r="822">
      <c r="A822" s="184"/>
      <c r="B822" s="184"/>
      <c r="C822" s="184"/>
      <c r="D822" s="184"/>
      <c r="E822" s="184"/>
      <c r="F822" s="184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  <c r="Y822" s="184"/>
      <c r="Z822" s="184"/>
      <c r="AA822" s="184"/>
    </row>
    <row r="823">
      <c r="A823" s="184"/>
      <c r="B823" s="184"/>
      <c r="C823" s="184"/>
      <c r="D823" s="184"/>
      <c r="E823" s="184"/>
      <c r="F823" s="184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  <c r="Y823" s="184"/>
      <c r="Z823" s="184"/>
      <c r="AA823" s="184"/>
    </row>
    <row r="824">
      <c r="A824" s="184"/>
      <c r="B824" s="184"/>
      <c r="C824" s="184"/>
      <c r="D824" s="184"/>
      <c r="E824" s="184"/>
      <c r="F824" s="184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  <c r="Y824" s="184"/>
      <c r="Z824" s="184"/>
      <c r="AA824" s="184"/>
    </row>
    <row r="825">
      <c r="A825" s="184"/>
      <c r="B825" s="184"/>
      <c r="C825" s="184"/>
      <c r="D825" s="184"/>
      <c r="E825" s="184"/>
      <c r="F825" s="184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  <c r="Y825" s="184"/>
      <c r="Z825" s="184"/>
      <c r="AA825" s="184"/>
    </row>
    <row r="826">
      <c r="A826" s="184"/>
      <c r="B826" s="184"/>
      <c r="C826" s="184"/>
      <c r="D826" s="184"/>
      <c r="E826" s="184"/>
      <c r="F826" s="184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  <c r="Y826" s="184"/>
      <c r="Z826" s="184"/>
      <c r="AA826" s="184"/>
    </row>
    <row r="827">
      <c r="A827" s="184"/>
      <c r="B827" s="184"/>
      <c r="C827" s="184"/>
      <c r="D827" s="184"/>
      <c r="E827" s="184"/>
      <c r="F827" s="184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  <c r="Y827" s="184"/>
      <c r="Z827" s="184"/>
      <c r="AA827" s="184"/>
    </row>
    <row r="828">
      <c r="A828" s="184"/>
      <c r="B828" s="184"/>
      <c r="C828" s="184"/>
      <c r="D828" s="184"/>
      <c r="E828" s="184"/>
      <c r="F828" s="184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  <c r="Y828" s="184"/>
      <c r="Z828" s="184"/>
      <c r="AA828" s="184"/>
    </row>
    <row r="829">
      <c r="A829" s="184"/>
      <c r="B829" s="184"/>
      <c r="C829" s="184"/>
      <c r="D829" s="184"/>
      <c r="E829" s="184"/>
      <c r="F829" s="184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  <c r="Y829" s="184"/>
      <c r="Z829" s="184"/>
      <c r="AA829" s="184"/>
    </row>
    <row r="830">
      <c r="A830" s="184"/>
      <c r="B830" s="184"/>
      <c r="C830" s="184"/>
      <c r="D830" s="184"/>
      <c r="E830" s="184"/>
      <c r="F830" s="184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  <c r="Y830" s="184"/>
      <c r="Z830" s="184"/>
      <c r="AA830" s="184"/>
    </row>
    <row r="831">
      <c r="A831" s="184"/>
      <c r="B831" s="184"/>
      <c r="C831" s="184"/>
      <c r="D831" s="184"/>
      <c r="E831" s="184"/>
      <c r="F831" s="184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  <c r="Y831" s="184"/>
      <c r="Z831" s="184"/>
      <c r="AA831" s="184"/>
    </row>
    <row r="832">
      <c r="A832" s="184"/>
      <c r="B832" s="184"/>
      <c r="C832" s="184"/>
      <c r="D832" s="184"/>
      <c r="E832" s="184"/>
      <c r="F832" s="184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  <c r="Y832" s="184"/>
      <c r="Z832" s="184"/>
      <c r="AA832" s="184"/>
    </row>
    <row r="833">
      <c r="A833" s="184"/>
      <c r="B833" s="184"/>
      <c r="C833" s="184"/>
      <c r="D833" s="184"/>
      <c r="E833" s="184"/>
      <c r="F833" s="184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  <c r="Y833" s="184"/>
      <c r="Z833" s="184"/>
      <c r="AA833" s="184"/>
    </row>
    <row r="834">
      <c r="A834" s="184"/>
      <c r="B834" s="184"/>
      <c r="C834" s="184"/>
      <c r="D834" s="184"/>
      <c r="E834" s="184"/>
      <c r="F834" s="184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84"/>
      <c r="V834" s="184"/>
      <c r="W834" s="184"/>
      <c r="X834" s="184"/>
      <c r="Y834" s="184"/>
      <c r="Z834" s="184"/>
      <c r="AA834" s="184"/>
    </row>
    <row r="835">
      <c r="A835" s="184"/>
      <c r="B835" s="184"/>
      <c r="C835" s="184"/>
      <c r="D835" s="184"/>
      <c r="E835" s="184"/>
      <c r="F835" s="184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  <c r="Y835" s="184"/>
      <c r="Z835" s="184"/>
      <c r="AA835" s="184"/>
    </row>
    <row r="836">
      <c r="A836" s="184"/>
      <c r="B836" s="184"/>
      <c r="C836" s="184"/>
      <c r="D836" s="184"/>
      <c r="E836" s="184"/>
      <c r="F836" s="184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  <c r="Y836" s="184"/>
      <c r="Z836" s="184"/>
      <c r="AA836" s="184"/>
    </row>
    <row r="837">
      <c r="A837" s="184"/>
      <c r="B837" s="184"/>
      <c r="C837" s="184"/>
      <c r="D837" s="184"/>
      <c r="E837" s="184"/>
      <c r="F837" s="184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  <c r="Y837" s="184"/>
      <c r="Z837" s="184"/>
      <c r="AA837" s="184"/>
    </row>
    <row r="838">
      <c r="A838" s="184"/>
      <c r="B838" s="184"/>
      <c r="C838" s="184"/>
      <c r="D838" s="184"/>
      <c r="E838" s="184"/>
      <c r="F838" s="184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84"/>
      <c r="V838" s="184"/>
      <c r="W838" s="184"/>
      <c r="X838" s="184"/>
      <c r="Y838" s="184"/>
      <c r="Z838" s="184"/>
      <c r="AA838" s="184"/>
    </row>
    <row r="839">
      <c r="A839" s="184"/>
      <c r="B839" s="184"/>
      <c r="C839" s="184"/>
      <c r="D839" s="184"/>
      <c r="E839" s="184"/>
      <c r="F839" s="184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84"/>
      <c r="V839" s="184"/>
      <c r="W839" s="184"/>
      <c r="X839" s="184"/>
      <c r="Y839" s="184"/>
      <c r="Z839" s="184"/>
      <c r="AA839" s="184"/>
    </row>
    <row r="840">
      <c r="A840" s="184"/>
      <c r="B840" s="184"/>
      <c r="C840" s="184"/>
      <c r="D840" s="184"/>
      <c r="E840" s="184"/>
      <c r="F840" s="184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  <c r="Y840" s="184"/>
      <c r="Z840" s="184"/>
      <c r="AA840" s="184"/>
    </row>
    <row r="841">
      <c r="A841" s="184"/>
      <c r="B841" s="184"/>
      <c r="C841" s="184"/>
      <c r="D841" s="184"/>
      <c r="E841" s="184"/>
      <c r="F841" s="184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84"/>
      <c r="V841" s="184"/>
      <c r="W841" s="184"/>
      <c r="X841" s="184"/>
      <c r="Y841" s="184"/>
      <c r="Z841" s="184"/>
      <c r="AA841" s="184"/>
    </row>
    <row r="842">
      <c r="A842" s="184"/>
      <c r="B842" s="184"/>
      <c r="C842" s="184"/>
      <c r="D842" s="184"/>
      <c r="E842" s="184"/>
      <c r="F842" s="184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  <c r="Y842" s="184"/>
      <c r="Z842" s="184"/>
      <c r="AA842" s="184"/>
    </row>
    <row r="843">
      <c r="A843" s="184"/>
      <c r="B843" s="184"/>
      <c r="C843" s="184"/>
      <c r="D843" s="184"/>
      <c r="E843" s="184"/>
      <c r="F843" s="184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  <c r="Y843" s="184"/>
      <c r="Z843" s="184"/>
      <c r="AA843" s="184"/>
    </row>
    <row r="844">
      <c r="A844" s="184"/>
      <c r="B844" s="184"/>
      <c r="C844" s="184"/>
      <c r="D844" s="184"/>
      <c r="E844" s="184"/>
      <c r="F844" s="184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84"/>
      <c r="V844" s="184"/>
      <c r="W844" s="184"/>
      <c r="X844" s="184"/>
      <c r="Y844" s="184"/>
      <c r="Z844" s="184"/>
      <c r="AA844" s="184"/>
    </row>
    <row r="845">
      <c r="A845" s="184"/>
      <c r="B845" s="184"/>
      <c r="C845" s="184"/>
      <c r="D845" s="184"/>
      <c r="E845" s="184"/>
      <c r="F845" s="184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  <c r="Y845" s="184"/>
      <c r="Z845" s="184"/>
      <c r="AA845" s="184"/>
    </row>
    <row r="846">
      <c r="A846" s="184"/>
      <c r="B846" s="184"/>
      <c r="C846" s="184"/>
      <c r="D846" s="184"/>
      <c r="E846" s="184"/>
      <c r="F846" s="184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84"/>
      <c r="V846" s="184"/>
      <c r="W846" s="184"/>
      <c r="X846" s="184"/>
      <c r="Y846" s="184"/>
      <c r="Z846" s="184"/>
      <c r="AA846" s="184"/>
    </row>
    <row r="847">
      <c r="A847" s="184"/>
      <c r="B847" s="184"/>
      <c r="C847" s="184"/>
      <c r="D847" s="184"/>
      <c r="E847" s="184"/>
      <c r="F847" s="184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84"/>
      <c r="V847" s="184"/>
      <c r="W847" s="184"/>
      <c r="X847" s="184"/>
      <c r="Y847" s="184"/>
      <c r="Z847" s="184"/>
      <c r="AA847" s="184"/>
    </row>
    <row r="848">
      <c r="A848" s="184"/>
      <c r="B848" s="184"/>
      <c r="C848" s="184"/>
      <c r="D848" s="184"/>
      <c r="E848" s="184"/>
      <c r="F848" s="184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84"/>
      <c r="V848" s="184"/>
      <c r="W848" s="184"/>
      <c r="X848" s="184"/>
      <c r="Y848" s="184"/>
      <c r="Z848" s="184"/>
      <c r="AA848" s="184"/>
    </row>
    <row r="849">
      <c r="A849" s="184"/>
      <c r="B849" s="184"/>
      <c r="C849" s="184"/>
      <c r="D849" s="184"/>
      <c r="E849" s="184"/>
      <c r="F849" s="184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  <c r="Y849" s="184"/>
      <c r="Z849" s="184"/>
      <c r="AA849" s="184"/>
    </row>
    <row r="850">
      <c r="A850" s="184"/>
      <c r="B850" s="184"/>
      <c r="C850" s="184"/>
      <c r="D850" s="184"/>
      <c r="E850" s="184"/>
      <c r="F850" s="184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  <c r="Y850" s="184"/>
      <c r="Z850" s="184"/>
      <c r="AA850" s="184"/>
    </row>
    <row r="851">
      <c r="A851" s="184"/>
      <c r="B851" s="184"/>
      <c r="C851" s="184"/>
      <c r="D851" s="184"/>
      <c r="E851" s="184"/>
      <c r="F851" s="184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4"/>
      <c r="V851" s="184"/>
      <c r="W851" s="184"/>
      <c r="X851" s="184"/>
      <c r="Y851" s="184"/>
      <c r="Z851" s="184"/>
      <c r="AA851" s="184"/>
    </row>
    <row r="852">
      <c r="A852" s="184"/>
      <c r="B852" s="184"/>
      <c r="C852" s="184"/>
      <c r="D852" s="184"/>
      <c r="E852" s="184"/>
      <c r="F852" s="184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84"/>
      <c r="V852" s="184"/>
      <c r="W852" s="184"/>
      <c r="X852" s="184"/>
      <c r="Y852" s="184"/>
      <c r="Z852" s="184"/>
      <c r="AA852" s="184"/>
    </row>
    <row r="853">
      <c r="A853" s="184"/>
      <c r="B853" s="184"/>
      <c r="C853" s="184"/>
      <c r="D853" s="184"/>
      <c r="E853" s="184"/>
      <c r="F853" s="184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84"/>
      <c r="V853" s="184"/>
      <c r="W853" s="184"/>
      <c r="X853" s="184"/>
      <c r="Y853" s="184"/>
      <c r="Z853" s="184"/>
      <c r="AA853" s="184"/>
    </row>
    <row r="854">
      <c r="A854" s="184"/>
      <c r="B854" s="184"/>
      <c r="C854" s="184"/>
      <c r="D854" s="184"/>
      <c r="E854" s="184"/>
      <c r="F854" s="184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84"/>
      <c r="V854" s="184"/>
      <c r="W854" s="184"/>
      <c r="X854" s="184"/>
      <c r="Y854" s="184"/>
      <c r="Z854" s="184"/>
      <c r="AA854" s="184"/>
    </row>
    <row r="855">
      <c r="A855" s="184"/>
      <c r="B855" s="184"/>
      <c r="C855" s="184"/>
      <c r="D855" s="184"/>
      <c r="E855" s="184"/>
      <c r="F855" s="184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84"/>
      <c r="V855" s="184"/>
      <c r="W855" s="184"/>
      <c r="X855" s="184"/>
      <c r="Y855" s="184"/>
      <c r="Z855" s="184"/>
      <c r="AA855" s="184"/>
    </row>
    <row r="856">
      <c r="A856" s="184"/>
      <c r="B856" s="184"/>
      <c r="C856" s="184"/>
      <c r="D856" s="184"/>
      <c r="E856" s="184"/>
      <c r="F856" s="184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84"/>
      <c r="V856" s="184"/>
      <c r="W856" s="184"/>
      <c r="X856" s="184"/>
      <c r="Y856" s="184"/>
      <c r="Z856" s="184"/>
      <c r="AA856" s="184"/>
    </row>
    <row r="857">
      <c r="A857" s="184"/>
      <c r="B857" s="184"/>
      <c r="C857" s="184"/>
      <c r="D857" s="184"/>
      <c r="E857" s="184"/>
      <c r="F857" s="184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  <c r="Y857" s="184"/>
      <c r="Z857" s="184"/>
      <c r="AA857" s="184"/>
    </row>
    <row r="858">
      <c r="A858" s="184"/>
      <c r="B858" s="184"/>
      <c r="C858" s="184"/>
      <c r="D858" s="184"/>
      <c r="E858" s="184"/>
      <c r="F858" s="184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  <c r="Y858" s="184"/>
      <c r="Z858" s="184"/>
      <c r="AA858" s="184"/>
    </row>
    <row r="859">
      <c r="A859" s="184"/>
      <c r="B859" s="184"/>
      <c r="C859" s="184"/>
      <c r="D859" s="184"/>
      <c r="E859" s="184"/>
      <c r="F859" s="184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4"/>
      <c r="V859" s="184"/>
      <c r="W859" s="184"/>
      <c r="X859" s="184"/>
      <c r="Y859" s="184"/>
      <c r="Z859" s="184"/>
      <c r="AA859" s="184"/>
    </row>
    <row r="860">
      <c r="A860" s="184"/>
      <c r="B860" s="184"/>
      <c r="C860" s="184"/>
      <c r="D860" s="184"/>
      <c r="E860" s="184"/>
      <c r="F860" s="184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  <c r="Y860" s="184"/>
      <c r="Z860" s="184"/>
      <c r="AA860" s="184"/>
    </row>
    <row r="861">
      <c r="A861" s="184"/>
      <c r="B861" s="184"/>
      <c r="C861" s="184"/>
      <c r="D861" s="184"/>
      <c r="E861" s="184"/>
      <c r="F861" s="184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84"/>
      <c r="V861" s="184"/>
      <c r="W861" s="184"/>
      <c r="X861" s="184"/>
      <c r="Y861" s="184"/>
      <c r="Z861" s="184"/>
      <c r="AA861" s="184"/>
    </row>
    <row r="862">
      <c r="A862" s="184"/>
      <c r="B862" s="184"/>
      <c r="C862" s="184"/>
      <c r="D862" s="184"/>
      <c r="E862" s="184"/>
      <c r="F862" s="184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84"/>
      <c r="V862" s="184"/>
      <c r="W862" s="184"/>
      <c r="X862" s="184"/>
      <c r="Y862" s="184"/>
      <c r="Z862" s="184"/>
      <c r="AA862" s="184"/>
    </row>
    <row r="863">
      <c r="A863" s="184"/>
      <c r="B863" s="184"/>
      <c r="C863" s="184"/>
      <c r="D863" s="184"/>
      <c r="E863" s="184"/>
      <c r="F863" s="184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  <c r="Y863" s="184"/>
      <c r="Z863" s="184"/>
      <c r="AA863" s="184"/>
    </row>
    <row r="864">
      <c r="A864" s="184"/>
      <c r="B864" s="184"/>
      <c r="C864" s="184"/>
      <c r="D864" s="184"/>
      <c r="E864" s="184"/>
      <c r="F864" s="184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  <c r="Y864" s="184"/>
      <c r="Z864" s="184"/>
      <c r="AA864" s="184"/>
    </row>
    <row r="865">
      <c r="A865" s="184"/>
      <c r="B865" s="184"/>
      <c r="C865" s="184"/>
      <c r="D865" s="184"/>
      <c r="E865" s="184"/>
      <c r="F865" s="184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84"/>
      <c r="V865" s="184"/>
      <c r="W865" s="184"/>
      <c r="X865" s="184"/>
      <c r="Y865" s="184"/>
      <c r="Z865" s="184"/>
      <c r="AA865" s="184"/>
    </row>
    <row r="866">
      <c r="A866" s="184"/>
      <c r="B866" s="184"/>
      <c r="C866" s="184"/>
      <c r="D866" s="184"/>
      <c r="E866" s="184"/>
      <c r="F866" s="184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  <c r="Y866" s="184"/>
      <c r="Z866" s="184"/>
      <c r="AA866" s="184"/>
    </row>
    <row r="867">
      <c r="A867" s="184"/>
      <c r="B867" s="184"/>
      <c r="C867" s="184"/>
      <c r="D867" s="184"/>
      <c r="E867" s="184"/>
      <c r="F867" s="184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84"/>
      <c r="V867" s="184"/>
      <c r="W867" s="184"/>
      <c r="X867" s="184"/>
      <c r="Y867" s="184"/>
      <c r="Z867" s="184"/>
      <c r="AA867" s="184"/>
    </row>
    <row r="868">
      <c r="A868" s="184"/>
      <c r="B868" s="184"/>
      <c r="C868" s="184"/>
      <c r="D868" s="184"/>
      <c r="E868" s="184"/>
      <c r="F868" s="184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84"/>
      <c r="V868" s="184"/>
      <c r="W868" s="184"/>
      <c r="X868" s="184"/>
      <c r="Y868" s="184"/>
      <c r="Z868" s="184"/>
      <c r="AA868" s="184"/>
    </row>
    <row r="869">
      <c r="A869" s="184"/>
      <c r="B869" s="184"/>
      <c r="C869" s="184"/>
      <c r="D869" s="184"/>
      <c r="E869" s="184"/>
      <c r="F869" s="184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  <c r="Y869" s="184"/>
      <c r="Z869" s="184"/>
      <c r="AA869" s="184"/>
    </row>
    <row r="870">
      <c r="A870" s="184"/>
      <c r="B870" s="184"/>
      <c r="C870" s="184"/>
      <c r="D870" s="184"/>
      <c r="E870" s="184"/>
      <c r="F870" s="184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  <c r="Y870" s="184"/>
      <c r="Z870" s="184"/>
      <c r="AA870" s="184"/>
    </row>
    <row r="871">
      <c r="A871" s="184"/>
      <c r="B871" s="184"/>
      <c r="C871" s="184"/>
      <c r="D871" s="184"/>
      <c r="E871" s="184"/>
      <c r="F871" s="184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  <c r="Y871" s="184"/>
      <c r="Z871" s="184"/>
      <c r="AA871" s="184"/>
    </row>
    <row r="872">
      <c r="A872" s="184"/>
      <c r="B872" s="184"/>
      <c r="C872" s="184"/>
      <c r="D872" s="184"/>
      <c r="E872" s="184"/>
      <c r="F872" s="184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  <c r="Y872" s="184"/>
      <c r="Z872" s="184"/>
      <c r="AA872" s="184"/>
    </row>
    <row r="873">
      <c r="A873" s="184"/>
      <c r="B873" s="184"/>
      <c r="C873" s="184"/>
      <c r="D873" s="184"/>
      <c r="E873" s="184"/>
      <c r="F873" s="184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  <c r="Y873" s="184"/>
      <c r="Z873" s="184"/>
      <c r="AA873" s="184"/>
    </row>
    <row r="874">
      <c r="A874" s="184"/>
      <c r="B874" s="184"/>
      <c r="C874" s="184"/>
      <c r="D874" s="184"/>
      <c r="E874" s="184"/>
      <c r="F874" s="184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  <c r="Y874" s="184"/>
      <c r="Z874" s="184"/>
      <c r="AA874" s="184"/>
    </row>
    <row r="875">
      <c r="A875" s="184"/>
      <c r="B875" s="184"/>
      <c r="C875" s="184"/>
      <c r="D875" s="184"/>
      <c r="E875" s="184"/>
      <c r="F875" s="184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  <c r="Y875" s="184"/>
      <c r="Z875" s="184"/>
      <c r="AA875" s="184"/>
    </row>
    <row r="876">
      <c r="A876" s="184"/>
      <c r="B876" s="184"/>
      <c r="C876" s="184"/>
      <c r="D876" s="184"/>
      <c r="E876" s="184"/>
      <c r="F876" s="184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  <c r="Y876" s="184"/>
      <c r="Z876" s="184"/>
      <c r="AA876" s="184"/>
    </row>
    <row r="877">
      <c r="A877" s="184"/>
      <c r="B877" s="184"/>
      <c r="C877" s="184"/>
      <c r="D877" s="184"/>
      <c r="E877" s="184"/>
      <c r="F877" s="184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  <c r="Y877" s="184"/>
      <c r="Z877" s="184"/>
      <c r="AA877" s="184"/>
    </row>
    <row r="878">
      <c r="A878" s="184"/>
      <c r="B878" s="184"/>
      <c r="C878" s="184"/>
      <c r="D878" s="184"/>
      <c r="E878" s="184"/>
      <c r="F878" s="184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  <c r="Y878" s="184"/>
      <c r="Z878" s="184"/>
      <c r="AA878" s="184"/>
    </row>
    <row r="879">
      <c r="A879" s="184"/>
      <c r="B879" s="184"/>
      <c r="C879" s="184"/>
      <c r="D879" s="184"/>
      <c r="E879" s="184"/>
      <c r="F879" s="184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  <c r="Y879" s="184"/>
      <c r="Z879" s="184"/>
      <c r="AA879" s="184"/>
    </row>
    <row r="880">
      <c r="A880" s="184"/>
      <c r="B880" s="184"/>
      <c r="C880" s="184"/>
      <c r="D880" s="184"/>
      <c r="E880" s="184"/>
      <c r="F880" s="184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  <c r="Y880" s="184"/>
      <c r="Z880" s="184"/>
      <c r="AA880" s="184"/>
    </row>
    <row r="881">
      <c r="A881" s="184"/>
      <c r="B881" s="184"/>
      <c r="C881" s="184"/>
      <c r="D881" s="184"/>
      <c r="E881" s="184"/>
      <c r="F881" s="184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  <c r="Y881" s="184"/>
      <c r="Z881" s="184"/>
      <c r="AA881" s="184"/>
    </row>
    <row r="882">
      <c r="A882" s="184"/>
      <c r="B882" s="184"/>
      <c r="C882" s="184"/>
      <c r="D882" s="184"/>
      <c r="E882" s="184"/>
      <c r="F882" s="184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84"/>
      <c r="V882" s="184"/>
      <c r="W882" s="184"/>
      <c r="X882" s="184"/>
      <c r="Y882" s="184"/>
      <c r="Z882" s="184"/>
      <c r="AA882" s="184"/>
    </row>
    <row r="883">
      <c r="A883" s="184"/>
      <c r="B883" s="184"/>
      <c r="C883" s="184"/>
      <c r="D883" s="184"/>
      <c r="E883" s="184"/>
      <c r="F883" s="184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84"/>
      <c r="V883" s="184"/>
      <c r="W883" s="184"/>
      <c r="X883" s="184"/>
      <c r="Y883" s="184"/>
      <c r="Z883" s="184"/>
      <c r="AA883" s="184"/>
    </row>
    <row r="884">
      <c r="A884" s="184"/>
      <c r="B884" s="184"/>
      <c r="C884" s="184"/>
      <c r="D884" s="184"/>
      <c r="E884" s="184"/>
      <c r="F884" s="184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84"/>
      <c r="V884" s="184"/>
      <c r="W884" s="184"/>
      <c r="X884" s="184"/>
      <c r="Y884" s="184"/>
      <c r="Z884" s="184"/>
      <c r="AA884" s="184"/>
    </row>
    <row r="885">
      <c r="A885" s="184"/>
      <c r="B885" s="184"/>
      <c r="C885" s="184"/>
      <c r="D885" s="184"/>
      <c r="E885" s="184"/>
      <c r="F885" s="184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84"/>
      <c r="V885" s="184"/>
      <c r="W885" s="184"/>
      <c r="X885" s="184"/>
      <c r="Y885" s="184"/>
      <c r="Z885" s="184"/>
      <c r="AA885" s="184"/>
    </row>
    <row r="886">
      <c r="A886" s="184"/>
      <c r="B886" s="184"/>
      <c r="C886" s="184"/>
      <c r="D886" s="184"/>
      <c r="E886" s="184"/>
      <c r="F886" s="184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84"/>
      <c r="V886" s="184"/>
      <c r="W886" s="184"/>
      <c r="X886" s="184"/>
      <c r="Y886" s="184"/>
      <c r="Z886" s="184"/>
      <c r="AA886" s="184"/>
    </row>
    <row r="887">
      <c r="A887" s="184"/>
      <c r="B887" s="184"/>
      <c r="C887" s="184"/>
      <c r="D887" s="184"/>
      <c r="E887" s="184"/>
      <c r="F887" s="184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84"/>
      <c r="V887" s="184"/>
      <c r="W887" s="184"/>
      <c r="X887" s="184"/>
      <c r="Y887" s="184"/>
      <c r="Z887" s="184"/>
      <c r="AA887" s="184"/>
    </row>
    <row r="888">
      <c r="A888" s="184"/>
      <c r="B888" s="184"/>
      <c r="C888" s="184"/>
      <c r="D888" s="184"/>
      <c r="E888" s="184"/>
      <c r="F888" s="184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84"/>
      <c r="V888" s="184"/>
      <c r="W888" s="184"/>
      <c r="X888" s="184"/>
      <c r="Y888" s="184"/>
      <c r="Z888" s="184"/>
      <c r="AA888" s="184"/>
    </row>
    <row r="889">
      <c r="A889" s="184"/>
      <c r="B889" s="184"/>
      <c r="C889" s="184"/>
      <c r="D889" s="184"/>
      <c r="E889" s="184"/>
      <c r="F889" s="184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84"/>
      <c r="V889" s="184"/>
      <c r="W889" s="184"/>
      <c r="X889" s="184"/>
      <c r="Y889" s="184"/>
      <c r="Z889" s="184"/>
      <c r="AA889" s="184"/>
    </row>
    <row r="890">
      <c r="A890" s="184"/>
      <c r="B890" s="184"/>
      <c r="C890" s="184"/>
      <c r="D890" s="184"/>
      <c r="E890" s="184"/>
      <c r="F890" s="184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84"/>
      <c r="V890" s="184"/>
      <c r="W890" s="184"/>
      <c r="X890" s="184"/>
      <c r="Y890" s="184"/>
      <c r="Z890" s="184"/>
      <c r="AA890" s="184"/>
    </row>
    <row r="891">
      <c r="A891" s="184"/>
      <c r="B891" s="184"/>
      <c r="C891" s="184"/>
      <c r="D891" s="184"/>
      <c r="E891" s="184"/>
      <c r="F891" s="184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84"/>
      <c r="V891" s="184"/>
      <c r="W891" s="184"/>
      <c r="X891" s="184"/>
      <c r="Y891" s="184"/>
      <c r="Z891" s="184"/>
      <c r="AA891" s="184"/>
    </row>
    <row r="892">
      <c r="A892" s="184"/>
      <c r="B892" s="184"/>
      <c r="C892" s="184"/>
      <c r="D892" s="184"/>
      <c r="E892" s="184"/>
      <c r="F892" s="184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84"/>
      <c r="V892" s="184"/>
      <c r="W892" s="184"/>
      <c r="X892" s="184"/>
      <c r="Y892" s="184"/>
      <c r="Z892" s="184"/>
      <c r="AA892" s="184"/>
    </row>
    <row r="893">
      <c r="A893" s="184"/>
      <c r="B893" s="184"/>
      <c r="C893" s="184"/>
      <c r="D893" s="184"/>
      <c r="E893" s="184"/>
      <c r="F893" s="184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84"/>
      <c r="V893" s="184"/>
      <c r="W893" s="184"/>
      <c r="X893" s="184"/>
      <c r="Y893" s="184"/>
      <c r="Z893" s="184"/>
      <c r="AA893" s="184"/>
    </row>
    <row r="894">
      <c r="A894" s="184"/>
      <c r="B894" s="184"/>
      <c r="C894" s="184"/>
      <c r="D894" s="184"/>
      <c r="E894" s="184"/>
      <c r="F894" s="184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84"/>
      <c r="V894" s="184"/>
      <c r="W894" s="184"/>
      <c r="X894" s="184"/>
      <c r="Y894" s="184"/>
      <c r="Z894" s="184"/>
      <c r="AA894" s="184"/>
    </row>
    <row r="895">
      <c r="A895" s="184"/>
      <c r="B895" s="184"/>
      <c r="C895" s="184"/>
      <c r="D895" s="184"/>
      <c r="E895" s="184"/>
      <c r="F895" s="184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84"/>
      <c r="V895" s="184"/>
      <c r="W895" s="184"/>
      <c r="X895" s="184"/>
      <c r="Y895" s="184"/>
      <c r="Z895" s="184"/>
      <c r="AA895" s="184"/>
    </row>
    <row r="896">
      <c r="A896" s="184"/>
      <c r="B896" s="184"/>
      <c r="C896" s="184"/>
      <c r="D896" s="184"/>
      <c r="E896" s="184"/>
      <c r="F896" s="184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84"/>
      <c r="V896" s="184"/>
      <c r="W896" s="184"/>
      <c r="X896" s="184"/>
      <c r="Y896" s="184"/>
      <c r="Z896" s="184"/>
      <c r="AA896" s="184"/>
    </row>
    <row r="897">
      <c r="A897" s="184"/>
      <c r="B897" s="184"/>
      <c r="C897" s="184"/>
      <c r="D897" s="184"/>
      <c r="E897" s="184"/>
      <c r="F897" s="184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84"/>
      <c r="V897" s="184"/>
      <c r="W897" s="184"/>
      <c r="X897" s="184"/>
      <c r="Y897" s="184"/>
      <c r="Z897" s="184"/>
      <c r="AA897" s="184"/>
    </row>
    <row r="898">
      <c r="A898" s="184"/>
      <c r="B898" s="184"/>
      <c r="C898" s="184"/>
      <c r="D898" s="184"/>
      <c r="E898" s="184"/>
      <c r="F898" s="184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84"/>
      <c r="V898" s="184"/>
      <c r="W898" s="184"/>
      <c r="X898" s="184"/>
      <c r="Y898" s="184"/>
      <c r="Z898" s="184"/>
      <c r="AA898" s="184"/>
    </row>
    <row r="899">
      <c r="A899" s="184"/>
      <c r="B899" s="184"/>
      <c r="C899" s="184"/>
      <c r="D899" s="184"/>
      <c r="E899" s="184"/>
      <c r="F899" s="184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84"/>
      <c r="V899" s="184"/>
      <c r="W899" s="184"/>
      <c r="X899" s="184"/>
      <c r="Y899" s="184"/>
      <c r="Z899" s="184"/>
      <c r="AA899" s="184"/>
    </row>
    <row r="900">
      <c r="A900" s="184"/>
      <c r="B900" s="184"/>
      <c r="C900" s="184"/>
      <c r="D900" s="184"/>
      <c r="E900" s="184"/>
      <c r="F900" s="184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84"/>
      <c r="V900" s="184"/>
      <c r="W900" s="184"/>
      <c r="X900" s="184"/>
      <c r="Y900" s="184"/>
      <c r="Z900" s="184"/>
      <c r="AA900" s="184"/>
    </row>
    <row r="901">
      <c r="A901" s="184"/>
      <c r="B901" s="184"/>
      <c r="C901" s="184"/>
      <c r="D901" s="184"/>
      <c r="E901" s="184"/>
      <c r="F901" s="184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84"/>
      <c r="V901" s="184"/>
      <c r="W901" s="184"/>
      <c r="X901" s="184"/>
      <c r="Y901" s="184"/>
      <c r="Z901" s="184"/>
      <c r="AA901" s="184"/>
    </row>
    <row r="902">
      <c r="A902" s="184"/>
      <c r="B902" s="184"/>
      <c r="C902" s="184"/>
      <c r="D902" s="184"/>
      <c r="E902" s="184"/>
      <c r="F902" s="184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84"/>
      <c r="V902" s="184"/>
      <c r="W902" s="184"/>
      <c r="X902" s="184"/>
      <c r="Y902" s="184"/>
      <c r="Z902" s="184"/>
      <c r="AA902" s="184"/>
    </row>
    <row r="903">
      <c r="A903" s="184"/>
      <c r="B903" s="184"/>
      <c r="C903" s="184"/>
      <c r="D903" s="184"/>
      <c r="E903" s="184"/>
      <c r="F903" s="184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84"/>
      <c r="V903" s="184"/>
      <c r="W903" s="184"/>
      <c r="X903" s="184"/>
      <c r="Y903" s="184"/>
      <c r="Z903" s="184"/>
      <c r="AA903" s="184"/>
    </row>
    <row r="904">
      <c r="A904" s="184"/>
      <c r="B904" s="184"/>
      <c r="C904" s="184"/>
      <c r="D904" s="184"/>
      <c r="E904" s="184"/>
      <c r="F904" s="184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84"/>
      <c r="V904" s="184"/>
      <c r="W904" s="184"/>
      <c r="X904" s="184"/>
      <c r="Y904" s="184"/>
      <c r="Z904" s="184"/>
      <c r="AA904" s="184"/>
    </row>
    <row r="905">
      <c r="A905" s="184"/>
      <c r="B905" s="184"/>
      <c r="C905" s="184"/>
      <c r="D905" s="184"/>
      <c r="E905" s="184"/>
      <c r="F905" s="184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84"/>
      <c r="V905" s="184"/>
      <c r="W905" s="184"/>
      <c r="X905" s="184"/>
      <c r="Y905" s="184"/>
      <c r="Z905" s="184"/>
      <c r="AA905" s="184"/>
    </row>
    <row r="906">
      <c r="A906" s="184"/>
      <c r="B906" s="184"/>
      <c r="C906" s="184"/>
      <c r="D906" s="184"/>
      <c r="E906" s="184"/>
      <c r="F906" s="184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84"/>
      <c r="V906" s="184"/>
      <c r="W906" s="184"/>
      <c r="X906" s="184"/>
      <c r="Y906" s="184"/>
      <c r="Z906" s="184"/>
      <c r="AA906" s="184"/>
    </row>
    <row r="907">
      <c r="A907" s="184"/>
      <c r="B907" s="184"/>
      <c r="C907" s="184"/>
      <c r="D907" s="184"/>
      <c r="E907" s="184"/>
      <c r="F907" s="184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84"/>
      <c r="V907" s="184"/>
      <c r="W907" s="184"/>
      <c r="X907" s="184"/>
      <c r="Y907" s="184"/>
      <c r="Z907" s="184"/>
      <c r="AA907" s="184"/>
    </row>
    <row r="908">
      <c r="A908" s="184"/>
      <c r="B908" s="184"/>
      <c r="C908" s="184"/>
      <c r="D908" s="184"/>
      <c r="E908" s="184"/>
      <c r="F908" s="184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84"/>
      <c r="V908" s="184"/>
      <c r="W908" s="184"/>
      <c r="X908" s="184"/>
      <c r="Y908" s="184"/>
      <c r="Z908" s="184"/>
      <c r="AA908" s="184"/>
    </row>
    <row r="909">
      <c r="A909" s="184"/>
      <c r="B909" s="184"/>
      <c r="C909" s="184"/>
      <c r="D909" s="184"/>
      <c r="E909" s="184"/>
      <c r="F909" s="184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84"/>
      <c r="V909" s="184"/>
      <c r="W909" s="184"/>
      <c r="X909" s="184"/>
      <c r="Y909" s="184"/>
      <c r="Z909" s="184"/>
      <c r="AA909" s="184"/>
    </row>
    <row r="910">
      <c r="A910" s="184"/>
      <c r="B910" s="184"/>
      <c r="C910" s="184"/>
      <c r="D910" s="184"/>
      <c r="E910" s="184"/>
      <c r="F910" s="184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84"/>
      <c r="V910" s="184"/>
      <c r="W910" s="184"/>
      <c r="X910" s="184"/>
      <c r="Y910" s="184"/>
      <c r="Z910" s="184"/>
      <c r="AA910" s="184"/>
    </row>
    <row r="911">
      <c r="A911" s="184"/>
      <c r="B911" s="184"/>
      <c r="C911" s="184"/>
      <c r="D911" s="184"/>
      <c r="E911" s="184"/>
      <c r="F911" s="184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84"/>
      <c r="V911" s="184"/>
      <c r="W911" s="184"/>
      <c r="X911" s="184"/>
      <c r="Y911" s="184"/>
      <c r="Z911" s="184"/>
      <c r="AA911" s="184"/>
    </row>
    <row r="912">
      <c r="A912" s="184"/>
      <c r="B912" s="184"/>
      <c r="C912" s="184"/>
      <c r="D912" s="184"/>
      <c r="E912" s="184"/>
      <c r="F912" s="184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84"/>
      <c r="V912" s="184"/>
      <c r="W912" s="184"/>
      <c r="X912" s="184"/>
      <c r="Y912" s="184"/>
      <c r="Z912" s="184"/>
      <c r="AA912" s="184"/>
    </row>
    <row r="913">
      <c r="A913" s="184"/>
      <c r="B913" s="184"/>
      <c r="C913" s="184"/>
      <c r="D913" s="184"/>
      <c r="E913" s="184"/>
      <c r="F913" s="184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84"/>
      <c r="V913" s="184"/>
      <c r="W913" s="184"/>
      <c r="X913" s="184"/>
      <c r="Y913" s="184"/>
      <c r="Z913" s="184"/>
      <c r="AA913" s="184"/>
    </row>
    <row r="914">
      <c r="A914" s="184"/>
      <c r="B914" s="184"/>
      <c r="C914" s="184"/>
      <c r="D914" s="184"/>
      <c r="E914" s="184"/>
      <c r="F914" s="184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84"/>
      <c r="V914" s="184"/>
      <c r="W914" s="184"/>
      <c r="X914" s="184"/>
      <c r="Y914" s="184"/>
      <c r="Z914" s="184"/>
      <c r="AA914" s="184"/>
    </row>
    <row r="915">
      <c r="A915" s="184"/>
      <c r="B915" s="184"/>
      <c r="C915" s="184"/>
      <c r="D915" s="184"/>
      <c r="E915" s="184"/>
      <c r="F915" s="184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84"/>
      <c r="V915" s="184"/>
      <c r="W915" s="184"/>
      <c r="X915" s="184"/>
      <c r="Y915" s="184"/>
      <c r="Z915" s="184"/>
      <c r="AA915" s="184"/>
    </row>
    <row r="916">
      <c r="A916" s="184"/>
      <c r="B916" s="184"/>
      <c r="C916" s="184"/>
      <c r="D916" s="184"/>
      <c r="E916" s="184"/>
      <c r="F916" s="184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84"/>
      <c r="V916" s="184"/>
      <c r="W916" s="184"/>
      <c r="X916" s="184"/>
      <c r="Y916" s="184"/>
      <c r="Z916" s="184"/>
      <c r="AA916" s="184"/>
    </row>
    <row r="917">
      <c r="A917" s="184"/>
      <c r="B917" s="184"/>
      <c r="C917" s="184"/>
      <c r="D917" s="184"/>
      <c r="E917" s="184"/>
      <c r="F917" s="184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84"/>
      <c r="V917" s="184"/>
      <c r="W917" s="184"/>
      <c r="X917" s="184"/>
      <c r="Y917" s="184"/>
      <c r="Z917" s="184"/>
      <c r="AA917" s="184"/>
    </row>
    <row r="918">
      <c r="A918" s="184"/>
      <c r="B918" s="184"/>
      <c r="C918" s="184"/>
      <c r="D918" s="184"/>
      <c r="E918" s="184"/>
      <c r="F918" s="184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84"/>
      <c r="V918" s="184"/>
      <c r="W918" s="184"/>
      <c r="X918" s="184"/>
      <c r="Y918" s="184"/>
      <c r="Z918" s="184"/>
      <c r="AA918" s="184"/>
    </row>
    <row r="919">
      <c r="A919" s="184"/>
      <c r="B919" s="184"/>
      <c r="C919" s="184"/>
      <c r="D919" s="184"/>
      <c r="E919" s="184"/>
      <c r="F919" s="184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84"/>
      <c r="V919" s="184"/>
      <c r="W919" s="184"/>
      <c r="X919" s="184"/>
      <c r="Y919" s="184"/>
      <c r="Z919" s="184"/>
      <c r="AA919" s="184"/>
    </row>
    <row r="920">
      <c r="A920" s="184"/>
      <c r="B920" s="184"/>
      <c r="C920" s="184"/>
      <c r="D920" s="184"/>
      <c r="E920" s="184"/>
      <c r="F920" s="184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84"/>
      <c r="V920" s="184"/>
      <c r="W920" s="184"/>
      <c r="X920" s="184"/>
      <c r="Y920" s="184"/>
      <c r="Z920" s="184"/>
      <c r="AA920" s="184"/>
    </row>
    <row r="921">
      <c r="A921" s="184"/>
      <c r="B921" s="184"/>
      <c r="C921" s="184"/>
      <c r="D921" s="184"/>
      <c r="E921" s="184"/>
      <c r="F921" s="184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84"/>
      <c r="V921" s="184"/>
      <c r="W921" s="184"/>
      <c r="X921" s="184"/>
      <c r="Y921" s="184"/>
      <c r="Z921" s="184"/>
      <c r="AA921" s="184"/>
    </row>
    <row r="922">
      <c r="A922" s="184"/>
      <c r="B922" s="184"/>
      <c r="C922" s="184"/>
      <c r="D922" s="184"/>
      <c r="E922" s="184"/>
      <c r="F922" s="184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84"/>
      <c r="V922" s="184"/>
      <c r="W922" s="184"/>
      <c r="X922" s="184"/>
      <c r="Y922" s="184"/>
      <c r="Z922" s="184"/>
      <c r="AA922" s="184"/>
    </row>
    <row r="923">
      <c r="A923" s="184"/>
      <c r="B923" s="184"/>
      <c r="C923" s="184"/>
      <c r="D923" s="184"/>
      <c r="E923" s="184"/>
      <c r="F923" s="184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84"/>
      <c r="V923" s="184"/>
      <c r="W923" s="184"/>
      <c r="X923" s="184"/>
      <c r="Y923" s="184"/>
      <c r="Z923" s="184"/>
      <c r="AA923" s="184"/>
    </row>
    <row r="924">
      <c r="A924" s="184"/>
      <c r="B924" s="184"/>
      <c r="C924" s="184"/>
      <c r="D924" s="184"/>
      <c r="E924" s="184"/>
      <c r="F924" s="184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84"/>
      <c r="V924" s="184"/>
      <c r="W924" s="184"/>
      <c r="X924" s="184"/>
      <c r="Y924" s="184"/>
      <c r="Z924" s="184"/>
      <c r="AA924" s="184"/>
    </row>
    <row r="925">
      <c r="A925" s="184"/>
      <c r="B925" s="184"/>
      <c r="C925" s="184"/>
      <c r="D925" s="184"/>
      <c r="E925" s="184"/>
      <c r="F925" s="184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84"/>
      <c r="V925" s="184"/>
      <c r="W925" s="184"/>
      <c r="X925" s="184"/>
      <c r="Y925" s="184"/>
      <c r="Z925" s="184"/>
      <c r="AA925" s="184"/>
    </row>
    <row r="926">
      <c r="A926" s="184"/>
      <c r="B926" s="184"/>
      <c r="C926" s="184"/>
      <c r="D926" s="184"/>
      <c r="E926" s="184"/>
      <c r="F926" s="184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84"/>
      <c r="V926" s="184"/>
      <c r="W926" s="184"/>
      <c r="X926" s="184"/>
      <c r="Y926" s="184"/>
      <c r="Z926" s="184"/>
      <c r="AA926" s="184"/>
    </row>
    <row r="927">
      <c r="A927" s="184"/>
      <c r="B927" s="184"/>
      <c r="C927" s="184"/>
      <c r="D927" s="184"/>
      <c r="E927" s="184"/>
      <c r="F927" s="184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84"/>
      <c r="V927" s="184"/>
      <c r="W927" s="184"/>
      <c r="X927" s="184"/>
      <c r="Y927" s="184"/>
      <c r="Z927" s="184"/>
      <c r="AA927" s="184"/>
    </row>
    <row r="928">
      <c r="A928" s="184"/>
      <c r="B928" s="184"/>
      <c r="C928" s="184"/>
      <c r="D928" s="184"/>
      <c r="E928" s="184"/>
      <c r="F928" s="184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84"/>
      <c r="V928" s="184"/>
      <c r="W928" s="184"/>
      <c r="X928" s="184"/>
      <c r="Y928" s="184"/>
      <c r="Z928" s="184"/>
      <c r="AA928" s="184"/>
    </row>
    <row r="929">
      <c r="A929" s="184"/>
      <c r="B929" s="184"/>
      <c r="C929" s="184"/>
      <c r="D929" s="184"/>
      <c r="E929" s="184"/>
      <c r="F929" s="184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84"/>
      <c r="V929" s="184"/>
      <c r="W929" s="184"/>
      <c r="X929" s="184"/>
      <c r="Y929" s="184"/>
      <c r="Z929" s="184"/>
      <c r="AA929" s="184"/>
    </row>
    <row r="930">
      <c r="A930" s="184"/>
      <c r="B930" s="184"/>
      <c r="C930" s="184"/>
      <c r="D930" s="184"/>
      <c r="E930" s="184"/>
      <c r="F930" s="184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84"/>
      <c r="V930" s="184"/>
      <c r="W930" s="184"/>
      <c r="X930" s="184"/>
      <c r="Y930" s="184"/>
      <c r="Z930" s="184"/>
      <c r="AA930" s="184"/>
    </row>
    <row r="931">
      <c r="A931" s="184"/>
      <c r="B931" s="184"/>
      <c r="C931" s="184"/>
      <c r="D931" s="184"/>
      <c r="E931" s="184"/>
      <c r="F931" s="184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84"/>
      <c r="V931" s="184"/>
      <c r="W931" s="184"/>
      <c r="X931" s="184"/>
      <c r="Y931" s="184"/>
      <c r="Z931" s="184"/>
      <c r="AA931" s="184"/>
    </row>
    <row r="932">
      <c r="A932" s="184"/>
      <c r="B932" s="184"/>
      <c r="C932" s="184"/>
      <c r="D932" s="184"/>
      <c r="E932" s="184"/>
      <c r="F932" s="184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84"/>
      <c r="V932" s="184"/>
      <c r="W932" s="184"/>
      <c r="X932" s="184"/>
      <c r="Y932" s="184"/>
      <c r="Z932" s="184"/>
      <c r="AA932" s="184"/>
    </row>
    <row r="933">
      <c r="A933" s="184"/>
      <c r="B933" s="184"/>
      <c r="C933" s="184"/>
      <c r="D933" s="184"/>
      <c r="E933" s="184"/>
      <c r="F933" s="184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84"/>
      <c r="V933" s="184"/>
      <c r="W933" s="184"/>
      <c r="X933" s="184"/>
      <c r="Y933" s="184"/>
      <c r="Z933" s="184"/>
      <c r="AA933" s="184"/>
    </row>
    <row r="934">
      <c r="A934" s="184"/>
      <c r="B934" s="184"/>
      <c r="C934" s="184"/>
      <c r="D934" s="184"/>
      <c r="E934" s="184"/>
      <c r="F934" s="184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84"/>
      <c r="V934" s="184"/>
      <c r="W934" s="184"/>
      <c r="X934" s="184"/>
      <c r="Y934" s="184"/>
      <c r="Z934" s="184"/>
      <c r="AA934" s="184"/>
    </row>
    <row r="935">
      <c r="A935" s="184"/>
      <c r="B935" s="184"/>
      <c r="C935" s="184"/>
      <c r="D935" s="184"/>
      <c r="E935" s="184"/>
      <c r="F935" s="184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84"/>
      <c r="V935" s="184"/>
      <c r="W935" s="184"/>
      <c r="X935" s="184"/>
      <c r="Y935" s="184"/>
      <c r="Z935" s="184"/>
      <c r="AA935" s="184"/>
    </row>
    <row r="936">
      <c r="A936" s="184"/>
      <c r="B936" s="184"/>
      <c r="C936" s="184"/>
      <c r="D936" s="184"/>
      <c r="E936" s="184"/>
      <c r="F936" s="184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84"/>
      <c r="V936" s="184"/>
      <c r="W936" s="184"/>
      <c r="X936" s="184"/>
      <c r="Y936" s="184"/>
      <c r="Z936" s="184"/>
      <c r="AA936" s="184"/>
    </row>
    <row r="937">
      <c r="A937" s="184"/>
      <c r="B937" s="184"/>
      <c r="C937" s="184"/>
      <c r="D937" s="184"/>
      <c r="E937" s="184"/>
      <c r="F937" s="184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84"/>
      <c r="V937" s="184"/>
      <c r="W937" s="184"/>
      <c r="X937" s="184"/>
      <c r="Y937" s="184"/>
      <c r="Z937" s="184"/>
      <c r="AA937" s="184"/>
    </row>
    <row r="938">
      <c r="A938" s="184"/>
      <c r="B938" s="184"/>
      <c r="C938" s="184"/>
      <c r="D938" s="184"/>
      <c r="E938" s="184"/>
      <c r="F938" s="184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84"/>
      <c r="V938" s="184"/>
      <c r="W938" s="184"/>
      <c r="X938" s="184"/>
      <c r="Y938" s="184"/>
      <c r="Z938" s="184"/>
      <c r="AA938" s="184"/>
    </row>
    <row r="939">
      <c r="A939" s="184"/>
      <c r="B939" s="184"/>
      <c r="C939" s="184"/>
      <c r="D939" s="184"/>
      <c r="E939" s="184"/>
      <c r="F939" s="184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84"/>
      <c r="V939" s="184"/>
      <c r="W939" s="184"/>
      <c r="X939" s="184"/>
      <c r="Y939" s="184"/>
      <c r="Z939" s="184"/>
      <c r="AA939" s="184"/>
    </row>
    <row r="940">
      <c r="A940" s="184"/>
      <c r="B940" s="184"/>
      <c r="C940" s="184"/>
      <c r="D940" s="184"/>
      <c r="E940" s="184"/>
      <c r="F940" s="184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84"/>
      <c r="V940" s="184"/>
      <c r="W940" s="184"/>
      <c r="X940" s="184"/>
      <c r="Y940" s="184"/>
      <c r="Z940" s="184"/>
      <c r="AA940" s="184"/>
    </row>
    <row r="941">
      <c r="A941" s="184"/>
      <c r="B941" s="184"/>
      <c r="C941" s="184"/>
      <c r="D941" s="184"/>
      <c r="E941" s="184"/>
      <c r="F941" s="184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84"/>
      <c r="V941" s="184"/>
      <c r="W941" s="184"/>
      <c r="X941" s="184"/>
      <c r="Y941" s="184"/>
      <c r="Z941" s="184"/>
      <c r="AA941" s="184"/>
    </row>
    <row r="942">
      <c r="A942" s="184"/>
      <c r="B942" s="184"/>
      <c r="C942" s="184"/>
      <c r="D942" s="184"/>
      <c r="E942" s="184"/>
      <c r="F942" s="184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84"/>
      <c r="V942" s="184"/>
      <c r="W942" s="184"/>
      <c r="X942" s="184"/>
      <c r="Y942" s="184"/>
      <c r="Z942" s="184"/>
      <c r="AA942" s="184"/>
    </row>
    <row r="943">
      <c r="A943" s="184"/>
      <c r="B943" s="184"/>
      <c r="C943" s="184"/>
      <c r="D943" s="184"/>
      <c r="E943" s="184"/>
      <c r="F943" s="184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84"/>
      <c r="V943" s="184"/>
      <c r="W943" s="184"/>
      <c r="X943" s="184"/>
      <c r="Y943" s="184"/>
      <c r="Z943" s="184"/>
      <c r="AA943" s="184"/>
    </row>
    <row r="944">
      <c r="A944" s="184"/>
      <c r="B944" s="184"/>
      <c r="C944" s="184"/>
      <c r="D944" s="184"/>
      <c r="E944" s="184"/>
      <c r="F944" s="184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84"/>
      <c r="V944" s="184"/>
      <c r="W944" s="184"/>
      <c r="X944" s="184"/>
      <c r="Y944" s="184"/>
      <c r="Z944" s="184"/>
      <c r="AA944" s="184"/>
    </row>
    <row r="945">
      <c r="A945" s="184"/>
      <c r="B945" s="184"/>
      <c r="C945" s="184"/>
      <c r="D945" s="184"/>
      <c r="E945" s="184"/>
      <c r="F945" s="184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84"/>
      <c r="V945" s="184"/>
      <c r="W945" s="184"/>
      <c r="X945" s="184"/>
      <c r="Y945" s="184"/>
      <c r="Z945" s="184"/>
      <c r="AA945" s="184"/>
    </row>
    <row r="946">
      <c r="A946" s="184"/>
      <c r="B946" s="184"/>
      <c r="C946" s="184"/>
      <c r="D946" s="184"/>
      <c r="E946" s="184"/>
      <c r="F946" s="184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84"/>
      <c r="V946" s="184"/>
      <c r="W946" s="184"/>
      <c r="X946" s="184"/>
      <c r="Y946" s="184"/>
      <c r="Z946" s="184"/>
      <c r="AA946" s="184"/>
    </row>
    <row r="947">
      <c r="A947" s="184"/>
      <c r="B947" s="184"/>
      <c r="C947" s="184"/>
      <c r="D947" s="184"/>
      <c r="E947" s="184"/>
      <c r="F947" s="184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84"/>
      <c r="V947" s="184"/>
      <c r="W947" s="184"/>
      <c r="X947" s="184"/>
      <c r="Y947" s="184"/>
      <c r="Z947" s="184"/>
      <c r="AA947" s="184"/>
    </row>
    <row r="948">
      <c r="A948" s="184"/>
      <c r="B948" s="184"/>
      <c r="C948" s="184"/>
      <c r="D948" s="184"/>
      <c r="E948" s="184"/>
      <c r="F948" s="184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84"/>
      <c r="V948" s="184"/>
      <c r="W948" s="184"/>
      <c r="X948" s="184"/>
      <c r="Y948" s="184"/>
      <c r="Z948" s="184"/>
      <c r="AA948" s="184"/>
    </row>
    <row r="949">
      <c r="A949" s="184"/>
      <c r="B949" s="184"/>
      <c r="C949" s="184"/>
      <c r="D949" s="184"/>
      <c r="E949" s="184"/>
      <c r="F949" s="184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84"/>
      <c r="V949" s="184"/>
      <c r="W949" s="184"/>
      <c r="X949" s="184"/>
      <c r="Y949" s="184"/>
      <c r="Z949" s="184"/>
      <c r="AA949" s="184"/>
    </row>
    <row r="950">
      <c r="A950" s="184"/>
      <c r="B950" s="184"/>
      <c r="C950" s="184"/>
      <c r="D950" s="184"/>
      <c r="E950" s="184"/>
      <c r="F950" s="184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84"/>
      <c r="V950" s="184"/>
      <c r="W950" s="184"/>
      <c r="X950" s="184"/>
      <c r="Y950" s="184"/>
      <c r="Z950" s="184"/>
      <c r="AA950" s="184"/>
    </row>
    <row r="951">
      <c r="A951" s="184"/>
      <c r="B951" s="184"/>
      <c r="C951" s="184"/>
      <c r="D951" s="184"/>
      <c r="E951" s="184"/>
      <c r="F951" s="184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84"/>
      <c r="V951" s="184"/>
      <c r="W951" s="184"/>
      <c r="X951" s="184"/>
      <c r="Y951" s="184"/>
      <c r="Z951" s="184"/>
      <c r="AA951" s="184"/>
    </row>
    <row r="952">
      <c r="A952" s="184"/>
      <c r="B952" s="184"/>
      <c r="C952" s="184"/>
      <c r="D952" s="184"/>
      <c r="E952" s="184"/>
      <c r="F952" s="184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84"/>
      <c r="V952" s="184"/>
      <c r="W952" s="184"/>
      <c r="X952" s="184"/>
      <c r="Y952" s="184"/>
      <c r="Z952" s="184"/>
      <c r="AA952" s="184"/>
    </row>
    <row r="953">
      <c r="A953" s="184"/>
      <c r="B953" s="184"/>
      <c r="C953" s="184"/>
      <c r="D953" s="184"/>
      <c r="E953" s="184"/>
      <c r="F953" s="184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84"/>
      <c r="V953" s="184"/>
      <c r="W953" s="184"/>
      <c r="X953" s="184"/>
      <c r="Y953" s="184"/>
      <c r="Z953" s="184"/>
      <c r="AA953" s="184"/>
    </row>
    <row r="954">
      <c r="A954" s="184"/>
      <c r="B954" s="184"/>
      <c r="C954" s="184"/>
      <c r="D954" s="184"/>
      <c r="E954" s="184"/>
      <c r="F954" s="184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84"/>
      <c r="V954" s="184"/>
      <c r="W954" s="184"/>
      <c r="X954" s="184"/>
      <c r="Y954" s="184"/>
      <c r="Z954" s="184"/>
      <c r="AA954" s="184"/>
    </row>
    <row r="955">
      <c r="A955" s="184"/>
      <c r="B955" s="184"/>
      <c r="C955" s="184"/>
      <c r="D955" s="184"/>
      <c r="E955" s="184"/>
      <c r="F955" s="184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84"/>
      <c r="V955" s="184"/>
      <c r="W955" s="184"/>
      <c r="X955" s="184"/>
      <c r="Y955" s="184"/>
      <c r="Z955" s="184"/>
      <c r="AA955" s="184"/>
    </row>
    <row r="956">
      <c r="A956" s="184"/>
      <c r="B956" s="184"/>
      <c r="C956" s="184"/>
      <c r="D956" s="184"/>
      <c r="E956" s="184"/>
      <c r="F956" s="184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84"/>
      <c r="V956" s="184"/>
      <c r="W956" s="184"/>
      <c r="X956" s="184"/>
      <c r="Y956" s="184"/>
      <c r="Z956" s="184"/>
      <c r="AA956" s="184"/>
    </row>
    <row r="957">
      <c r="A957" s="184"/>
      <c r="B957" s="184"/>
      <c r="C957" s="184"/>
      <c r="D957" s="184"/>
      <c r="E957" s="184"/>
      <c r="F957" s="184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84"/>
      <c r="V957" s="184"/>
      <c r="W957" s="184"/>
      <c r="X957" s="184"/>
      <c r="Y957" s="184"/>
      <c r="Z957" s="184"/>
      <c r="AA957" s="184"/>
    </row>
    <row r="958">
      <c r="A958" s="184"/>
      <c r="B958" s="184"/>
      <c r="C958" s="184"/>
      <c r="D958" s="184"/>
      <c r="E958" s="184"/>
      <c r="F958" s="184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84"/>
      <c r="V958" s="184"/>
      <c r="W958" s="184"/>
      <c r="X958" s="184"/>
      <c r="Y958" s="184"/>
      <c r="Z958" s="184"/>
      <c r="AA958" s="184"/>
    </row>
    <row r="959">
      <c r="A959" s="184"/>
      <c r="B959" s="184"/>
      <c r="C959" s="184"/>
      <c r="D959" s="184"/>
      <c r="E959" s="184"/>
      <c r="F959" s="184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84"/>
      <c r="V959" s="184"/>
      <c r="W959" s="184"/>
      <c r="X959" s="184"/>
      <c r="Y959" s="184"/>
      <c r="Z959" s="184"/>
      <c r="AA959" s="184"/>
    </row>
    <row r="960">
      <c r="A960" s="184"/>
      <c r="B960" s="184"/>
      <c r="C960" s="184"/>
      <c r="D960" s="184"/>
      <c r="E960" s="184"/>
      <c r="F960" s="184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84"/>
      <c r="V960" s="184"/>
      <c r="W960" s="184"/>
      <c r="X960" s="184"/>
      <c r="Y960" s="184"/>
      <c r="Z960" s="184"/>
      <c r="AA960" s="184"/>
    </row>
    <row r="961">
      <c r="A961" s="184"/>
      <c r="B961" s="184"/>
      <c r="C961" s="184"/>
      <c r="D961" s="184"/>
      <c r="E961" s="184"/>
      <c r="F961" s="184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84"/>
      <c r="V961" s="184"/>
      <c r="W961" s="184"/>
      <c r="X961" s="184"/>
      <c r="Y961" s="184"/>
      <c r="Z961" s="184"/>
      <c r="AA961" s="184"/>
    </row>
    <row r="962">
      <c r="A962" s="184"/>
      <c r="B962" s="184"/>
      <c r="C962" s="184"/>
      <c r="D962" s="184"/>
      <c r="E962" s="184"/>
      <c r="F962" s="184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84"/>
      <c r="V962" s="184"/>
      <c r="W962" s="184"/>
      <c r="X962" s="184"/>
      <c r="Y962" s="184"/>
      <c r="Z962" s="184"/>
      <c r="AA962" s="184"/>
    </row>
    <row r="963">
      <c r="A963" s="184"/>
      <c r="B963" s="184"/>
      <c r="C963" s="184"/>
      <c r="D963" s="184"/>
      <c r="E963" s="184"/>
      <c r="F963" s="184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84"/>
      <c r="V963" s="184"/>
      <c r="W963" s="184"/>
      <c r="X963" s="184"/>
      <c r="Y963" s="184"/>
      <c r="Z963" s="184"/>
      <c r="AA963" s="184"/>
    </row>
    <row r="964">
      <c r="A964" s="184"/>
      <c r="B964" s="184"/>
      <c r="C964" s="184"/>
      <c r="D964" s="184"/>
      <c r="E964" s="184"/>
      <c r="F964" s="184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84"/>
      <c r="V964" s="184"/>
      <c r="W964" s="184"/>
      <c r="X964" s="184"/>
      <c r="Y964" s="184"/>
      <c r="Z964" s="184"/>
      <c r="AA964" s="184"/>
    </row>
    <row r="965">
      <c r="A965" s="184"/>
      <c r="B965" s="184"/>
      <c r="C965" s="184"/>
      <c r="D965" s="184"/>
      <c r="E965" s="184"/>
      <c r="F965" s="184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84"/>
      <c r="V965" s="184"/>
      <c r="W965" s="184"/>
      <c r="X965" s="184"/>
      <c r="Y965" s="184"/>
      <c r="Z965" s="184"/>
      <c r="AA965" s="184"/>
    </row>
    <row r="966">
      <c r="A966" s="184"/>
      <c r="B966" s="184"/>
      <c r="C966" s="184"/>
      <c r="D966" s="184"/>
      <c r="E966" s="184"/>
      <c r="F966" s="184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84"/>
      <c r="V966" s="184"/>
      <c r="W966" s="184"/>
      <c r="X966" s="184"/>
      <c r="Y966" s="184"/>
      <c r="Z966" s="184"/>
      <c r="AA966" s="184"/>
    </row>
    <row r="967">
      <c r="A967" s="184"/>
      <c r="B967" s="184"/>
      <c r="C967" s="184"/>
      <c r="D967" s="184"/>
      <c r="E967" s="184"/>
      <c r="F967" s="184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84"/>
      <c r="V967" s="184"/>
      <c r="W967" s="184"/>
      <c r="X967" s="184"/>
      <c r="Y967" s="184"/>
      <c r="Z967" s="184"/>
      <c r="AA967" s="184"/>
    </row>
    <row r="968">
      <c r="A968" s="184"/>
      <c r="B968" s="184"/>
      <c r="C968" s="184"/>
      <c r="D968" s="184"/>
      <c r="E968" s="184"/>
      <c r="F968" s="184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84"/>
      <c r="V968" s="184"/>
      <c r="W968" s="184"/>
      <c r="X968" s="184"/>
      <c r="Y968" s="184"/>
      <c r="Z968" s="184"/>
      <c r="AA968" s="184"/>
    </row>
    <row r="969">
      <c r="A969" s="184"/>
      <c r="B969" s="184"/>
      <c r="C969" s="184"/>
      <c r="D969" s="184"/>
      <c r="E969" s="184"/>
      <c r="F969" s="184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84"/>
      <c r="V969" s="184"/>
      <c r="W969" s="184"/>
      <c r="X969" s="184"/>
      <c r="Y969" s="184"/>
      <c r="Z969" s="184"/>
      <c r="AA969" s="184"/>
    </row>
    <row r="970">
      <c r="A970" s="184"/>
      <c r="B970" s="184"/>
      <c r="C970" s="184"/>
      <c r="D970" s="184"/>
      <c r="E970" s="184"/>
      <c r="F970" s="184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84"/>
      <c r="V970" s="184"/>
      <c r="W970" s="184"/>
      <c r="X970" s="184"/>
      <c r="Y970" s="184"/>
      <c r="Z970" s="184"/>
      <c r="AA970" s="184"/>
    </row>
    <row r="971">
      <c r="A971" s="184"/>
      <c r="B971" s="184"/>
      <c r="C971" s="184"/>
      <c r="D971" s="184"/>
      <c r="E971" s="184"/>
      <c r="F971" s="184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84"/>
      <c r="V971" s="184"/>
      <c r="W971" s="184"/>
      <c r="X971" s="184"/>
      <c r="Y971" s="184"/>
      <c r="Z971" s="184"/>
      <c r="AA971" s="184"/>
    </row>
    <row r="972">
      <c r="A972" s="184"/>
      <c r="B972" s="184"/>
      <c r="C972" s="184"/>
      <c r="D972" s="184"/>
      <c r="E972" s="184"/>
      <c r="F972" s="184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84"/>
      <c r="V972" s="184"/>
      <c r="W972" s="184"/>
      <c r="X972" s="184"/>
      <c r="Y972" s="184"/>
      <c r="Z972" s="184"/>
      <c r="AA972" s="184"/>
    </row>
    <row r="973">
      <c r="A973" s="184"/>
      <c r="B973" s="184"/>
      <c r="C973" s="184"/>
      <c r="D973" s="184"/>
      <c r="E973" s="184"/>
      <c r="F973" s="184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84"/>
      <c r="V973" s="184"/>
      <c r="W973" s="184"/>
      <c r="X973" s="184"/>
      <c r="Y973" s="184"/>
      <c r="Z973" s="184"/>
      <c r="AA973" s="184"/>
    </row>
    <row r="974">
      <c r="A974" s="184"/>
      <c r="B974" s="184"/>
      <c r="C974" s="184"/>
      <c r="D974" s="184"/>
      <c r="E974" s="184"/>
      <c r="F974" s="184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84"/>
      <c r="V974" s="184"/>
      <c r="W974" s="184"/>
      <c r="X974" s="184"/>
      <c r="Y974" s="184"/>
      <c r="Z974" s="184"/>
      <c r="AA974" s="184"/>
    </row>
    <row r="975">
      <c r="A975" s="184"/>
      <c r="B975" s="184"/>
      <c r="C975" s="184"/>
      <c r="D975" s="184"/>
      <c r="E975" s="184"/>
      <c r="F975" s="184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84"/>
      <c r="V975" s="184"/>
      <c r="W975" s="184"/>
      <c r="X975" s="184"/>
      <c r="Y975" s="184"/>
      <c r="Z975" s="184"/>
      <c r="AA975" s="184"/>
    </row>
    <row r="976">
      <c r="A976" s="184"/>
      <c r="B976" s="184"/>
      <c r="C976" s="184"/>
      <c r="D976" s="184"/>
      <c r="E976" s="184"/>
      <c r="F976" s="184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84"/>
      <c r="V976" s="184"/>
      <c r="W976" s="184"/>
      <c r="X976" s="184"/>
      <c r="Y976" s="184"/>
      <c r="Z976" s="184"/>
      <c r="AA976" s="184"/>
    </row>
    <row r="977">
      <c r="A977" s="184"/>
      <c r="B977" s="184"/>
      <c r="C977" s="184"/>
      <c r="D977" s="184"/>
      <c r="E977" s="184"/>
      <c r="F977" s="184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84"/>
      <c r="V977" s="184"/>
      <c r="W977" s="184"/>
      <c r="X977" s="184"/>
      <c r="Y977" s="184"/>
      <c r="Z977" s="184"/>
      <c r="AA977" s="184"/>
    </row>
    <row r="978">
      <c r="A978" s="184"/>
      <c r="B978" s="184"/>
      <c r="C978" s="184"/>
      <c r="D978" s="184"/>
      <c r="E978" s="184"/>
      <c r="F978" s="184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84"/>
      <c r="V978" s="184"/>
      <c r="W978" s="184"/>
      <c r="X978" s="184"/>
      <c r="Y978" s="184"/>
      <c r="Z978" s="184"/>
      <c r="AA978" s="184"/>
    </row>
    <row r="979">
      <c r="A979" s="184"/>
      <c r="B979" s="184"/>
      <c r="C979" s="184"/>
      <c r="D979" s="184"/>
      <c r="E979" s="184"/>
      <c r="F979" s="184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84"/>
      <c r="V979" s="184"/>
      <c r="W979" s="184"/>
      <c r="X979" s="184"/>
      <c r="Y979" s="184"/>
      <c r="Z979" s="184"/>
      <c r="AA979" s="184"/>
    </row>
    <row r="980">
      <c r="A980" s="184"/>
      <c r="B980" s="184"/>
      <c r="C980" s="184"/>
      <c r="D980" s="184"/>
      <c r="E980" s="184"/>
      <c r="F980" s="184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84"/>
      <c r="V980" s="184"/>
      <c r="W980" s="184"/>
      <c r="X980" s="184"/>
      <c r="Y980" s="184"/>
      <c r="Z980" s="184"/>
      <c r="AA980" s="184"/>
    </row>
    <row r="981">
      <c r="A981" s="184"/>
      <c r="B981" s="184"/>
      <c r="C981" s="184"/>
      <c r="D981" s="184"/>
      <c r="E981" s="184"/>
      <c r="F981" s="184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84"/>
      <c r="V981" s="184"/>
      <c r="W981" s="184"/>
      <c r="X981" s="184"/>
      <c r="Y981" s="184"/>
      <c r="Z981" s="184"/>
      <c r="AA981" s="184"/>
    </row>
    <row r="982">
      <c r="A982" s="184"/>
      <c r="B982" s="184"/>
      <c r="C982" s="184"/>
      <c r="D982" s="184"/>
      <c r="E982" s="184"/>
      <c r="F982" s="184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84"/>
      <c r="V982" s="184"/>
      <c r="W982" s="184"/>
      <c r="X982" s="184"/>
      <c r="Y982" s="184"/>
      <c r="Z982" s="184"/>
      <c r="AA982" s="184"/>
    </row>
    <row r="983">
      <c r="A983" s="184"/>
      <c r="B983" s="184"/>
      <c r="C983" s="184"/>
      <c r="D983" s="184"/>
      <c r="E983" s="184"/>
      <c r="F983" s="184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84"/>
      <c r="V983" s="184"/>
      <c r="W983" s="184"/>
      <c r="X983" s="184"/>
      <c r="Y983" s="184"/>
      <c r="Z983" s="184"/>
      <c r="AA983" s="184"/>
    </row>
    <row r="984">
      <c r="A984" s="184"/>
      <c r="B984" s="184"/>
      <c r="C984" s="184"/>
      <c r="D984" s="184"/>
      <c r="E984" s="184"/>
      <c r="F984" s="184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84"/>
      <c r="V984" s="184"/>
      <c r="W984" s="184"/>
      <c r="X984" s="184"/>
      <c r="Y984" s="184"/>
      <c r="Z984" s="184"/>
      <c r="AA984" s="184"/>
    </row>
    <row r="985">
      <c r="A985" s="184"/>
      <c r="B985" s="184"/>
      <c r="C985" s="184"/>
      <c r="D985" s="184"/>
      <c r="E985" s="184"/>
      <c r="F985" s="184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84"/>
      <c r="V985" s="184"/>
      <c r="W985" s="184"/>
      <c r="X985" s="184"/>
      <c r="Y985" s="184"/>
      <c r="Z985" s="184"/>
      <c r="AA985" s="184"/>
    </row>
    <row r="986">
      <c r="A986" s="184"/>
      <c r="B986" s="184"/>
      <c r="C986" s="184"/>
      <c r="D986" s="184"/>
      <c r="E986" s="184"/>
      <c r="F986" s="184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84"/>
      <c r="V986" s="184"/>
      <c r="W986" s="184"/>
      <c r="X986" s="184"/>
      <c r="Y986" s="184"/>
      <c r="Z986" s="184"/>
      <c r="AA986" s="184"/>
    </row>
    <row r="987">
      <c r="A987" s="184"/>
      <c r="B987" s="184"/>
      <c r="C987" s="184"/>
      <c r="D987" s="184"/>
      <c r="E987" s="184"/>
      <c r="F987" s="184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84"/>
      <c r="V987" s="184"/>
      <c r="W987" s="184"/>
      <c r="X987" s="184"/>
      <c r="Y987" s="184"/>
      <c r="Z987" s="184"/>
      <c r="AA987" s="184"/>
    </row>
    <row r="988">
      <c r="A988" s="184"/>
      <c r="B988" s="184"/>
      <c r="C988" s="184"/>
      <c r="D988" s="184"/>
      <c r="E988" s="184"/>
      <c r="F988" s="184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84"/>
      <c r="V988" s="184"/>
      <c r="W988" s="184"/>
      <c r="X988" s="184"/>
      <c r="Y988" s="184"/>
      <c r="Z988" s="184"/>
      <c r="AA988" s="184"/>
    </row>
    <row r="989">
      <c r="A989" s="184"/>
      <c r="B989" s="184"/>
      <c r="C989" s="184"/>
      <c r="D989" s="184"/>
      <c r="E989" s="184"/>
      <c r="F989" s="184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84"/>
      <c r="V989" s="184"/>
      <c r="W989" s="184"/>
      <c r="X989" s="184"/>
      <c r="Y989" s="184"/>
      <c r="Z989" s="184"/>
      <c r="AA989" s="184"/>
    </row>
    <row r="990">
      <c r="A990" s="184"/>
      <c r="B990" s="184"/>
      <c r="C990" s="184"/>
      <c r="D990" s="184"/>
      <c r="E990" s="184"/>
      <c r="F990" s="184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84"/>
      <c r="V990" s="184"/>
      <c r="W990" s="184"/>
      <c r="X990" s="184"/>
      <c r="Y990" s="184"/>
      <c r="Z990" s="184"/>
      <c r="AA990" s="184"/>
    </row>
  </sheetData>
  <mergeCells count="3">
    <mergeCell ref="A15:A16"/>
    <mergeCell ref="A17:A18"/>
    <mergeCell ref="A19:A20"/>
  </mergeCells>
  <hyperlinks>
    <hyperlink r:id="rId1" ref="E3"/>
    <hyperlink r:id="rId2" ref="E4"/>
    <hyperlink r:id="rId3" ref="E5"/>
    <hyperlink r:id="rId4" ref="E6"/>
    <hyperlink r:id="rId5" ref="E8"/>
    <hyperlink r:id="rId6" ref="E9"/>
    <hyperlink r:id="rId7" ref="E12"/>
    <hyperlink r:id="rId8" ref="E13"/>
  </hyperlinks>
  <drawing r:id="rId9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31.0"/>
    <col customWidth="1" min="3" max="3" width="18.5"/>
    <col customWidth="1" min="4" max="4" width="23.75"/>
    <col customWidth="1" min="5" max="5" width="34.25"/>
    <col customWidth="1" min="6" max="6" width="26.0"/>
    <col customWidth="1" min="7" max="7" width="24.38"/>
  </cols>
  <sheetData>
    <row r="1">
      <c r="A1" s="382" t="s">
        <v>755</v>
      </c>
      <c r="B1" s="382" t="s">
        <v>189</v>
      </c>
      <c r="C1" s="382" t="s">
        <v>243</v>
      </c>
      <c r="D1" s="382" t="s">
        <v>245</v>
      </c>
      <c r="E1" s="382" t="s">
        <v>246</v>
      </c>
      <c r="F1" s="383" t="s">
        <v>247</v>
      </c>
      <c r="G1" s="383" t="s">
        <v>244</v>
      </c>
      <c r="H1" s="384" t="s">
        <v>248</v>
      </c>
      <c r="I1" s="385"/>
      <c r="J1" s="385"/>
      <c r="K1" s="386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</row>
    <row r="2">
      <c r="A2" s="387" t="s">
        <v>25</v>
      </c>
      <c r="B2" s="227" t="s">
        <v>722</v>
      </c>
      <c r="C2" s="396">
        <v>5.55582502E8</v>
      </c>
      <c r="D2" s="409" t="s">
        <v>723</v>
      </c>
      <c r="E2" s="391"/>
      <c r="F2" s="391"/>
      <c r="G2" s="392"/>
      <c r="H2" s="392"/>
      <c r="I2" s="391"/>
      <c r="J2" s="391"/>
      <c r="K2" s="146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</row>
    <row r="3">
      <c r="A3" s="387" t="s">
        <v>25</v>
      </c>
      <c r="B3" s="227" t="s">
        <v>756</v>
      </c>
      <c r="C3" s="396" t="s">
        <v>757</v>
      </c>
      <c r="D3" s="409" t="s">
        <v>758</v>
      </c>
      <c r="E3" s="391"/>
      <c r="F3" s="391"/>
      <c r="G3" s="392"/>
      <c r="H3" s="392"/>
      <c r="I3" s="391"/>
      <c r="J3" s="392"/>
      <c r="K3" s="146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</row>
    <row r="4">
      <c r="A4" s="395" t="s">
        <v>39</v>
      </c>
      <c r="B4" s="407" t="s">
        <v>588</v>
      </c>
      <c r="C4" s="397"/>
      <c r="D4" s="400" t="s">
        <v>759</v>
      </c>
      <c r="E4" s="397"/>
      <c r="F4" s="391"/>
      <c r="G4" s="398"/>
      <c r="H4" s="391"/>
      <c r="I4" s="391"/>
      <c r="J4" s="391"/>
      <c r="K4" s="149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</row>
    <row r="5">
      <c r="A5" s="395" t="s">
        <v>39</v>
      </c>
      <c r="B5" s="407" t="s">
        <v>760</v>
      </c>
      <c r="C5" s="399"/>
      <c r="D5" s="400" t="s">
        <v>761</v>
      </c>
      <c r="E5" s="391"/>
      <c r="F5" s="391"/>
      <c r="G5" s="392"/>
      <c r="H5" s="391"/>
      <c r="I5" s="392"/>
      <c r="J5" s="392"/>
      <c r="K5" s="149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</row>
    <row r="6">
      <c r="A6" s="395" t="s">
        <v>39</v>
      </c>
      <c r="B6" s="407" t="s">
        <v>762</v>
      </c>
      <c r="C6" s="399"/>
      <c r="D6" s="400" t="s">
        <v>763</v>
      </c>
      <c r="E6" s="391"/>
      <c r="F6" s="391"/>
      <c r="G6" s="392"/>
      <c r="H6" s="391"/>
      <c r="I6" s="392"/>
      <c r="J6" s="402"/>
      <c r="K6" s="403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</row>
    <row r="7">
      <c r="A7" s="7"/>
      <c r="B7" s="7"/>
      <c r="C7" s="7"/>
      <c r="D7" s="7"/>
      <c r="E7" s="7"/>
      <c r="F7" s="7"/>
      <c r="G7" s="392"/>
      <c r="H7" s="392"/>
      <c r="I7" s="391"/>
      <c r="J7" s="402"/>
      <c r="K7" s="403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</row>
    <row r="8">
      <c r="A8" s="452" t="s">
        <v>64</v>
      </c>
      <c r="B8" s="228" t="s">
        <v>764</v>
      </c>
      <c r="C8" s="396">
        <v>7.77787406E8</v>
      </c>
      <c r="D8" s="409" t="s">
        <v>337</v>
      </c>
      <c r="E8" s="397"/>
      <c r="F8" s="391"/>
      <c r="G8" s="392"/>
      <c r="H8" s="392"/>
      <c r="I8" s="391"/>
      <c r="J8" s="391"/>
      <c r="K8" s="149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</row>
    <row r="9">
      <c r="A9" s="452" t="s">
        <v>64</v>
      </c>
      <c r="B9" s="228" t="s">
        <v>765</v>
      </c>
      <c r="C9" s="396" t="s">
        <v>766</v>
      </c>
      <c r="D9" s="409" t="s">
        <v>683</v>
      </c>
      <c r="E9" s="397"/>
      <c r="F9" s="391"/>
      <c r="G9" s="392"/>
      <c r="H9" s="392"/>
      <c r="I9" s="391"/>
      <c r="J9" s="391"/>
      <c r="K9" s="403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</row>
    <row r="10">
      <c r="A10" s="453" t="s">
        <v>64</v>
      </c>
      <c r="B10" s="380" t="s">
        <v>767</v>
      </c>
      <c r="C10" s="7"/>
      <c r="D10" s="227" t="s">
        <v>768</v>
      </c>
      <c r="E10" s="391"/>
      <c r="F10" s="391"/>
      <c r="G10" s="392"/>
      <c r="H10" s="392"/>
      <c r="I10" s="392"/>
      <c r="J10" s="391"/>
      <c r="K10" s="403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</row>
    <row r="11">
      <c r="A11" s="453" t="s">
        <v>64</v>
      </c>
      <c r="B11" s="401" t="s">
        <v>769</v>
      </c>
      <c r="C11" s="7"/>
      <c r="D11" s="157" t="s">
        <v>770</v>
      </c>
      <c r="E11" s="391"/>
      <c r="F11" s="391"/>
      <c r="G11" s="392"/>
      <c r="H11" s="392"/>
      <c r="I11" s="392"/>
      <c r="J11" s="411"/>
      <c r="K11" s="403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</row>
    <row r="12">
      <c r="A12" s="413" t="s">
        <v>78</v>
      </c>
      <c r="B12" s="228" t="s">
        <v>771</v>
      </c>
      <c r="C12" s="396" t="s">
        <v>772</v>
      </c>
      <c r="D12" s="157" t="s">
        <v>773</v>
      </c>
      <c r="E12" s="391"/>
      <c r="F12" s="391"/>
      <c r="G12" s="391"/>
      <c r="H12" s="392"/>
      <c r="I12" s="392"/>
      <c r="J12" s="402"/>
      <c r="K12" s="403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</row>
    <row r="13">
      <c r="A13" s="413" t="s">
        <v>78</v>
      </c>
      <c r="B13" s="228" t="s">
        <v>774</v>
      </c>
      <c r="C13" s="228">
        <v>5.09980055E8</v>
      </c>
      <c r="D13" s="157" t="s">
        <v>775</v>
      </c>
      <c r="E13" s="403"/>
      <c r="F13" s="403"/>
      <c r="G13" s="403"/>
      <c r="H13" s="403"/>
      <c r="I13" s="149"/>
      <c r="J13" s="403"/>
      <c r="K13" s="403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</row>
    <row r="14">
      <c r="A14" s="149"/>
      <c r="B14" s="184"/>
      <c r="C14" s="149"/>
      <c r="D14" s="149"/>
      <c r="E14" s="149"/>
      <c r="F14" s="403"/>
      <c r="G14" s="403"/>
      <c r="H14" s="403"/>
      <c r="I14" s="403"/>
      <c r="J14" s="403"/>
      <c r="K14" s="403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</row>
    <row r="15">
      <c r="A15" s="149"/>
      <c r="B15" s="149"/>
      <c r="C15" s="149"/>
      <c r="D15" s="149"/>
      <c r="E15" s="149"/>
      <c r="F15" s="403"/>
      <c r="G15" s="403"/>
      <c r="H15" s="403"/>
      <c r="I15" s="403"/>
      <c r="J15" s="403"/>
      <c r="K15" s="403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</row>
    <row r="16">
      <c r="A16" s="414" t="s">
        <v>704</v>
      </c>
      <c r="B16" s="371" t="s">
        <v>705</v>
      </c>
      <c r="C16" s="371">
        <v>7.02951774E8</v>
      </c>
      <c r="D16" s="415" t="s">
        <v>706</v>
      </c>
      <c r="E16" s="149"/>
      <c r="F16" s="403"/>
      <c r="G16" s="403"/>
      <c r="H16" s="403"/>
      <c r="I16" s="403"/>
      <c r="J16" s="403"/>
      <c r="K16" s="403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</row>
    <row r="17">
      <c r="A17" s="34"/>
      <c r="B17" s="454" t="s">
        <v>707</v>
      </c>
      <c r="C17" s="38">
        <v>5.53120044E8</v>
      </c>
      <c r="D17" s="371" t="s">
        <v>708</v>
      </c>
      <c r="E17" s="149"/>
      <c r="F17" s="149"/>
      <c r="G17" s="149"/>
      <c r="H17" s="149"/>
      <c r="I17" s="149"/>
      <c r="J17" s="149"/>
      <c r="K17" s="149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</row>
    <row r="18">
      <c r="A18" s="417" t="s">
        <v>709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</row>
    <row r="19">
      <c r="A19" s="34"/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</row>
    <row r="20">
      <c r="A20" s="418" t="s">
        <v>710</v>
      </c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</row>
    <row r="21">
      <c r="A21" s="34"/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</row>
    <row r="22">
      <c r="A22" s="184"/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</row>
    <row r="23">
      <c r="A23" s="184"/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</row>
    <row r="24">
      <c r="A24" s="184"/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</row>
    <row r="25">
      <c r="A25" s="184"/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</row>
    <row r="26">
      <c r="A26" s="184"/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</row>
    <row r="27">
      <c r="A27" s="184"/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</row>
    <row r="28">
      <c r="A28" s="184"/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</row>
    <row r="29">
      <c r="A29" s="184"/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</row>
    <row r="30">
      <c r="A30" s="184"/>
      <c r="B30" s="184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</row>
    <row r="31">
      <c r="A31" s="184"/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</row>
    <row r="32">
      <c r="A32" s="184"/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</row>
    <row r="33">
      <c r="A33" s="184"/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</row>
    <row r="34">
      <c r="A34" s="184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</row>
    <row r="35">
      <c r="A35" s="184"/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</row>
    <row r="36">
      <c r="A36" s="184"/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</row>
    <row r="37">
      <c r="A37" s="184"/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</row>
    <row r="38">
      <c r="A38" s="184"/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</row>
    <row r="39">
      <c r="A39" s="184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</row>
    <row r="40">
      <c r="A40" s="184"/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</row>
    <row r="41">
      <c r="A41" s="184"/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</row>
    <row r="42">
      <c r="A42" s="184"/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</row>
    <row r="43">
      <c r="A43" s="184"/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</row>
    <row r="44">
      <c r="A44" s="184"/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</row>
    <row r="45">
      <c r="A45" s="184"/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</row>
    <row r="46">
      <c r="A46" s="184"/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</row>
    <row r="47">
      <c r="A47" s="184"/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</row>
    <row r="48">
      <c r="A48" s="184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</row>
    <row r="49">
      <c r="A49" s="184"/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</row>
    <row r="50">
      <c r="A50" s="184"/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</row>
    <row r="51">
      <c r="A51" s="184"/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</row>
    <row r="52">
      <c r="A52" s="184"/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</row>
    <row r="53">
      <c r="A53" s="184"/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</row>
    <row r="54">
      <c r="A54" s="184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</row>
    <row r="55">
      <c r="A55" s="184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</row>
    <row r="56">
      <c r="A56" s="184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</row>
    <row r="57">
      <c r="A57" s="184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</row>
    <row r="58">
      <c r="A58" s="184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</row>
    <row r="59">
      <c r="A59" s="184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</row>
    <row r="60">
      <c r="A60" s="184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</row>
    <row r="61">
      <c r="A61" s="184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</row>
    <row r="62">
      <c r="A62" s="184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4"/>
    </row>
    <row r="63">
      <c r="A63" s="184"/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4"/>
    </row>
    <row r="64">
      <c r="A64" s="184"/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</row>
    <row r="65">
      <c r="A65" s="184"/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4"/>
    </row>
    <row r="66">
      <c r="A66" s="184"/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</row>
    <row r="67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</row>
    <row r="68">
      <c r="A68" s="184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4"/>
    </row>
    <row r="69">
      <c r="A69" s="184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</row>
    <row r="70">
      <c r="A70" s="184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4"/>
    </row>
    <row r="71">
      <c r="A71" s="184"/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4"/>
    </row>
    <row r="72">
      <c r="A72" s="184"/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4"/>
    </row>
    <row r="73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4"/>
    </row>
    <row r="74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</row>
    <row r="75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</row>
    <row r="76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</row>
    <row r="77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</row>
    <row r="78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4"/>
    </row>
    <row r="79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  <c r="AA79" s="184"/>
    </row>
    <row r="80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  <c r="AA80" s="184"/>
    </row>
    <row r="81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  <c r="AA81" s="184"/>
    </row>
    <row r="82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  <c r="AA82" s="184"/>
    </row>
    <row r="83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  <c r="AA83" s="184"/>
    </row>
    <row r="84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  <c r="AA84" s="184"/>
    </row>
    <row r="85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</row>
    <row r="8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</row>
    <row r="87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84"/>
    </row>
    <row r="88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</row>
    <row r="89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  <c r="AA89" s="184"/>
    </row>
    <row r="90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  <c r="AA90" s="184"/>
    </row>
    <row r="91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  <c r="AA91" s="184"/>
    </row>
    <row r="92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</row>
    <row r="93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  <c r="AA93" s="184"/>
    </row>
    <row r="94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  <c r="AA94" s="184"/>
    </row>
    <row r="95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  <c r="AA95" s="184"/>
    </row>
    <row r="9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  <c r="AA96" s="184"/>
    </row>
    <row r="97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  <c r="AA97" s="184"/>
    </row>
    <row r="98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  <c r="AA98" s="184"/>
    </row>
    <row r="99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  <c r="AA99" s="184"/>
    </row>
    <row r="100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  <c r="AA100" s="184"/>
    </row>
    <row r="101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  <c r="AA101" s="184"/>
    </row>
    <row r="102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  <c r="AA102" s="184"/>
    </row>
    <row r="103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  <c r="AA103" s="184"/>
    </row>
    <row r="104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  <c r="AA104" s="184"/>
    </row>
    <row r="105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  <c r="AA105" s="184"/>
    </row>
    <row r="10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  <c r="AA106" s="184"/>
    </row>
    <row r="107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  <c r="AA107" s="184"/>
    </row>
    <row r="108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  <c r="AA108" s="184"/>
    </row>
    <row r="109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  <c r="AA109" s="184"/>
    </row>
    <row r="110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  <c r="AA110" s="184"/>
    </row>
    <row r="111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</row>
    <row r="112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</row>
    <row r="113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  <c r="AA113" s="184"/>
    </row>
    <row r="114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</row>
    <row r="115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</row>
    <row r="11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</row>
    <row r="117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  <c r="AA117" s="184"/>
    </row>
    <row r="118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</row>
    <row r="119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</row>
    <row r="120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</row>
    <row r="121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  <c r="AA121" s="184"/>
    </row>
    <row r="122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</row>
    <row r="123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</row>
    <row r="124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</row>
    <row r="125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  <c r="AA125" s="184"/>
    </row>
    <row r="1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  <c r="AA126" s="184"/>
    </row>
    <row r="127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  <c r="AA127" s="184"/>
    </row>
    <row r="128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  <c r="AA128" s="184"/>
    </row>
    <row r="129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  <c r="AA129" s="184"/>
    </row>
    <row r="130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  <c r="AA130" s="184"/>
    </row>
    <row r="131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  <c r="AA131" s="184"/>
    </row>
    <row r="132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  <c r="AA132" s="184"/>
    </row>
    <row r="133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  <c r="AA133" s="184"/>
    </row>
    <row r="134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  <c r="AA134" s="184"/>
    </row>
    <row r="135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  <c r="AA135" s="184"/>
    </row>
    <row r="13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  <c r="AA136" s="184"/>
    </row>
    <row r="137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  <c r="AA137" s="184"/>
    </row>
    <row r="138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  <c r="AA138" s="184"/>
    </row>
    <row r="139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  <c r="AA139" s="184"/>
    </row>
    <row r="140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  <c r="AA140" s="184"/>
    </row>
    <row r="141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  <c r="AA141" s="184"/>
    </row>
    <row r="142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  <c r="AA142" s="184"/>
    </row>
    <row r="143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  <c r="AA143" s="184"/>
    </row>
    <row r="144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  <c r="AA144" s="184"/>
    </row>
    <row r="145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  <c r="AA145" s="184"/>
    </row>
    <row r="14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  <c r="AA146" s="184"/>
    </row>
    <row r="147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  <c r="AA147" s="184"/>
    </row>
    <row r="148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  <c r="AA148" s="184"/>
    </row>
    <row r="149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  <c r="AA149" s="184"/>
    </row>
    <row r="150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  <c r="AA150" s="184"/>
    </row>
    <row r="151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  <c r="AA151" s="184"/>
    </row>
    <row r="152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  <c r="AA152" s="184"/>
    </row>
    <row r="153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  <c r="AA153" s="184"/>
    </row>
    <row r="154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  <c r="AA154" s="184"/>
    </row>
    <row r="155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  <c r="AA155" s="184"/>
    </row>
    <row r="15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  <c r="AA156" s="184"/>
    </row>
    <row r="157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  <c r="AA157" s="184"/>
    </row>
    <row r="158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  <c r="AA158" s="184"/>
    </row>
    <row r="159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  <c r="AA159" s="184"/>
    </row>
    <row r="160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  <c r="AA160" s="184"/>
    </row>
    <row r="161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  <c r="AA161" s="184"/>
    </row>
    <row r="162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  <c r="AA162" s="184"/>
    </row>
    <row r="163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  <c r="AA163" s="184"/>
    </row>
    <row r="164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  <c r="AA164" s="184"/>
    </row>
    <row r="165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  <c r="AA165" s="184"/>
    </row>
    <row r="16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  <c r="AA166" s="184"/>
    </row>
    <row r="167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  <c r="AA167" s="184"/>
    </row>
    <row r="168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  <c r="AA168" s="184"/>
    </row>
    <row r="169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  <c r="AA169" s="184"/>
    </row>
    <row r="170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  <c r="AA170" s="184"/>
    </row>
    <row r="171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  <c r="AA171" s="184"/>
    </row>
    <row r="172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  <c r="AA172" s="184"/>
    </row>
    <row r="173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  <c r="AA173" s="184"/>
    </row>
    <row r="174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  <c r="AA174" s="184"/>
    </row>
    <row r="175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  <c r="AA175" s="184"/>
    </row>
    <row r="17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  <c r="AA176" s="184"/>
    </row>
    <row r="177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  <c r="AA177" s="184"/>
    </row>
    <row r="178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  <c r="AA178" s="184"/>
    </row>
    <row r="179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  <c r="AA179" s="184"/>
    </row>
    <row r="180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  <c r="AA180" s="184"/>
    </row>
    <row r="181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  <c r="AA181" s="184"/>
    </row>
    <row r="182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  <c r="AA182" s="184"/>
    </row>
    <row r="183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  <c r="AA183" s="184"/>
    </row>
    <row r="184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  <c r="AA184" s="184"/>
    </row>
    <row r="185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  <c r="AA185" s="184"/>
    </row>
    <row r="18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  <c r="AA186" s="184"/>
    </row>
    <row r="187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  <c r="AA187" s="184"/>
    </row>
    <row r="188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  <c r="AA188" s="184"/>
    </row>
    <row r="189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  <c r="AA189" s="184"/>
    </row>
    <row r="190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  <c r="AA190" s="184"/>
    </row>
    <row r="191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  <c r="AA191" s="184"/>
    </row>
    <row r="192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  <c r="AA192" s="184"/>
    </row>
    <row r="193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  <c r="AA193" s="184"/>
    </row>
    <row r="194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  <c r="AA194" s="184"/>
    </row>
    <row r="195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  <c r="AA195" s="184"/>
    </row>
    <row r="19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  <c r="AA196" s="184"/>
    </row>
    <row r="197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  <c r="AA197" s="184"/>
    </row>
    <row r="198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  <c r="AA198" s="184"/>
    </row>
    <row r="199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  <c r="AA199" s="184"/>
    </row>
    <row r="200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  <c r="AA200" s="184"/>
    </row>
    <row r="201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  <c r="AA201" s="184"/>
    </row>
    <row r="202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  <c r="AA202" s="184"/>
    </row>
    <row r="203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  <c r="AA203" s="184"/>
    </row>
    <row r="204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  <c r="AA204" s="184"/>
    </row>
    <row r="205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  <c r="AA205" s="184"/>
    </row>
    <row r="20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  <c r="AA206" s="184"/>
    </row>
    <row r="207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  <c r="AA207" s="184"/>
    </row>
    <row r="208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  <c r="AA208" s="184"/>
    </row>
    <row r="209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  <c r="AA209" s="184"/>
    </row>
    <row r="210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  <c r="AA210" s="184"/>
    </row>
    <row r="211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  <c r="AA211" s="184"/>
    </row>
    <row r="212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  <c r="AA212" s="184"/>
    </row>
    <row r="213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  <c r="AA213" s="184"/>
    </row>
    <row r="214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  <c r="AA214" s="184"/>
    </row>
    <row r="215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  <c r="AA215" s="184"/>
    </row>
    <row r="21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  <c r="AA216" s="184"/>
    </row>
    <row r="217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  <c r="AA217" s="184"/>
    </row>
    <row r="218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  <c r="AA218" s="184"/>
    </row>
    <row r="219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  <c r="AA219" s="184"/>
    </row>
    <row r="220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  <c r="AA220" s="184"/>
    </row>
    <row r="221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  <c r="AA221" s="184"/>
    </row>
    <row r="222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  <c r="AA222" s="184"/>
    </row>
    <row r="223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  <c r="AA223" s="184"/>
    </row>
    <row r="224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  <c r="AA224" s="184"/>
    </row>
    <row r="225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  <c r="AA225" s="184"/>
    </row>
    <row r="2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  <c r="AA226" s="184"/>
    </row>
    <row r="227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  <c r="AA227" s="184"/>
    </row>
    <row r="228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  <c r="AA228" s="184"/>
    </row>
    <row r="229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  <c r="AA229" s="184"/>
    </row>
    <row r="230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  <c r="AA230" s="184"/>
    </row>
    <row r="231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  <c r="AA231" s="184"/>
    </row>
    <row r="232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  <c r="AA232" s="184"/>
    </row>
    <row r="233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  <c r="AA233" s="184"/>
    </row>
    <row r="234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  <c r="AA234" s="184"/>
    </row>
    <row r="235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  <c r="AA235" s="184"/>
    </row>
    <row r="23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  <c r="AA236" s="184"/>
    </row>
    <row r="237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  <c r="AA237" s="184"/>
    </row>
    <row r="238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  <c r="AA238" s="184"/>
    </row>
    <row r="239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  <c r="AA239" s="184"/>
    </row>
    <row r="240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  <c r="AA240" s="184"/>
    </row>
    <row r="241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  <c r="AA241" s="184"/>
    </row>
    <row r="242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  <c r="AA242" s="184"/>
    </row>
    <row r="243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  <c r="AA243" s="184"/>
    </row>
    <row r="244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  <c r="AA244" s="184"/>
    </row>
    <row r="245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  <c r="AA245" s="184"/>
    </row>
    <row r="24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  <c r="AA246" s="184"/>
    </row>
    <row r="247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  <c r="AA247" s="184"/>
    </row>
    <row r="248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  <c r="AA248" s="184"/>
    </row>
    <row r="249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  <c r="AA249" s="184"/>
    </row>
    <row r="250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  <c r="AA250" s="184"/>
    </row>
    <row r="251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  <c r="AA251" s="184"/>
    </row>
    <row r="252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  <c r="AA252" s="184"/>
    </row>
    <row r="253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  <c r="AA253" s="184"/>
    </row>
    <row r="254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  <c r="AA254" s="184"/>
    </row>
    <row r="255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  <c r="AA255" s="184"/>
    </row>
    <row r="25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  <c r="AA256" s="184"/>
    </row>
    <row r="257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  <c r="AA257" s="184"/>
    </row>
    <row r="258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  <c r="AA258" s="184"/>
    </row>
    <row r="259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  <c r="AA259" s="184"/>
    </row>
    <row r="260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  <c r="AA260" s="184"/>
    </row>
    <row r="261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  <c r="AA261" s="184"/>
    </row>
    <row r="262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  <c r="AA262" s="184"/>
    </row>
    <row r="263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  <c r="AA263" s="184"/>
    </row>
    <row r="264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  <c r="AA264" s="184"/>
    </row>
    <row r="265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  <c r="AA265" s="184"/>
    </row>
    <row r="26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  <c r="AA266" s="184"/>
    </row>
    <row r="267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  <c r="AA267" s="184"/>
    </row>
    <row r="268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  <c r="AA268" s="184"/>
    </row>
    <row r="269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  <c r="AA269" s="184"/>
    </row>
    <row r="270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  <c r="AA270" s="184"/>
    </row>
    <row r="271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  <c r="AA271" s="184"/>
    </row>
    <row r="272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  <c r="AA272" s="184"/>
    </row>
    <row r="273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  <c r="AA273" s="184"/>
    </row>
    <row r="274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  <c r="AA274" s="184"/>
    </row>
    <row r="275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  <c r="AA275" s="184"/>
    </row>
    <row r="276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  <c r="AA276" s="184"/>
    </row>
    <row r="277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  <c r="AA277" s="184"/>
    </row>
    <row r="278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  <c r="AA278" s="184"/>
    </row>
    <row r="279">
      <c r="A279" s="184"/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  <c r="AA279" s="184"/>
    </row>
    <row r="280">
      <c r="A280" s="184"/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  <c r="AA280" s="184"/>
    </row>
    <row r="281">
      <c r="A281" s="184"/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  <c r="AA281" s="184"/>
    </row>
    <row r="282">
      <c r="A282" s="184"/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  <c r="AA282" s="184"/>
    </row>
    <row r="283">
      <c r="A283" s="184"/>
      <c r="B283" s="184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  <c r="AA283" s="184"/>
    </row>
    <row r="284">
      <c r="A284" s="184"/>
      <c r="B284" s="184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  <c r="AA284" s="184"/>
    </row>
    <row r="285">
      <c r="A285" s="184"/>
      <c r="B285" s="184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  <c r="AA285" s="184"/>
    </row>
    <row r="286">
      <c r="A286" s="184"/>
      <c r="B286" s="184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  <c r="AA286" s="184"/>
    </row>
    <row r="287">
      <c r="A287" s="184"/>
      <c r="B287" s="184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  <c r="AA287" s="184"/>
    </row>
    <row r="288">
      <c r="A288" s="184"/>
      <c r="B288" s="184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  <c r="AA288" s="184"/>
    </row>
    <row r="289">
      <c r="A289" s="184"/>
      <c r="B289" s="184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  <c r="AA289" s="184"/>
    </row>
    <row r="290">
      <c r="A290" s="184"/>
      <c r="B290" s="184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  <c r="AA290" s="184"/>
    </row>
    <row r="291">
      <c r="A291" s="184"/>
      <c r="B291" s="184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  <c r="AA291" s="184"/>
    </row>
    <row r="292">
      <c r="A292" s="184"/>
      <c r="B292" s="184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  <c r="AA292" s="184"/>
    </row>
    <row r="293">
      <c r="A293" s="184"/>
      <c r="B293" s="184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  <c r="AA293" s="184"/>
    </row>
    <row r="294">
      <c r="A294" s="184"/>
      <c r="B294" s="184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  <c r="AA294" s="184"/>
    </row>
    <row r="295">
      <c r="A295" s="184"/>
      <c r="B295" s="184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  <c r="AA295" s="184"/>
    </row>
    <row r="296">
      <c r="A296" s="184"/>
      <c r="B296" s="184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  <c r="AA296" s="184"/>
    </row>
    <row r="297">
      <c r="A297" s="184"/>
      <c r="B297" s="184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  <c r="AA297" s="184"/>
    </row>
    <row r="298">
      <c r="A298" s="184"/>
      <c r="B298" s="184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  <c r="AA298" s="184"/>
    </row>
    <row r="299">
      <c r="A299" s="184"/>
      <c r="B299" s="184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  <c r="AA299" s="184"/>
    </row>
    <row r="300">
      <c r="A300" s="184"/>
      <c r="B300" s="184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  <c r="AA300" s="184"/>
    </row>
    <row r="301">
      <c r="A301" s="184"/>
      <c r="B301" s="184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  <c r="AA301" s="184"/>
    </row>
    <row r="302">
      <c r="A302" s="184"/>
      <c r="B302" s="184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  <c r="AA302" s="184"/>
    </row>
    <row r="303">
      <c r="A303" s="184"/>
      <c r="B303" s="184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  <c r="AA303" s="184"/>
    </row>
    <row r="304">
      <c r="A304" s="184"/>
      <c r="B304" s="184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  <c r="AA304" s="184"/>
    </row>
    <row r="305">
      <c r="A305" s="184"/>
      <c r="B305" s="184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  <c r="AA305" s="184"/>
    </row>
    <row r="306">
      <c r="A306" s="184"/>
      <c r="B306" s="184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  <c r="AA306" s="184"/>
    </row>
    <row r="307">
      <c r="A307" s="184"/>
      <c r="B307" s="184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  <c r="AA307" s="184"/>
    </row>
    <row r="308">
      <c r="A308" s="184"/>
      <c r="B308" s="184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  <c r="AA308" s="184"/>
    </row>
    <row r="309">
      <c r="A309" s="184"/>
      <c r="B309" s="184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  <c r="AA309" s="184"/>
    </row>
    <row r="310">
      <c r="A310" s="184"/>
      <c r="B310" s="184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  <c r="AA310" s="184"/>
    </row>
    <row r="311">
      <c r="A311" s="184"/>
      <c r="B311" s="184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  <c r="AA311" s="184"/>
    </row>
    <row r="312">
      <c r="A312" s="184"/>
      <c r="B312" s="184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  <c r="AA312" s="184"/>
    </row>
    <row r="313">
      <c r="A313" s="184"/>
      <c r="B313" s="184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  <c r="AA313" s="184"/>
    </row>
    <row r="314">
      <c r="A314" s="184"/>
      <c r="B314" s="184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  <c r="AA314" s="184"/>
    </row>
    <row r="315">
      <c r="A315" s="184"/>
      <c r="B315" s="184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  <c r="AA315" s="184"/>
    </row>
    <row r="316">
      <c r="A316" s="184"/>
      <c r="B316" s="184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  <c r="AA316" s="184"/>
    </row>
    <row r="317">
      <c r="A317" s="184"/>
      <c r="B317" s="184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  <c r="AA317" s="184"/>
    </row>
    <row r="318">
      <c r="A318" s="184"/>
      <c r="B318" s="184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  <c r="AA318" s="184"/>
    </row>
    <row r="319">
      <c r="A319" s="184"/>
      <c r="B319" s="184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  <c r="AA319" s="184"/>
    </row>
    <row r="320">
      <c r="A320" s="184"/>
      <c r="B320" s="184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  <c r="AA320" s="184"/>
    </row>
    <row r="321">
      <c r="A321" s="184"/>
      <c r="B321" s="184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  <c r="AA321" s="184"/>
    </row>
    <row r="322">
      <c r="A322" s="184"/>
      <c r="B322" s="184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  <c r="AA322" s="184"/>
    </row>
    <row r="323">
      <c r="A323" s="184"/>
      <c r="B323" s="184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  <c r="AA323" s="184"/>
    </row>
    <row r="324">
      <c r="A324" s="184"/>
      <c r="B324" s="184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  <c r="AA324" s="184"/>
    </row>
    <row r="325">
      <c r="A325" s="184"/>
      <c r="B325" s="184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  <c r="AA325" s="184"/>
    </row>
    <row r="326">
      <c r="A326" s="184"/>
      <c r="B326" s="184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  <c r="AA326" s="184"/>
    </row>
    <row r="327">
      <c r="A327" s="184"/>
      <c r="B327" s="184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  <c r="AA327" s="184"/>
    </row>
    <row r="328">
      <c r="A328" s="184"/>
      <c r="B328" s="184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  <c r="AA328" s="184"/>
    </row>
    <row r="329">
      <c r="A329" s="184"/>
      <c r="B329" s="184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  <c r="AA329" s="184"/>
    </row>
    <row r="330">
      <c r="A330" s="184"/>
      <c r="B330" s="184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  <c r="AA330" s="184"/>
    </row>
    <row r="331">
      <c r="A331" s="184"/>
      <c r="B331" s="184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  <c r="AA331" s="184"/>
    </row>
    <row r="332">
      <c r="A332" s="184"/>
      <c r="B332" s="184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  <c r="AA332" s="184"/>
    </row>
    <row r="333">
      <c r="A333" s="184"/>
      <c r="B333" s="184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  <c r="AA333" s="184"/>
    </row>
    <row r="334">
      <c r="A334" s="184"/>
      <c r="B334" s="184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  <c r="AA334" s="184"/>
    </row>
    <row r="335">
      <c r="A335" s="184"/>
      <c r="B335" s="184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  <c r="AA335" s="184"/>
    </row>
    <row r="336">
      <c r="A336" s="184"/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  <c r="AA336" s="184"/>
    </row>
    <row r="337">
      <c r="A337" s="184"/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  <c r="AA337" s="184"/>
    </row>
    <row r="338">
      <c r="A338" s="184"/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  <c r="AA338" s="184"/>
    </row>
    <row r="339">
      <c r="A339" s="184"/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  <c r="AA339" s="184"/>
    </row>
    <row r="340">
      <c r="A340" s="184"/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  <c r="AA340" s="184"/>
    </row>
    <row r="341">
      <c r="A341" s="184"/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  <c r="AA341" s="184"/>
    </row>
    <row r="342">
      <c r="A342" s="184"/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  <c r="AA342" s="184"/>
    </row>
    <row r="343">
      <c r="A343" s="184"/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  <c r="AA343" s="184"/>
    </row>
    <row r="344">
      <c r="A344" s="184"/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  <c r="AA344" s="184"/>
    </row>
    <row r="345">
      <c r="A345" s="184"/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  <c r="AA345" s="184"/>
    </row>
    <row r="346">
      <c r="A346" s="184"/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  <c r="AA346" s="184"/>
    </row>
    <row r="347">
      <c r="A347" s="184"/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  <c r="AA347" s="184"/>
    </row>
    <row r="348">
      <c r="A348" s="184"/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  <c r="AA348" s="184"/>
    </row>
    <row r="349">
      <c r="A349" s="184"/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  <c r="AA349" s="184"/>
    </row>
    <row r="350">
      <c r="A350" s="184"/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  <c r="AA350" s="184"/>
    </row>
    <row r="351">
      <c r="A351" s="184"/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  <c r="AA351" s="184"/>
    </row>
    <row r="352">
      <c r="A352" s="184"/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  <c r="AA352" s="184"/>
    </row>
    <row r="353">
      <c r="A353" s="184"/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  <c r="AA353" s="184"/>
    </row>
    <row r="354">
      <c r="A354" s="184"/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  <c r="AA354" s="184"/>
    </row>
    <row r="355">
      <c r="A355" s="184"/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  <c r="AA355" s="184"/>
    </row>
    <row r="356">
      <c r="A356" s="184"/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  <c r="AA356" s="184"/>
    </row>
    <row r="357">
      <c r="A357" s="184"/>
      <c r="B357" s="184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  <c r="AA357" s="184"/>
    </row>
    <row r="358">
      <c r="A358" s="184"/>
      <c r="B358" s="184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  <c r="AA358" s="184"/>
    </row>
    <row r="359">
      <c r="A359" s="184"/>
      <c r="B359" s="184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  <c r="AA359" s="184"/>
    </row>
    <row r="360">
      <c r="A360" s="184"/>
      <c r="B360" s="184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  <c r="AA360" s="184"/>
    </row>
    <row r="361">
      <c r="A361" s="184"/>
      <c r="B361" s="184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  <c r="AA361" s="184"/>
    </row>
    <row r="362">
      <c r="A362" s="184"/>
      <c r="B362" s="184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  <c r="AA362" s="184"/>
    </row>
    <row r="363">
      <c r="A363" s="184"/>
      <c r="B363" s="184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  <c r="AA363" s="184"/>
    </row>
    <row r="364">
      <c r="A364" s="184"/>
      <c r="B364" s="184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  <c r="AA364" s="184"/>
    </row>
    <row r="365">
      <c r="A365" s="184"/>
      <c r="B365" s="184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  <c r="AA365" s="184"/>
    </row>
    <row r="366">
      <c r="A366" s="184"/>
      <c r="B366" s="184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  <c r="AA366" s="184"/>
    </row>
    <row r="367">
      <c r="A367" s="184"/>
      <c r="B367" s="184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  <c r="AA367" s="184"/>
    </row>
    <row r="368">
      <c r="A368" s="184"/>
      <c r="B368" s="184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  <c r="AA368" s="184"/>
    </row>
    <row r="369">
      <c r="A369" s="184"/>
      <c r="B369" s="184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  <c r="AA369" s="184"/>
    </row>
    <row r="370">
      <c r="A370" s="184"/>
      <c r="B370" s="184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  <c r="AA370" s="184"/>
    </row>
    <row r="371">
      <c r="A371" s="184"/>
      <c r="B371" s="184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  <c r="AA371" s="184"/>
    </row>
    <row r="372">
      <c r="A372" s="184"/>
      <c r="B372" s="184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  <c r="AA372" s="184"/>
    </row>
    <row r="373">
      <c r="A373" s="184"/>
      <c r="B373" s="184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  <c r="AA373" s="184"/>
    </row>
    <row r="374">
      <c r="A374" s="184"/>
      <c r="B374" s="184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  <c r="AA374" s="184"/>
    </row>
    <row r="375">
      <c r="A375" s="184"/>
      <c r="B375" s="184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  <c r="AA375" s="184"/>
    </row>
    <row r="376">
      <c r="A376" s="184"/>
      <c r="B376" s="184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  <c r="AA376" s="184"/>
    </row>
    <row r="377">
      <c r="A377" s="184"/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  <c r="AA377" s="184"/>
    </row>
    <row r="378">
      <c r="A378" s="184"/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  <c r="AA378" s="184"/>
    </row>
    <row r="379">
      <c r="A379" s="184"/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  <c r="AA379" s="184"/>
    </row>
    <row r="380">
      <c r="A380" s="184"/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  <c r="AA380" s="184"/>
    </row>
    <row r="381">
      <c r="A381" s="184"/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  <c r="AA381" s="184"/>
    </row>
    <row r="382">
      <c r="A382" s="184"/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  <c r="AA382" s="184"/>
    </row>
    <row r="383">
      <c r="A383" s="184"/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  <c r="AA383" s="184"/>
    </row>
    <row r="384">
      <c r="A384" s="184"/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  <c r="AA384" s="184"/>
    </row>
    <row r="385">
      <c r="A385" s="184"/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  <c r="AA385" s="184"/>
    </row>
    <row r="386">
      <c r="A386" s="184"/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  <c r="AA386" s="184"/>
    </row>
    <row r="387">
      <c r="A387" s="184"/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  <c r="AA387" s="184"/>
    </row>
    <row r="388">
      <c r="A388" s="184"/>
      <c r="B388" s="184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  <c r="AA388" s="184"/>
    </row>
    <row r="389">
      <c r="A389" s="184"/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  <c r="AA389" s="184"/>
    </row>
    <row r="390">
      <c r="A390" s="184"/>
      <c r="B390" s="184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  <c r="AA390" s="184"/>
    </row>
    <row r="391">
      <c r="A391" s="184"/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  <c r="AA391" s="184"/>
    </row>
    <row r="392">
      <c r="A392" s="184"/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  <c r="AA392" s="184"/>
    </row>
    <row r="393">
      <c r="A393" s="184"/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  <c r="AA393" s="184"/>
    </row>
    <row r="394">
      <c r="A394" s="184"/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  <c r="AA394" s="184"/>
    </row>
    <row r="395">
      <c r="A395" s="184"/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  <c r="AA395" s="184"/>
    </row>
    <row r="396">
      <c r="A396" s="184"/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  <c r="AA396" s="184"/>
    </row>
    <row r="397">
      <c r="A397" s="184"/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  <c r="AA397" s="184"/>
    </row>
    <row r="398">
      <c r="A398" s="184"/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  <c r="AA398" s="184"/>
    </row>
    <row r="399">
      <c r="A399" s="184"/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  <c r="AA399" s="184"/>
    </row>
    <row r="400">
      <c r="A400" s="184"/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  <c r="AA400" s="184"/>
    </row>
    <row r="401">
      <c r="A401" s="184"/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  <c r="AA401" s="184"/>
    </row>
    <row r="402">
      <c r="A402" s="184"/>
      <c r="B402" s="184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  <c r="AA402" s="184"/>
    </row>
    <row r="403">
      <c r="A403" s="184"/>
      <c r="B403" s="184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  <c r="AA403" s="184"/>
    </row>
    <row r="404">
      <c r="A404" s="184"/>
      <c r="B404" s="184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  <c r="AA404" s="184"/>
    </row>
    <row r="405">
      <c r="A405" s="184"/>
      <c r="B405" s="184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  <c r="AA405" s="184"/>
    </row>
    <row r="406">
      <c r="A406" s="184"/>
      <c r="B406" s="184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  <c r="AA406" s="184"/>
    </row>
    <row r="407">
      <c r="A407" s="184"/>
      <c r="B407" s="184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  <c r="AA407" s="184"/>
    </row>
    <row r="408">
      <c r="A408" s="184"/>
      <c r="B408" s="184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  <c r="AA408" s="184"/>
    </row>
    <row r="409">
      <c r="A409" s="184"/>
      <c r="B409" s="184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  <c r="AA409" s="184"/>
    </row>
    <row r="410">
      <c r="A410" s="184"/>
      <c r="B410" s="184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  <c r="AA410" s="184"/>
    </row>
    <row r="411">
      <c r="A411" s="184"/>
      <c r="B411" s="184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  <c r="AA411" s="184"/>
    </row>
    <row r="412">
      <c r="A412" s="184"/>
      <c r="B412" s="184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  <c r="AA412" s="184"/>
    </row>
    <row r="413">
      <c r="A413" s="184"/>
      <c r="B413" s="184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  <c r="AA413" s="184"/>
    </row>
    <row r="414">
      <c r="A414" s="184"/>
      <c r="B414" s="184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  <c r="AA414" s="184"/>
    </row>
    <row r="415">
      <c r="A415" s="184"/>
      <c r="B415" s="184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  <c r="AA415" s="184"/>
    </row>
    <row r="416">
      <c r="A416" s="184"/>
      <c r="B416" s="184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  <c r="AA416" s="184"/>
    </row>
    <row r="417">
      <c r="A417" s="184"/>
      <c r="B417" s="184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  <c r="AA417" s="184"/>
    </row>
    <row r="418">
      <c r="A418" s="184"/>
      <c r="B418" s="184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  <c r="AA418" s="184"/>
    </row>
    <row r="419">
      <c r="A419" s="184"/>
      <c r="B419" s="184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  <c r="AA419" s="184"/>
    </row>
    <row r="420">
      <c r="A420" s="184"/>
      <c r="B420" s="184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  <c r="AA420" s="184"/>
    </row>
    <row r="421">
      <c r="A421" s="184"/>
      <c r="B421" s="184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  <c r="AA421" s="184"/>
    </row>
    <row r="422">
      <c r="A422" s="184"/>
      <c r="B422" s="184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  <c r="AA422" s="184"/>
    </row>
    <row r="423">
      <c r="A423" s="184"/>
      <c r="B423" s="184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  <c r="AA423" s="184"/>
    </row>
    <row r="424">
      <c r="A424" s="184"/>
      <c r="B424" s="184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  <c r="AA424" s="184"/>
    </row>
    <row r="425">
      <c r="A425" s="184"/>
      <c r="B425" s="184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  <c r="AA425" s="184"/>
    </row>
    <row r="426">
      <c r="A426" s="184"/>
      <c r="B426" s="184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  <c r="AA426" s="184"/>
    </row>
    <row r="427">
      <c r="A427" s="184"/>
      <c r="B427" s="184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  <c r="AA427" s="184"/>
    </row>
    <row r="428">
      <c r="A428" s="184"/>
      <c r="B428" s="184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  <c r="AA428" s="184"/>
    </row>
    <row r="429">
      <c r="A429" s="184"/>
      <c r="B429" s="184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  <c r="AA429" s="184"/>
    </row>
    <row r="430">
      <c r="A430" s="184"/>
      <c r="B430" s="184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  <c r="AA430" s="184"/>
    </row>
    <row r="431">
      <c r="A431" s="184"/>
      <c r="B431" s="184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  <c r="AA431" s="184"/>
    </row>
    <row r="432">
      <c r="A432" s="184"/>
      <c r="B432" s="184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  <c r="AA432" s="184"/>
    </row>
    <row r="433">
      <c r="A433" s="184"/>
      <c r="B433" s="184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  <c r="AA433" s="184"/>
    </row>
    <row r="434">
      <c r="A434" s="184"/>
      <c r="B434" s="184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  <c r="AA434" s="184"/>
    </row>
    <row r="435">
      <c r="A435" s="184"/>
      <c r="B435" s="184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  <c r="AA435" s="184"/>
    </row>
    <row r="436">
      <c r="A436" s="184"/>
      <c r="B436" s="184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  <c r="AA436" s="184"/>
    </row>
    <row r="437">
      <c r="A437" s="184"/>
      <c r="B437" s="184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  <c r="AA437" s="184"/>
    </row>
    <row r="438">
      <c r="A438" s="184"/>
      <c r="B438" s="184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  <c r="AA438" s="184"/>
    </row>
    <row r="439">
      <c r="A439" s="184"/>
      <c r="B439" s="184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  <c r="AA439" s="184"/>
    </row>
    <row r="440">
      <c r="A440" s="184"/>
      <c r="B440" s="184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  <c r="AA440" s="184"/>
    </row>
    <row r="441">
      <c r="A441" s="184"/>
      <c r="B441" s="184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  <c r="AA441" s="184"/>
    </row>
    <row r="442">
      <c r="A442" s="184"/>
      <c r="B442" s="184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  <c r="AA442" s="184"/>
    </row>
    <row r="443">
      <c r="A443" s="184"/>
      <c r="B443" s="184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  <c r="AA443" s="184"/>
    </row>
    <row r="444">
      <c r="A444" s="184"/>
      <c r="B444" s="184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  <c r="AA444" s="184"/>
    </row>
    <row r="445">
      <c r="A445" s="184"/>
      <c r="B445" s="184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  <c r="AA445" s="184"/>
    </row>
    <row r="446">
      <c r="A446" s="184"/>
      <c r="B446" s="184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  <c r="AA446" s="184"/>
    </row>
    <row r="447">
      <c r="A447" s="184"/>
      <c r="B447" s="184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  <c r="AA447" s="184"/>
    </row>
    <row r="448">
      <c r="A448" s="184"/>
      <c r="B448" s="184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  <c r="AA448" s="184"/>
    </row>
    <row r="449">
      <c r="A449" s="184"/>
      <c r="B449" s="184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  <c r="AA449" s="184"/>
    </row>
    <row r="450">
      <c r="A450" s="184"/>
      <c r="B450" s="184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  <c r="AA450" s="184"/>
    </row>
    <row r="451">
      <c r="A451" s="184"/>
      <c r="B451" s="184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  <c r="AA451" s="184"/>
    </row>
    <row r="452">
      <c r="A452" s="184"/>
      <c r="B452" s="184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  <c r="AA452" s="184"/>
    </row>
    <row r="453">
      <c r="A453" s="184"/>
      <c r="B453" s="184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  <c r="AA453" s="184"/>
    </row>
    <row r="454">
      <c r="A454" s="184"/>
      <c r="B454" s="184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  <c r="AA454" s="184"/>
    </row>
    <row r="455">
      <c r="A455" s="184"/>
      <c r="B455" s="184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  <c r="AA455" s="184"/>
    </row>
    <row r="456">
      <c r="A456" s="184"/>
      <c r="B456" s="184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  <c r="AA456" s="184"/>
    </row>
    <row r="457">
      <c r="A457" s="184"/>
      <c r="B457" s="184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  <c r="AA457" s="184"/>
    </row>
    <row r="458">
      <c r="A458" s="184"/>
      <c r="B458" s="184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  <c r="AA458" s="184"/>
    </row>
    <row r="459">
      <c r="A459" s="184"/>
      <c r="B459" s="184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  <c r="AA459" s="184"/>
    </row>
    <row r="460">
      <c r="A460" s="184"/>
      <c r="B460" s="184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  <c r="AA460" s="184"/>
    </row>
    <row r="461">
      <c r="A461" s="184"/>
      <c r="B461" s="184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  <c r="AA461" s="184"/>
    </row>
    <row r="462">
      <c r="A462" s="184"/>
      <c r="B462" s="184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  <c r="AA462" s="184"/>
    </row>
    <row r="463">
      <c r="A463" s="184"/>
      <c r="B463" s="184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  <c r="AA463" s="184"/>
    </row>
    <row r="464">
      <c r="A464" s="184"/>
      <c r="B464" s="184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  <c r="AA464" s="184"/>
    </row>
    <row r="465">
      <c r="A465" s="184"/>
      <c r="B465" s="184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  <c r="AA465" s="184"/>
    </row>
    <row r="466">
      <c r="A466" s="184"/>
      <c r="B466" s="184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  <c r="AA466" s="184"/>
    </row>
    <row r="467">
      <c r="A467" s="184"/>
      <c r="B467" s="184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  <c r="AA467" s="184"/>
    </row>
    <row r="468">
      <c r="A468" s="184"/>
      <c r="B468" s="184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  <c r="AA468" s="184"/>
    </row>
    <row r="469">
      <c r="A469" s="184"/>
      <c r="B469" s="184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  <c r="AA469" s="184"/>
    </row>
    <row r="470">
      <c r="A470" s="184"/>
      <c r="B470" s="184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  <c r="AA470" s="184"/>
    </row>
    <row r="471">
      <c r="A471" s="184"/>
      <c r="B471" s="184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  <c r="AA471" s="184"/>
    </row>
    <row r="472">
      <c r="A472" s="184"/>
      <c r="B472" s="184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  <c r="AA472" s="184"/>
    </row>
    <row r="473">
      <c r="A473" s="184"/>
      <c r="B473" s="184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  <c r="AA473" s="184"/>
    </row>
    <row r="474">
      <c r="A474" s="184"/>
      <c r="B474" s="184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  <c r="AA474" s="184"/>
    </row>
    <row r="475">
      <c r="A475" s="184"/>
      <c r="B475" s="184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  <c r="AA475" s="184"/>
    </row>
    <row r="476">
      <c r="A476" s="184"/>
      <c r="B476" s="184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  <c r="AA476" s="184"/>
    </row>
    <row r="477">
      <c r="A477" s="184"/>
      <c r="B477" s="184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  <c r="AA477" s="184"/>
    </row>
    <row r="478">
      <c r="A478" s="184"/>
      <c r="B478" s="184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  <c r="AA478" s="184"/>
    </row>
    <row r="479">
      <c r="A479" s="184"/>
      <c r="B479" s="184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  <c r="AA479" s="184"/>
    </row>
    <row r="480">
      <c r="A480" s="184"/>
      <c r="B480" s="184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  <c r="AA480" s="184"/>
    </row>
    <row r="481">
      <c r="A481" s="184"/>
      <c r="B481" s="184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  <c r="AA481" s="184"/>
    </row>
    <row r="482">
      <c r="A482" s="184"/>
      <c r="B482" s="184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  <c r="AA482" s="184"/>
    </row>
    <row r="483">
      <c r="A483" s="184"/>
      <c r="B483" s="184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  <c r="AA483" s="184"/>
    </row>
    <row r="484">
      <c r="A484" s="184"/>
      <c r="B484" s="184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  <c r="AA484" s="184"/>
    </row>
    <row r="485">
      <c r="A485" s="184"/>
      <c r="B485" s="184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  <c r="Y485" s="184"/>
      <c r="Z485" s="184"/>
      <c r="AA485" s="184"/>
    </row>
    <row r="486">
      <c r="A486" s="184"/>
      <c r="B486" s="184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  <c r="Y486" s="184"/>
      <c r="Z486" s="184"/>
      <c r="AA486" s="184"/>
    </row>
    <row r="487">
      <c r="A487" s="184"/>
      <c r="B487" s="184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  <c r="Y487" s="184"/>
      <c r="Z487" s="184"/>
      <c r="AA487" s="184"/>
    </row>
    <row r="488">
      <c r="A488" s="184"/>
      <c r="B488" s="184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  <c r="Y488" s="184"/>
      <c r="Z488" s="184"/>
      <c r="AA488" s="184"/>
    </row>
    <row r="489">
      <c r="A489" s="184"/>
      <c r="B489" s="184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  <c r="Y489" s="184"/>
      <c r="Z489" s="184"/>
      <c r="AA489" s="184"/>
    </row>
    <row r="490">
      <c r="A490" s="184"/>
      <c r="B490" s="184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  <c r="Y490" s="184"/>
      <c r="Z490" s="184"/>
      <c r="AA490" s="184"/>
    </row>
    <row r="491">
      <c r="A491" s="184"/>
      <c r="B491" s="184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  <c r="Y491" s="184"/>
      <c r="Z491" s="184"/>
      <c r="AA491" s="184"/>
    </row>
    <row r="492">
      <c r="A492" s="184"/>
      <c r="B492" s="184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  <c r="Y492" s="184"/>
      <c r="Z492" s="184"/>
      <c r="AA492" s="184"/>
    </row>
    <row r="493">
      <c r="A493" s="184"/>
      <c r="B493" s="184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  <c r="Y493" s="184"/>
      <c r="Z493" s="184"/>
      <c r="AA493" s="184"/>
    </row>
    <row r="494">
      <c r="A494" s="184"/>
      <c r="B494" s="184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  <c r="Y494" s="184"/>
      <c r="Z494" s="184"/>
      <c r="AA494" s="184"/>
    </row>
    <row r="495">
      <c r="A495" s="184"/>
      <c r="B495" s="184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  <c r="Y495" s="184"/>
      <c r="Z495" s="184"/>
      <c r="AA495" s="184"/>
    </row>
    <row r="496">
      <c r="A496" s="184"/>
      <c r="B496" s="184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  <c r="Y496" s="184"/>
      <c r="Z496" s="184"/>
      <c r="AA496" s="184"/>
    </row>
    <row r="497">
      <c r="A497" s="184"/>
      <c r="B497" s="184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  <c r="Y497" s="184"/>
      <c r="Z497" s="184"/>
      <c r="AA497" s="184"/>
    </row>
    <row r="498">
      <c r="A498" s="184"/>
      <c r="B498" s="184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  <c r="Y498" s="184"/>
      <c r="Z498" s="184"/>
      <c r="AA498" s="184"/>
    </row>
    <row r="499">
      <c r="A499" s="184"/>
      <c r="B499" s="184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  <c r="Y499" s="184"/>
      <c r="Z499" s="184"/>
      <c r="AA499" s="184"/>
    </row>
    <row r="500">
      <c r="A500" s="184"/>
      <c r="B500" s="184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  <c r="Y500" s="184"/>
      <c r="Z500" s="184"/>
      <c r="AA500" s="184"/>
    </row>
    <row r="501">
      <c r="A501" s="184"/>
      <c r="B501" s="184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  <c r="Y501" s="184"/>
      <c r="Z501" s="184"/>
      <c r="AA501" s="184"/>
    </row>
    <row r="502">
      <c r="A502" s="184"/>
      <c r="B502" s="184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  <c r="AA502" s="184"/>
    </row>
    <row r="503">
      <c r="A503" s="184"/>
      <c r="B503" s="184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  <c r="Y503" s="184"/>
      <c r="Z503" s="184"/>
      <c r="AA503" s="184"/>
    </row>
    <row r="504">
      <c r="A504" s="184"/>
      <c r="B504" s="184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  <c r="Y504" s="184"/>
      <c r="Z504" s="184"/>
      <c r="AA504" s="184"/>
    </row>
    <row r="505">
      <c r="A505" s="184"/>
      <c r="B505" s="184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  <c r="Y505" s="184"/>
      <c r="Z505" s="184"/>
      <c r="AA505" s="184"/>
    </row>
    <row r="506">
      <c r="A506" s="184"/>
      <c r="B506" s="184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  <c r="Y506" s="184"/>
      <c r="Z506" s="184"/>
      <c r="AA506" s="184"/>
    </row>
    <row r="507">
      <c r="A507" s="184"/>
      <c r="B507" s="184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  <c r="Y507" s="184"/>
      <c r="Z507" s="184"/>
      <c r="AA507" s="184"/>
    </row>
    <row r="508">
      <c r="A508" s="184"/>
      <c r="B508" s="184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  <c r="Y508" s="184"/>
      <c r="Z508" s="184"/>
      <c r="AA508" s="184"/>
    </row>
    <row r="509">
      <c r="A509" s="184"/>
      <c r="B509" s="184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  <c r="Y509" s="184"/>
      <c r="Z509" s="184"/>
      <c r="AA509" s="184"/>
    </row>
    <row r="510">
      <c r="A510" s="184"/>
      <c r="B510" s="184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  <c r="Y510" s="184"/>
      <c r="Z510" s="184"/>
      <c r="AA510" s="184"/>
    </row>
    <row r="511">
      <c r="A511" s="184"/>
      <c r="B511" s="184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  <c r="Y511" s="184"/>
      <c r="Z511" s="184"/>
      <c r="AA511" s="184"/>
    </row>
    <row r="512">
      <c r="A512" s="184"/>
      <c r="B512" s="184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  <c r="Y512" s="184"/>
      <c r="Z512" s="184"/>
      <c r="AA512" s="184"/>
    </row>
    <row r="513">
      <c r="A513" s="184"/>
      <c r="B513" s="184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  <c r="Y513" s="184"/>
      <c r="Z513" s="184"/>
      <c r="AA513" s="184"/>
    </row>
    <row r="514">
      <c r="A514" s="184"/>
      <c r="B514" s="184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  <c r="Y514" s="184"/>
      <c r="Z514" s="184"/>
      <c r="AA514" s="184"/>
    </row>
    <row r="515">
      <c r="A515" s="184"/>
      <c r="B515" s="184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  <c r="Y515" s="184"/>
      <c r="Z515" s="184"/>
      <c r="AA515" s="184"/>
    </row>
    <row r="516">
      <c r="A516" s="184"/>
      <c r="B516" s="184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  <c r="Y516" s="184"/>
      <c r="Z516" s="184"/>
      <c r="AA516" s="184"/>
    </row>
    <row r="517">
      <c r="A517" s="184"/>
      <c r="B517" s="184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  <c r="AA517" s="184"/>
    </row>
    <row r="518">
      <c r="A518" s="184"/>
      <c r="B518" s="184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  <c r="Y518" s="184"/>
      <c r="Z518" s="184"/>
      <c r="AA518" s="184"/>
    </row>
    <row r="519">
      <c r="A519" s="184"/>
      <c r="B519" s="184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  <c r="AA519" s="184"/>
    </row>
    <row r="520">
      <c r="A520" s="184"/>
      <c r="B520" s="184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  <c r="Y520" s="184"/>
      <c r="Z520" s="184"/>
      <c r="AA520" s="184"/>
    </row>
    <row r="521">
      <c r="A521" s="184"/>
      <c r="B521" s="184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  <c r="Y521" s="184"/>
      <c r="Z521" s="184"/>
      <c r="AA521" s="184"/>
    </row>
    <row r="522">
      <c r="A522" s="184"/>
      <c r="B522" s="184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  <c r="AA522" s="184"/>
    </row>
    <row r="523">
      <c r="A523" s="184"/>
      <c r="B523" s="184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  <c r="AA523" s="184"/>
    </row>
    <row r="524">
      <c r="A524" s="184"/>
      <c r="B524" s="184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  <c r="AA524" s="184"/>
    </row>
    <row r="525">
      <c r="A525" s="184"/>
      <c r="B525" s="184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  <c r="AA525" s="184"/>
    </row>
    <row r="526">
      <c r="A526" s="184"/>
      <c r="B526" s="184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  <c r="Y526" s="184"/>
      <c r="Z526" s="184"/>
      <c r="AA526" s="184"/>
    </row>
    <row r="527">
      <c r="A527" s="184"/>
      <c r="B527" s="184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  <c r="Y527" s="184"/>
      <c r="Z527" s="184"/>
      <c r="AA527" s="184"/>
    </row>
    <row r="528">
      <c r="A528" s="184"/>
      <c r="B528" s="184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  <c r="Y528" s="184"/>
      <c r="Z528" s="184"/>
      <c r="AA528" s="184"/>
    </row>
    <row r="529">
      <c r="A529" s="184"/>
      <c r="B529" s="184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  <c r="AA529" s="184"/>
    </row>
    <row r="530">
      <c r="A530" s="184"/>
      <c r="B530" s="184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  <c r="Y530" s="184"/>
      <c r="Z530" s="184"/>
      <c r="AA530" s="184"/>
    </row>
    <row r="531">
      <c r="A531" s="184"/>
      <c r="B531" s="184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  <c r="AA531" s="184"/>
    </row>
    <row r="532">
      <c r="A532" s="184"/>
      <c r="B532" s="184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  <c r="AA532" s="184"/>
    </row>
    <row r="533">
      <c r="A533" s="184"/>
      <c r="B533" s="184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  <c r="AA533" s="184"/>
    </row>
    <row r="534">
      <c r="A534" s="184"/>
      <c r="B534" s="184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  <c r="Y534" s="184"/>
      <c r="Z534" s="184"/>
      <c r="AA534" s="184"/>
    </row>
    <row r="535">
      <c r="A535" s="184"/>
      <c r="B535" s="184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  <c r="AA535" s="184"/>
    </row>
    <row r="536">
      <c r="A536" s="184"/>
      <c r="B536" s="184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  <c r="Y536" s="184"/>
      <c r="Z536" s="184"/>
      <c r="AA536" s="184"/>
    </row>
    <row r="537">
      <c r="A537" s="184"/>
      <c r="B537" s="184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  <c r="Y537" s="184"/>
      <c r="Z537" s="184"/>
      <c r="AA537" s="184"/>
    </row>
    <row r="538">
      <c r="A538" s="184"/>
      <c r="B538" s="184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  <c r="AA538" s="184"/>
    </row>
    <row r="539">
      <c r="A539" s="184"/>
      <c r="B539" s="184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  <c r="AA539" s="184"/>
    </row>
    <row r="540">
      <c r="A540" s="184"/>
      <c r="B540" s="184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  <c r="AA540" s="184"/>
    </row>
    <row r="541">
      <c r="A541" s="184"/>
      <c r="B541" s="184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  <c r="Y541" s="184"/>
      <c r="Z541" s="184"/>
      <c r="AA541" s="184"/>
    </row>
    <row r="542">
      <c r="A542" s="184"/>
      <c r="B542" s="184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  <c r="AA542" s="184"/>
    </row>
    <row r="543">
      <c r="A543" s="184"/>
      <c r="B543" s="184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  <c r="Y543" s="184"/>
      <c r="Z543" s="184"/>
      <c r="AA543" s="184"/>
    </row>
    <row r="544">
      <c r="A544" s="184"/>
      <c r="B544" s="184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  <c r="Y544" s="184"/>
      <c r="Z544" s="184"/>
      <c r="AA544" s="184"/>
    </row>
    <row r="545">
      <c r="A545" s="184"/>
      <c r="B545" s="184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  <c r="AA545" s="184"/>
    </row>
    <row r="546">
      <c r="A546" s="184"/>
      <c r="B546" s="184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  <c r="AA546" s="184"/>
    </row>
    <row r="547">
      <c r="A547" s="184"/>
      <c r="B547" s="184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  <c r="AA547" s="184"/>
    </row>
    <row r="548">
      <c r="A548" s="184"/>
      <c r="B548" s="184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  <c r="Y548" s="184"/>
      <c r="Z548" s="184"/>
      <c r="AA548" s="184"/>
    </row>
    <row r="549">
      <c r="A549" s="184"/>
      <c r="B549" s="184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  <c r="Y549" s="184"/>
      <c r="Z549" s="184"/>
      <c r="AA549" s="184"/>
    </row>
    <row r="550">
      <c r="A550" s="184"/>
      <c r="B550" s="184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  <c r="AA550" s="184"/>
    </row>
    <row r="551">
      <c r="A551" s="184"/>
      <c r="B551" s="184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  <c r="Y551" s="184"/>
      <c r="Z551" s="184"/>
      <c r="AA551" s="184"/>
    </row>
    <row r="552">
      <c r="A552" s="184"/>
      <c r="B552" s="184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  <c r="AA552" s="184"/>
    </row>
    <row r="553">
      <c r="A553" s="184"/>
      <c r="B553" s="184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  <c r="Y553" s="184"/>
      <c r="Z553" s="184"/>
      <c r="AA553" s="184"/>
    </row>
    <row r="554">
      <c r="A554" s="184"/>
      <c r="B554" s="184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  <c r="AA554" s="184"/>
    </row>
    <row r="555">
      <c r="A555" s="184"/>
      <c r="B555" s="184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  <c r="AA555" s="184"/>
    </row>
    <row r="556">
      <c r="A556" s="184"/>
      <c r="B556" s="184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  <c r="AA556" s="184"/>
    </row>
    <row r="557">
      <c r="A557" s="184"/>
      <c r="B557" s="184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  <c r="Y557" s="184"/>
      <c r="Z557" s="184"/>
      <c r="AA557" s="184"/>
    </row>
    <row r="558">
      <c r="A558" s="184"/>
      <c r="B558" s="184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  <c r="Y558" s="184"/>
      <c r="Z558" s="184"/>
      <c r="AA558" s="184"/>
    </row>
    <row r="559">
      <c r="A559" s="184"/>
      <c r="B559" s="184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  <c r="AA559" s="184"/>
    </row>
    <row r="560">
      <c r="A560" s="184"/>
      <c r="B560" s="184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  <c r="AA560" s="184"/>
    </row>
    <row r="561">
      <c r="A561" s="184"/>
      <c r="B561" s="184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  <c r="Y561" s="184"/>
      <c r="Z561" s="184"/>
      <c r="AA561" s="184"/>
    </row>
    <row r="562">
      <c r="A562" s="184"/>
      <c r="B562" s="184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  <c r="AA562" s="184"/>
    </row>
    <row r="563">
      <c r="A563" s="184"/>
      <c r="B563" s="184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  <c r="AA563" s="184"/>
    </row>
    <row r="564">
      <c r="A564" s="184"/>
      <c r="B564" s="184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  <c r="AA564" s="184"/>
    </row>
    <row r="565">
      <c r="A565" s="184"/>
      <c r="B565" s="184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  <c r="AA565" s="184"/>
    </row>
    <row r="566">
      <c r="A566" s="184"/>
      <c r="B566" s="184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  <c r="AA566" s="184"/>
    </row>
    <row r="567">
      <c r="A567" s="184"/>
      <c r="B567" s="184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  <c r="AA567" s="184"/>
    </row>
    <row r="568">
      <c r="A568" s="184"/>
      <c r="B568" s="184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  <c r="AA568" s="184"/>
    </row>
    <row r="569">
      <c r="A569" s="184"/>
      <c r="B569" s="184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  <c r="AA569" s="184"/>
    </row>
    <row r="570">
      <c r="A570" s="184"/>
      <c r="B570" s="184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  <c r="AA570" s="184"/>
    </row>
    <row r="571">
      <c r="A571" s="184"/>
      <c r="B571" s="184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  <c r="AA571" s="184"/>
    </row>
    <row r="572">
      <c r="A572" s="184"/>
      <c r="B572" s="184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  <c r="AA572" s="184"/>
    </row>
    <row r="573">
      <c r="A573" s="184"/>
      <c r="B573" s="184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  <c r="AA573" s="184"/>
    </row>
    <row r="574">
      <c r="A574" s="184"/>
      <c r="B574" s="184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  <c r="AA574" s="184"/>
    </row>
    <row r="575">
      <c r="A575" s="184"/>
      <c r="B575" s="184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  <c r="AA575" s="184"/>
    </row>
    <row r="576">
      <c r="A576" s="184"/>
      <c r="B576" s="184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  <c r="AA576" s="184"/>
    </row>
    <row r="577">
      <c r="A577" s="184"/>
      <c r="B577" s="184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  <c r="Y577" s="184"/>
      <c r="Z577" s="184"/>
      <c r="AA577" s="184"/>
    </row>
    <row r="578">
      <c r="A578" s="184"/>
      <c r="B578" s="184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  <c r="AA578" s="184"/>
    </row>
    <row r="579">
      <c r="A579" s="184"/>
      <c r="B579" s="184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  <c r="AA579" s="184"/>
    </row>
    <row r="580">
      <c r="A580" s="184"/>
      <c r="B580" s="184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  <c r="AA580" s="184"/>
    </row>
    <row r="581">
      <c r="A581" s="184"/>
      <c r="B581" s="184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  <c r="AA581" s="184"/>
    </row>
    <row r="582">
      <c r="A582" s="184"/>
      <c r="B582" s="184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  <c r="AA582" s="184"/>
    </row>
    <row r="583">
      <c r="A583" s="184"/>
      <c r="B583" s="184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  <c r="AA583" s="184"/>
    </row>
    <row r="584">
      <c r="A584" s="184"/>
      <c r="B584" s="184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  <c r="AA584" s="184"/>
    </row>
    <row r="585">
      <c r="A585" s="184"/>
      <c r="B585" s="184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  <c r="AA585" s="184"/>
    </row>
    <row r="586">
      <c r="A586" s="184"/>
      <c r="B586" s="184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  <c r="AA586" s="184"/>
    </row>
    <row r="587">
      <c r="A587" s="184"/>
      <c r="B587" s="184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  <c r="Y587" s="184"/>
      <c r="Z587" s="184"/>
      <c r="AA587" s="184"/>
    </row>
    <row r="588">
      <c r="A588" s="184"/>
      <c r="B588" s="184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  <c r="AA588" s="184"/>
    </row>
    <row r="589">
      <c r="A589" s="184"/>
      <c r="B589" s="184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  <c r="AA589" s="184"/>
    </row>
    <row r="590">
      <c r="A590" s="184"/>
      <c r="B590" s="184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  <c r="Y590" s="184"/>
      <c r="Z590" s="184"/>
      <c r="AA590" s="184"/>
    </row>
    <row r="591">
      <c r="A591" s="184"/>
      <c r="B591" s="184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  <c r="AA591" s="184"/>
    </row>
    <row r="592">
      <c r="A592" s="184"/>
      <c r="B592" s="184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  <c r="AA592" s="184"/>
    </row>
    <row r="593">
      <c r="A593" s="184"/>
      <c r="B593" s="184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  <c r="AA593" s="184"/>
    </row>
    <row r="594">
      <c r="A594" s="184"/>
      <c r="B594" s="184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  <c r="Y594" s="184"/>
      <c r="Z594" s="184"/>
      <c r="AA594" s="184"/>
    </row>
    <row r="595">
      <c r="A595" s="184"/>
      <c r="B595" s="184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  <c r="Y595" s="184"/>
      <c r="Z595" s="184"/>
      <c r="AA595" s="184"/>
    </row>
    <row r="596">
      <c r="A596" s="184"/>
      <c r="B596" s="184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  <c r="Y596" s="184"/>
      <c r="Z596" s="184"/>
      <c r="AA596" s="184"/>
    </row>
    <row r="597">
      <c r="A597" s="184"/>
      <c r="B597" s="184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  <c r="Y597" s="184"/>
      <c r="Z597" s="184"/>
      <c r="AA597" s="184"/>
    </row>
    <row r="598">
      <c r="A598" s="184"/>
      <c r="B598" s="184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  <c r="Y598" s="184"/>
      <c r="Z598" s="184"/>
      <c r="AA598" s="184"/>
    </row>
    <row r="599">
      <c r="A599" s="184"/>
      <c r="B599" s="184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  <c r="AA599" s="184"/>
    </row>
    <row r="600">
      <c r="A600" s="184"/>
      <c r="B600" s="184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  <c r="AA600" s="184"/>
    </row>
    <row r="601">
      <c r="A601" s="184"/>
      <c r="B601" s="184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  <c r="AA601" s="184"/>
    </row>
    <row r="602">
      <c r="A602" s="184"/>
      <c r="B602" s="184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  <c r="Y602" s="184"/>
      <c r="Z602" s="184"/>
      <c r="AA602" s="184"/>
    </row>
    <row r="603">
      <c r="A603" s="184"/>
      <c r="B603" s="184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  <c r="AA603" s="184"/>
    </row>
    <row r="604">
      <c r="A604" s="184"/>
      <c r="B604" s="184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  <c r="AA604" s="184"/>
    </row>
    <row r="605">
      <c r="A605" s="184"/>
      <c r="B605" s="184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  <c r="AA605" s="184"/>
    </row>
    <row r="606">
      <c r="A606" s="184"/>
      <c r="B606" s="184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  <c r="AA606" s="184"/>
    </row>
    <row r="607">
      <c r="A607" s="184"/>
      <c r="B607" s="184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  <c r="AA607" s="184"/>
    </row>
    <row r="608">
      <c r="A608" s="184"/>
      <c r="B608" s="184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  <c r="Y608" s="184"/>
      <c r="Z608" s="184"/>
      <c r="AA608" s="184"/>
    </row>
    <row r="609">
      <c r="A609" s="184"/>
      <c r="B609" s="184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  <c r="AA609" s="184"/>
    </row>
    <row r="610">
      <c r="A610" s="184"/>
      <c r="B610" s="184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  <c r="AA610" s="184"/>
    </row>
    <row r="611">
      <c r="A611" s="184"/>
      <c r="B611" s="184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  <c r="Y611" s="184"/>
      <c r="Z611" s="184"/>
      <c r="AA611" s="184"/>
    </row>
    <row r="612">
      <c r="A612" s="184"/>
      <c r="B612" s="184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  <c r="AA612" s="184"/>
    </row>
    <row r="613">
      <c r="A613" s="184"/>
      <c r="B613" s="184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  <c r="AA613" s="184"/>
    </row>
    <row r="614">
      <c r="A614" s="184"/>
      <c r="B614" s="184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  <c r="AA614" s="184"/>
    </row>
    <row r="615">
      <c r="A615" s="184"/>
      <c r="B615" s="184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  <c r="AA615" s="184"/>
    </row>
    <row r="616">
      <c r="A616" s="184"/>
      <c r="B616" s="184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  <c r="AA616" s="184"/>
    </row>
    <row r="617">
      <c r="A617" s="184"/>
      <c r="B617" s="184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  <c r="AA617" s="184"/>
    </row>
    <row r="618">
      <c r="A618" s="184"/>
      <c r="B618" s="184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  <c r="AA618" s="184"/>
    </row>
    <row r="619">
      <c r="A619" s="184"/>
      <c r="B619" s="184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  <c r="AA619" s="184"/>
    </row>
    <row r="620">
      <c r="A620" s="184"/>
      <c r="B620" s="184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  <c r="AA620" s="184"/>
    </row>
    <row r="621">
      <c r="A621" s="184"/>
      <c r="B621" s="184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  <c r="AA621" s="184"/>
    </row>
    <row r="622">
      <c r="A622" s="184"/>
      <c r="B622" s="184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  <c r="AA622" s="184"/>
    </row>
    <row r="623">
      <c r="A623" s="184"/>
      <c r="B623" s="184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  <c r="AA623" s="184"/>
    </row>
    <row r="624">
      <c r="A624" s="184"/>
      <c r="B624" s="184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  <c r="AA624" s="184"/>
    </row>
    <row r="625">
      <c r="A625" s="184"/>
      <c r="B625" s="184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  <c r="AA625" s="184"/>
    </row>
    <row r="626">
      <c r="A626" s="184"/>
      <c r="B626" s="184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  <c r="AA626" s="184"/>
    </row>
    <row r="627">
      <c r="A627" s="184"/>
      <c r="B627" s="184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  <c r="AA627" s="184"/>
    </row>
    <row r="628">
      <c r="A628" s="184"/>
      <c r="B628" s="184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  <c r="AA628" s="184"/>
    </row>
    <row r="629">
      <c r="A629" s="184"/>
      <c r="B629" s="184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  <c r="AA629" s="184"/>
    </row>
    <row r="630">
      <c r="A630" s="184"/>
      <c r="B630" s="184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  <c r="Y630" s="184"/>
      <c r="Z630" s="184"/>
      <c r="AA630" s="184"/>
    </row>
    <row r="631">
      <c r="A631" s="184"/>
      <c r="B631" s="184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  <c r="Y631" s="184"/>
      <c r="Z631" s="184"/>
      <c r="AA631" s="184"/>
    </row>
    <row r="632">
      <c r="A632" s="184"/>
      <c r="B632" s="184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  <c r="AA632" s="184"/>
    </row>
    <row r="633">
      <c r="A633" s="184"/>
      <c r="B633" s="184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  <c r="Y633" s="184"/>
      <c r="Z633" s="184"/>
      <c r="AA633" s="184"/>
    </row>
    <row r="634">
      <c r="A634" s="184"/>
      <c r="B634" s="184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  <c r="Y634" s="184"/>
      <c r="Z634" s="184"/>
      <c r="AA634" s="184"/>
    </row>
    <row r="635">
      <c r="A635" s="184"/>
      <c r="B635" s="184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  <c r="Y635" s="184"/>
      <c r="Z635" s="184"/>
      <c r="AA635" s="184"/>
    </row>
    <row r="636">
      <c r="A636" s="184"/>
      <c r="B636" s="184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  <c r="Y636" s="184"/>
      <c r="Z636" s="184"/>
      <c r="AA636" s="184"/>
    </row>
    <row r="637">
      <c r="A637" s="184"/>
      <c r="B637" s="184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  <c r="Y637" s="184"/>
      <c r="Z637" s="184"/>
      <c r="AA637" s="184"/>
    </row>
    <row r="638">
      <c r="A638" s="184"/>
      <c r="B638" s="184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  <c r="Y638" s="184"/>
      <c r="Z638" s="184"/>
      <c r="AA638" s="184"/>
    </row>
    <row r="639">
      <c r="A639" s="184"/>
      <c r="B639" s="184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  <c r="Y639" s="184"/>
      <c r="Z639" s="184"/>
      <c r="AA639" s="184"/>
    </row>
    <row r="640">
      <c r="A640" s="184"/>
      <c r="B640" s="184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  <c r="Y640" s="184"/>
      <c r="Z640" s="184"/>
      <c r="AA640" s="184"/>
    </row>
    <row r="641">
      <c r="A641" s="184"/>
      <c r="B641" s="184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  <c r="Y641" s="184"/>
      <c r="Z641" s="184"/>
      <c r="AA641" s="184"/>
    </row>
    <row r="642">
      <c r="A642" s="184"/>
      <c r="B642" s="184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  <c r="Y642" s="184"/>
      <c r="Z642" s="184"/>
      <c r="AA642" s="184"/>
    </row>
    <row r="643">
      <c r="A643" s="184"/>
      <c r="B643" s="184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  <c r="Y643" s="184"/>
      <c r="Z643" s="184"/>
      <c r="AA643" s="184"/>
    </row>
    <row r="644">
      <c r="A644" s="184"/>
      <c r="B644" s="184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  <c r="AA644" s="184"/>
    </row>
    <row r="645">
      <c r="A645" s="184"/>
      <c r="B645" s="184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  <c r="AA645" s="184"/>
    </row>
    <row r="646">
      <c r="A646" s="184"/>
      <c r="B646" s="184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  <c r="AA646" s="184"/>
    </row>
    <row r="647">
      <c r="A647" s="184"/>
      <c r="B647" s="184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  <c r="AA647" s="184"/>
    </row>
    <row r="648">
      <c r="A648" s="184"/>
      <c r="B648" s="184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  <c r="AA648" s="184"/>
    </row>
    <row r="649">
      <c r="A649" s="184"/>
      <c r="B649" s="184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  <c r="AA649" s="184"/>
    </row>
    <row r="650">
      <c r="A650" s="184"/>
      <c r="B650" s="184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  <c r="AA650" s="184"/>
    </row>
    <row r="651">
      <c r="A651" s="184"/>
      <c r="B651" s="184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  <c r="AA651" s="184"/>
    </row>
    <row r="652">
      <c r="A652" s="184"/>
      <c r="B652" s="184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  <c r="AA652" s="184"/>
    </row>
    <row r="653">
      <c r="A653" s="184"/>
      <c r="B653" s="184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  <c r="AA653" s="184"/>
    </row>
    <row r="654">
      <c r="A654" s="184"/>
      <c r="B654" s="184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  <c r="AA654" s="184"/>
    </row>
    <row r="655">
      <c r="A655" s="184"/>
      <c r="B655" s="184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  <c r="AA655" s="184"/>
    </row>
    <row r="656">
      <c r="A656" s="184"/>
      <c r="B656" s="184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  <c r="AA656" s="184"/>
    </row>
    <row r="657">
      <c r="A657" s="184"/>
      <c r="B657" s="184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  <c r="AA657" s="184"/>
    </row>
    <row r="658">
      <c r="A658" s="184"/>
      <c r="B658" s="184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  <c r="AA658" s="184"/>
    </row>
    <row r="659">
      <c r="A659" s="184"/>
      <c r="B659" s="184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  <c r="AA659" s="184"/>
    </row>
    <row r="660">
      <c r="A660" s="184"/>
      <c r="B660" s="184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  <c r="AA660" s="184"/>
    </row>
    <row r="661">
      <c r="A661" s="184"/>
      <c r="B661" s="184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  <c r="AA661" s="184"/>
    </row>
    <row r="662">
      <c r="A662" s="184"/>
      <c r="B662" s="184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  <c r="AA662" s="184"/>
    </row>
    <row r="663">
      <c r="A663" s="184"/>
      <c r="B663" s="184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  <c r="AA663" s="184"/>
    </row>
    <row r="664">
      <c r="A664" s="184"/>
      <c r="B664" s="184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  <c r="AA664" s="184"/>
    </row>
    <row r="665">
      <c r="A665" s="184"/>
      <c r="B665" s="184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  <c r="AA665" s="184"/>
    </row>
    <row r="666">
      <c r="A666" s="184"/>
      <c r="B666" s="184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  <c r="AA666" s="184"/>
    </row>
    <row r="667">
      <c r="A667" s="184"/>
      <c r="B667" s="184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  <c r="AA667" s="184"/>
    </row>
    <row r="668">
      <c r="A668" s="184"/>
      <c r="B668" s="184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  <c r="AA668" s="184"/>
    </row>
    <row r="669">
      <c r="A669" s="184"/>
      <c r="B669" s="184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  <c r="AA669" s="184"/>
    </row>
    <row r="670">
      <c r="A670" s="184"/>
      <c r="B670" s="184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  <c r="AA670" s="184"/>
    </row>
    <row r="671">
      <c r="A671" s="184"/>
      <c r="B671" s="184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  <c r="AA671" s="184"/>
    </row>
    <row r="672">
      <c r="A672" s="184"/>
      <c r="B672" s="184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  <c r="AA672" s="184"/>
    </row>
    <row r="673">
      <c r="A673" s="184"/>
      <c r="B673" s="184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  <c r="AA673" s="184"/>
    </row>
    <row r="674">
      <c r="A674" s="184"/>
      <c r="B674" s="184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  <c r="AA674" s="184"/>
    </row>
    <row r="675">
      <c r="A675" s="184"/>
      <c r="B675" s="184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  <c r="AA675" s="184"/>
    </row>
    <row r="676">
      <c r="A676" s="184"/>
      <c r="B676" s="184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  <c r="AA676" s="184"/>
    </row>
    <row r="677">
      <c r="A677" s="184"/>
      <c r="B677" s="184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  <c r="AA677" s="184"/>
    </row>
    <row r="678">
      <c r="A678" s="184"/>
      <c r="B678" s="184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  <c r="AA678" s="184"/>
    </row>
    <row r="679">
      <c r="A679" s="184"/>
      <c r="B679" s="184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  <c r="AA679" s="184"/>
    </row>
    <row r="680">
      <c r="A680" s="184"/>
      <c r="B680" s="184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  <c r="AA680" s="184"/>
    </row>
    <row r="681">
      <c r="A681" s="184"/>
      <c r="B681" s="184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  <c r="AA681" s="184"/>
    </row>
    <row r="682">
      <c r="A682" s="184"/>
      <c r="B682" s="184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  <c r="AA682" s="184"/>
    </row>
    <row r="683">
      <c r="A683" s="184"/>
      <c r="B683" s="184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  <c r="AA683" s="184"/>
    </row>
    <row r="684">
      <c r="A684" s="184"/>
      <c r="B684" s="184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  <c r="AA684" s="184"/>
    </row>
    <row r="685">
      <c r="A685" s="184"/>
      <c r="B685" s="184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  <c r="AA685" s="184"/>
    </row>
    <row r="686">
      <c r="A686" s="184"/>
      <c r="B686" s="184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  <c r="AA686" s="184"/>
    </row>
    <row r="687">
      <c r="A687" s="184"/>
      <c r="B687" s="184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  <c r="AA687" s="184"/>
    </row>
    <row r="688">
      <c r="A688" s="184"/>
      <c r="B688" s="184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  <c r="AA688" s="184"/>
    </row>
    <row r="689">
      <c r="A689" s="184"/>
      <c r="B689" s="184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  <c r="AA689" s="184"/>
    </row>
    <row r="690">
      <c r="A690" s="184"/>
      <c r="B690" s="184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  <c r="AA690" s="184"/>
    </row>
    <row r="691">
      <c r="A691" s="184"/>
      <c r="B691" s="184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  <c r="AA691" s="184"/>
    </row>
    <row r="692">
      <c r="A692" s="184"/>
      <c r="B692" s="184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  <c r="AA692" s="184"/>
    </row>
    <row r="693">
      <c r="A693" s="184"/>
      <c r="B693" s="184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  <c r="AA693" s="184"/>
    </row>
    <row r="694">
      <c r="A694" s="184"/>
      <c r="B694" s="184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  <c r="AA694" s="184"/>
    </row>
    <row r="695">
      <c r="A695" s="184"/>
      <c r="B695" s="184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  <c r="AA695" s="184"/>
    </row>
    <row r="696">
      <c r="A696" s="184"/>
      <c r="B696" s="184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  <c r="AA696" s="184"/>
    </row>
    <row r="697">
      <c r="A697" s="184"/>
      <c r="B697" s="184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  <c r="AA697" s="184"/>
    </row>
    <row r="698">
      <c r="A698" s="184"/>
      <c r="B698" s="184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  <c r="AA698" s="184"/>
    </row>
    <row r="699">
      <c r="A699" s="184"/>
      <c r="B699" s="184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  <c r="AA699" s="184"/>
    </row>
    <row r="700">
      <c r="A700" s="184"/>
      <c r="B700" s="184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  <c r="AA700" s="184"/>
    </row>
    <row r="701">
      <c r="A701" s="184"/>
      <c r="B701" s="184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  <c r="AA701" s="184"/>
    </row>
    <row r="702">
      <c r="A702" s="184"/>
      <c r="B702" s="184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  <c r="AA702" s="184"/>
    </row>
    <row r="703">
      <c r="A703" s="184"/>
      <c r="B703" s="184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  <c r="AA703" s="184"/>
    </row>
    <row r="704">
      <c r="A704" s="184"/>
      <c r="B704" s="184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  <c r="AA704" s="184"/>
    </row>
    <row r="705">
      <c r="A705" s="184"/>
      <c r="B705" s="184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  <c r="AA705" s="184"/>
    </row>
    <row r="706">
      <c r="A706" s="184"/>
      <c r="B706" s="184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  <c r="AA706" s="184"/>
    </row>
    <row r="707">
      <c r="A707" s="184"/>
      <c r="B707" s="184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  <c r="AA707" s="184"/>
    </row>
    <row r="708">
      <c r="A708" s="184"/>
      <c r="B708" s="184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  <c r="AA708" s="184"/>
    </row>
    <row r="709">
      <c r="A709" s="184"/>
      <c r="B709" s="184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  <c r="AA709" s="184"/>
    </row>
    <row r="710">
      <c r="A710" s="184"/>
      <c r="B710" s="184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  <c r="AA710" s="184"/>
    </row>
    <row r="711">
      <c r="A711" s="184"/>
      <c r="B711" s="184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  <c r="AA711" s="184"/>
    </row>
    <row r="712">
      <c r="A712" s="184"/>
      <c r="B712" s="184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  <c r="AA712" s="184"/>
    </row>
    <row r="713">
      <c r="A713" s="184"/>
      <c r="B713" s="184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  <c r="AA713" s="184"/>
    </row>
    <row r="714">
      <c r="A714" s="184"/>
      <c r="B714" s="184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  <c r="AA714" s="184"/>
    </row>
    <row r="715">
      <c r="A715" s="184"/>
      <c r="B715" s="184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  <c r="AA715" s="184"/>
    </row>
    <row r="716">
      <c r="A716" s="184"/>
      <c r="B716" s="184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  <c r="AA716" s="184"/>
    </row>
    <row r="717">
      <c r="A717" s="184"/>
      <c r="B717" s="184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  <c r="AA717" s="184"/>
    </row>
    <row r="718">
      <c r="A718" s="184"/>
      <c r="B718" s="184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  <c r="AA718" s="184"/>
    </row>
    <row r="719">
      <c r="A719" s="184"/>
      <c r="B719" s="184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  <c r="AA719" s="184"/>
    </row>
    <row r="720">
      <c r="A720" s="184"/>
      <c r="B720" s="184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  <c r="AA720" s="184"/>
    </row>
    <row r="721">
      <c r="A721" s="184"/>
      <c r="B721" s="184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  <c r="AA721" s="184"/>
    </row>
    <row r="722">
      <c r="A722" s="184"/>
      <c r="B722" s="184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  <c r="AA722" s="184"/>
    </row>
    <row r="723">
      <c r="A723" s="184"/>
      <c r="B723" s="184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  <c r="AA723" s="184"/>
    </row>
    <row r="724">
      <c r="A724" s="184"/>
      <c r="B724" s="184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  <c r="AA724" s="184"/>
    </row>
    <row r="725">
      <c r="A725" s="184"/>
      <c r="B725" s="184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  <c r="AA725" s="184"/>
    </row>
    <row r="726">
      <c r="A726" s="184"/>
      <c r="B726" s="184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  <c r="AA726" s="184"/>
    </row>
    <row r="727">
      <c r="A727" s="184"/>
      <c r="B727" s="184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  <c r="AA727" s="184"/>
    </row>
    <row r="728">
      <c r="A728" s="184"/>
      <c r="B728" s="184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  <c r="AA728" s="184"/>
    </row>
    <row r="729">
      <c r="A729" s="184"/>
      <c r="B729" s="184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  <c r="AA729" s="184"/>
    </row>
    <row r="730">
      <c r="A730" s="184"/>
      <c r="B730" s="184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  <c r="AA730" s="184"/>
    </row>
    <row r="731">
      <c r="A731" s="184"/>
      <c r="B731" s="184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  <c r="AA731" s="184"/>
    </row>
    <row r="732">
      <c r="A732" s="184"/>
      <c r="B732" s="184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  <c r="AA732" s="184"/>
    </row>
    <row r="733">
      <c r="A733" s="184"/>
      <c r="B733" s="184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  <c r="AA733" s="184"/>
    </row>
    <row r="734">
      <c r="A734" s="184"/>
      <c r="B734" s="184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  <c r="AA734" s="184"/>
    </row>
    <row r="735">
      <c r="A735" s="184"/>
      <c r="B735" s="184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  <c r="AA735" s="184"/>
    </row>
    <row r="736">
      <c r="A736" s="184"/>
      <c r="B736" s="184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  <c r="AA736" s="184"/>
    </row>
    <row r="737">
      <c r="A737" s="184"/>
      <c r="B737" s="184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  <c r="AA737" s="184"/>
    </row>
    <row r="738">
      <c r="A738" s="184"/>
      <c r="B738" s="184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  <c r="AA738" s="184"/>
    </row>
    <row r="739">
      <c r="A739" s="184"/>
      <c r="B739" s="184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  <c r="AA739" s="184"/>
    </row>
    <row r="740">
      <c r="A740" s="184"/>
      <c r="B740" s="184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  <c r="AA740" s="184"/>
    </row>
    <row r="741">
      <c r="A741" s="184"/>
      <c r="B741" s="184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  <c r="AA741" s="184"/>
    </row>
    <row r="742">
      <c r="A742" s="184"/>
      <c r="B742" s="184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  <c r="AA742" s="184"/>
    </row>
    <row r="743">
      <c r="A743" s="184"/>
      <c r="B743" s="184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  <c r="AA743" s="184"/>
    </row>
    <row r="744">
      <c r="A744" s="184"/>
      <c r="B744" s="184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  <c r="AA744" s="184"/>
    </row>
    <row r="745">
      <c r="A745" s="184"/>
      <c r="B745" s="184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  <c r="AA745" s="184"/>
    </row>
    <row r="746">
      <c r="A746" s="184"/>
      <c r="B746" s="184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  <c r="AA746" s="184"/>
    </row>
    <row r="747">
      <c r="A747" s="184"/>
      <c r="B747" s="184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  <c r="AA747" s="184"/>
    </row>
    <row r="748">
      <c r="A748" s="184"/>
      <c r="B748" s="184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  <c r="AA748" s="184"/>
    </row>
    <row r="749">
      <c r="A749" s="184"/>
      <c r="B749" s="184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  <c r="AA749" s="184"/>
    </row>
    <row r="750">
      <c r="A750" s="184"/>
      <c r="B750" s="184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  <c r="AA750" s="184"/>
    </row>
    <row r="751">
      <c r="A751" s="184"/>
      <c r="B751" s="184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  <c r="AA751" s="184"/>
    </row>
    <row r="752">
      <c r="A752" s="184"/>
      <c r="B752" s="184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  <c r="AA752" s="184"/>
    </row>
    <row r="753">
      <c r="A753" s="184"/>
      <c r="B753" s="184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  <c r="AA753" s="184"/>
    </row>
    <row r="754">
      <c r="A754" s="184"/>
      <c r="B754" s="184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  <c r="AA754" s="184"/>
    </row>
    <row r="755">
      <c r="A755" s="184"/>
      <c r="B755" s="184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  <c r="AA755" s="184"/>
    </row>
    <row r="756">
      <c r="A756" s="184"/>
      <c r="B756" s="184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  <c r="AA756" s="184"/>
    </row>
    <row r="757">
      <c r="A757" s="184"/>
      <c r="B757" s="184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  <c r="AA757" s="184"/>
    </row>
    <row r="758">
      <c r="A758" s="184"/>
      <c r="B758" s="184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  <c r="Y758" s="184"/>
      <c r="Z758" s="184"/>
      <c r="AA758" s="184"/>
    </row>
    <row r="759">
      <c r="A759" s="184"/>
      <c r="B759" s="184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  <c r="Y759" s="184"/>
      <c r="Z759" s="184"/>
      <c r="AA759" s="184"/>
    </row>
    <row r="760">
      <c r="A760" s="184"/>
      <c r="B760" s="184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  <c r="Y760" s="184"/>
      <c r="Z760" s="184"/>
      <c r="AA760" s="184"/>
    </row>
    <row r="761">
      <c r="A761" s="184"/>
      <c r="B761" s="184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  <c r="Y761" s="184"/>
      <c r="Z761" s="184"/>
      <c r="AA761" s="184"/>
    </row>
    <row r="762">
      <c r="A762" s="184"/>
      <c r="B762" s="184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  <c r="Y762" s="184"/>
      <c r="Z762" s="184"/>
      <c r="AA762" s="184"/>
    </row>
    <row r="763">
      <c r="A763" s="184"/>
      <c r="B763" s="184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  <c r="Y763" s="184"/>
      <c r="Z763" s="184"/>
      <c r="AA763" s="184"/>
    </row>
    <row r="764">
      <c r="A764" s="184"/>
      <c r="B764" s="184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  <c r="Y764" s="184"/>
      <c r="Z764" s="184"/>
      <c r="AA764" s="184"/>
    </row>
    <row r="765">
      <c r="A765" s="184"/>
      <c r="B765" s="184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  <c r="Y765" s="184"/>
      <c r="Z765" s="184"/>
      <c r="AA765" s="184"/>
    </row>
    <row r="766">
      <c r="A766" s="184"/>
      <c r="B766" s="184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  <c r="Y766" s="184"/>
      <c r="Z766" s="184"/>
      <c r="AA766" s="184"/>
    </row>
    <row r="767">
      <c r="A767" s="184"/>
      <c r="B767" s="184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  <c r="Y767" s="184"/>
      <c r="Z767" s="184"/>
      <c r="AA767" s="184"/>
    </row>
    <row r="768">
      <c r="A768" s="184"/>
      <c r="B768" s="184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  <c r="Y768" s="184"/>
      <c r="Z768" s="184"/>
      <c r="AA768" s="184"/>
    </row>
    <row r="769">
      <c r="A769" s="184"/>
      <c r="B769" s="184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  <c r="Y769" s="184"/>
      <c r="Z769" s="184"/>
      <c r="AA769" s="184"/>
    </row>
    <row r="770">
      <c r="A770" s="184"/>
      <c r="B770" s="184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  <c r="AA770" s="184"/>
    </row>
    <row r="771">
      <c r="A771" s="184"/>
      <c r="B771" s="184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  <c r="AA771" s="184"/>
    </row>
    <row r="772">
      <c r="A772" s="184"/>
      <c r="B772" s="184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  <c r="AA772" s="184"/>
    </row>
    <row r="773">
      <c r="A773" s="184"/>
      <c r="B773" s="184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  <c r="AA773" s="184"/>
    </row>
    <row r="774">
      <c r="A774" s="184"/>
      <c r="B774" s="184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  <c r="AA774" s="184"/>
    </row>
    <row r="775">
      <c r="A775" s="184"/>
      <c r="B775" s="184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  <c r="AA775" s="184"/>
    </row>
    <row r="776">
      <c r="A776" s="184"/>
      <c r="B776" s="184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  <c r="AA776" s="184"/>
    </row>
    <row r="777">
      <c r="A777" s="184"/>
      <c r="B777" s="184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  <c r="AA777" s="184"/>
    </row>
    <row r="778">
      <c r="A778" s="184"/>
      <c r="B778" s="184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  <c r="AA778" s="184"/>
    </row>
    <row r="779">
      <c r="A779" s="184"/>
      <c r="B779" s="184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  <c r="AA779" s="184"/>
    </row>
    <row r="780">
      <c r="A780" s="184"/>
      <c r="B780" s="184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  <c r="AA780" s="184"/>
    </row>
    <row r="781">
      <c r="A781" s="184"/>
      <c r="B781" s="184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  <c r="AA781" s="184"/>
    </row>
    <row r="782">
      <c r="A782" s="184"/>
      <c r="B782" s="184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  <c r="AA782" s="184"/>
    </row>
    <row r="783">
      <c r="A783" s="184"/>
      <c r="B783" s="184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  <c r="AA783" s="184"/>
    </row>
    <row r="784">
      <c r="A784" s="184"/>
      <c r="B784" s="184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  <c r="AA784" s="184"/>
    </row>
    <row r="785">
      <c r="A785" s="184"/>
      <c r="B785" s="184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  <c r="AA785" s="184"/>
    </row>
    <row r="786">
      <c r="A786" s="184"/>
      <c r="B786" s="184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  <c r="AA786" s="184"/>
    </row>
    <row r="787">
      <c r="A787" s="184"/>
      <c r="B787" s="184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  <c r="AA787" s="184"/>
    </row>
    <row r="788">
      <c r="A788" s="184"/>
      <c r="B788" s="184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  <c r="AA788" s="184"/>
    </row>
    <row r="789">
      <c r="A789" s="184"/>
      <c r="B789" s="184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  <c r="AA789" s="184"/>
    </row>
    <row r="790">
      <c r="A790" s="184"/>
      <c r="B790" s="184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  <c r="AA790" s="184"/>
    </row>
    <row r="791">
      <c r="A791" s="184"/>
      <c r="B791" s="184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  <c r="AA791" s="184"/>
    </row>
    <row r="792">
      <c r="A792" s="184"/>
      <c r="B792" s="184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  <c r="AA792" s="184"/>
    </row>
    <row r="793">
      <c r="A793" s="184"/>
      <c r="B793" s="184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  <c r="AA793" s="184"/>
    </row>
    <row r="794">
      <c r="A794" s="184"/>
      <c r="B794" s="184"/>
      <c r="C794" s="184"/>
      <c r="D794" s="184"/>
      <c r="E794" s="184"/>
      <c r="F794" s="184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  <c r="Y794" s="184"/>
      <c r="Z794" s="184"/>
      <c r="AA794" s="184"/>
    </row>
    <row r="795">
      <c r="A795" s="184"/>
      <c r="B795" s="184"/>
      <c r="C795" s="184"/>
      <c r="D795" s="184"/>
      <c r="E795" s="184"/>
      <c r="F795" s="184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  <c r="W795" s="184"/>
      <c r="X795" s="184"/>
      <c r="Y795" s="184"/>
      <c r="Z795" s="184"/>
      <c r="AA795" s="184"/>
    </row>
    <row r="796">
      <c r="A796" s="184"/>
      <c r="B796" s="184"/>
      <c r="C796" s="184"/>
      <c r="D796" s="184"/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  <c r="Y796" s="184"/>
      <c r="Z796" s="184"/>
      <c r="AA796" s="184"/>
    </row>
    <row r="797">
      <c r="A797" s="184"/>
      <c r="B797" s="184"/>
      <c r="C797" s="184"/>
      <c r="D797" s="184"/>
      <c r="E797" s="184"/>
      <c r="F797" s="184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  <c r="W797" s="184"/>
      <c r="X797" s="184"/>
      <c r="Y797" s="184"/>
      <c r="Z797" s="184"/>
      <c r="AA797" s="184"/>
    </row>
    <row r="798">
      <c r="A798" s="184"/>
      <c r="B798" s="184"/>
      <c r="C798" s="184"/>
      <c r="D798" s="184"/>
      <c r="E798" s="184"/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  <c r="Y798" s="184"/>
      <c r="Z798" s="184"/>
      <c r="AA798" s="184"/>
    </row>
    <row r="799">
      <c r="A799" s="184"/>
      <c r="B799" s="184"/>
      <c r="C799" s="184"/>
      <c r="D799" s="184"/>
      <c r="E799" s="184"/>
      <c r="F799" s="184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  <c r="W799" s="184"/>
      <c r="X799" s="184"/>
      <c r="Y799" s="184"/>
      <c r="Z799" s="184"/>
      <c r="AA799" s="184"/>
    </row>
    <row r="800">
      <c r="A800" s="184"/>
      <c r="B800" s="184"/>
      <c r="C800" s="184"/>
      <c r="D800" s="184"/>
      <c r="E800" s="184"/>
      <c r="F800" s="184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  <c r="W800" s="184"/>
      <c r="X800" s="184"/>
      <c r="Y800" s="184"/>
      <c r="Z800" s="184"/>
      <c r="AA800" s="184"/>
    </row>
    <row r="801">
      <c r="A801" s="184"/>
      <c r="B801" s="184"/>
      <c r="C801" s="184"/>
      <c r="D801" s="184"/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  <c r="W801" s="184"/>
      <c r="X801" s="184"/>
      <c r="Y801" s="184"/>
      <c r="Z801" s="184"/>
      <c r="AA801" s="184"/>
    </row>
    <row r="802">
      <c r="A802" s="184"/>
      <c r="B802" s="184"/>
      <c r="C802" s="184"/>
      <c r="D802" s="184"/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  <c r="Y802" s="184"/>
      <c r="Z802" s="184"/>
      <c r="AA802" s="184"/>
    </row>
    <row r="803">
      <c r="A803" s="184"/>
      <c r="B803" s="184"/>
      <c r="C803" s="184"/>
      <c r="D803" s="184"/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  <c r="Y803" s="184"/>
      <c r="Z803" s="184"/>
      <c r="AA803" s="184"/>
    </row>
    <row r="804">
      <c r="A804" s="184"/>
      <c r="B804" s="184"/>
      <c r="C804" s="184"/>
      <c r="D804" s="184"/>
      <c r="E804" s="184"/>
      <c r="F804" s="184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  <c r="W804" s="184"/>
      <c r="X804" s="184"/>
      <c r="Y804" s="184"/>
      <c r="Z804" s="184"/>
      <c r="AA804" s="184"/>
    </row>
    <row r="805">
      <c r="A805" s="184"/>
      <c r="B805" s="184"/>
      <c r="C805" s="184"/>
      <c r="D805" s="184"/>
      <c r="E805" s="184"/>
      <c r="F805" s="184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  <c r="W805" s="184"/>
      <c r="X805" s="184"/>
      <c r="Y805" s="184"/>
      <c r="Z805" s="184"/>
      <c r="AA805" s="184"/>
    </row>
    <row r="806">
      <c r="A806" s="184"/>
      <c r="B806" s="184"/>
      <c r="C806" s="184"/>
      <c r="D806" s="184"/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  <c r="Y806" s="184"/>
      <c r="Z806" s="184"/>
      <c r="AA806" s="184"/>
    </row>
    <row r="807">
      <c r="A807" s="184"/>
      <c r="B807" s="184"/>
      <c r="C807" s="184"/>
      <c r="D807" s="184"/>
      <c r="E807" s="184"/>
      <c r="F807" s="184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  <c r="W807" s="184"/>
      <c r="X807" s="184"/>
      <c r="Y807" s="184"/>
      <c r="Z807" s="184"/>
      <c r="AA807" s="184"/>
    </row>
    <row r="808">
      <c r="A808" s="184"/>
      <c r="B808" s="184"/>
      <c r="C808" s="184"/>
      <c r="D808" s="184"/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  <c r="Y808" s="184"/>
      <c r="Z808" s="184"/>
      <c r="AA808" s="184"/>
    </row>
    <row r="809">
      <c r="A809" s="184"/>
      <c r="B809" s="184"/>
      <c r="C809" s="184"/>
      <c r="D809" s="184"/>
      <c r="E809" s="184"/>
      <c r="F809" s="184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  <c r="W809" s="184"/>
      <c r="X809" s="184"/>
      <c r="Y809" s="184"/>
      <c r="Z809" s="184"/>
      <c r="AA809" s="184"/>
    </row>
    <row r="810">
      <c r="A810" s="184"/>
      <c r="B810" s="184"/>
      <c r="C810" s="184"/>
      <c r="D810" s="184"/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  <c r="Y810" s="184"/>
      <c r="Z810" s="184"/>
      <c r="AA810" s="184"/>
    </row>
    <row r="811">
      <c r="A811" s="184"/>
      <c r="B811" s="184"/>
      <c r="C811" s="184"/>
      <c r="D811" s="184"/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  <c r="Y811" s="184"/>
      <c r="Z811" s="184"/>
      <c r="AA811" s="184"/>
    </row>
    <row r="812">
      <c r="A812" s="184"/>
      <c r="B812" s="184"/>
      <c r="C812" s="184"/>
      <c r="D812" s="184"/>
      <c r="E812" s="184"/>
      <c r="F812" s="184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  <c r="Y812" s="184"/>
      <c r="Z812" s="184"/>
      <c r="AA812" s="184"/>
    </row>
    <row r="813">
      <c r="A813" s="184"/>
      <c r="B813" s="184"/>
      <c r="C813" s="184"/>
      <c r="D813" s="184"/>
      <c r="E813" s="184"/>
      <c r="F813" s="184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  <c r="W813" s="184"/>
      <c r="X813" s="184"/>
      <c r="Y813" s="184"/>
      <c r="Z813" s="184"/>
      <c r="AA813" s="184"/>
    </row>
    <row r="814">
      <c r="A814" s="184"/>
      <c r="B814" s="184"/>
      <c r="C814" s="184"/>
      <c r="D814" s="184"/>
      <c r="E814" s="184"/>
      <c r="F814" s="184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  <c r="W814" s="184"/>
      <c r="X814" s="184"/>
      <c r="Y814" s="184"/>
      <c r="Z814" s="184"/>
      <c r="AA814" s="184"/>
    </row>
    <row r="815">
      <c r="A815" s="184"/>
      <c r="B815" s="184"/>
      <c r="C815" s="184"/>
      <c r="D815" s="184"/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  <c r="Y815" s="184"/>
      <c r="Z815" s="184"/>
      <c r="AA815" s="184"/>
    </row>
    <row r="816">
      <c r="A816" s="184"/>
      <c r="B816" s="184"/>
      <c r="C816" s="184"/>
      <c r="D816" s="184"/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  <c r="Y816" s="184"/>
      <c r="Z816" s="184"/>
      <c r="AA816" s="184"/>
    </row>
    <row r="817">
      <c r="A817" s="184"/>
      <c r="B817" s="184"/>
      <c r="C817" s="184"/>
      <c r="D817" s="184"/>
      <c r="E817" s="184"/>
      <c r="F817" s="184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  <c r="W817" s="184"/>
      <c r="X817" s="184"/>
      <c r="Y817" s="184"/>
      <c r="Z817" s="184"/>
      <c r="AA817" s="184"/>
    </row>
    <row r="818">
      <c r="A818" s="184"/>
      <c r="B818" s="184"/>
      <c r="C818" s="184"/>
      <c r="D818" s="184"/>
      <c r="E818" s="184"/>
      <c r="F818" s="184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  <c r="Y818" s="184"/>
      <c r="Z818" s="184"/>
      <c r="AA818" s="184"/>
    </row>
    <row r="819">
      <c r="A819" s="184"/>
      <c r="B819" s="184"/>
      <c r="C819" s="184"/>
      <c r="D819" s="184"/>
      <c r="E819" s="184"/>
      <c r="F819" s="184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4"/>
      <c r="V819" s="184"/>
      <c r="W819" s="184"/>
      <c r="X819" s="184"/>
      <c r="Y819" s="184"/>
      <c r="Z819" s="184"/>
      <c r="AA819" s="184"/>
    </row>
    <row r="820">
      <c r="A820" s="184"/>
      <c r="B820" s="184"/>
      <c r="C820" s="184"/>
      <c r="D820" s="184"/>
      <c r="E820" s="184"/>
      <c r="F820" s="184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  <c r="Y820" s="184"/>
      <c r="Z820" s="184"/>
      <c r="AA820" s="184"/>
    </row>
    <row r="821">
      <c r="A821" s="184"/>
      <c r="B821" s="184"/>
      <c r="C821" s="184"/>
      <c r="D821" s="184"/>
      <c r="E821" s="184"/>
      <c r="F821" s="184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  <c r="Y821" s="184"/>
      <c r="Z821" s="184"/>
      <c r="AA821" s="184"/>
    </row>
    <row r="822">
      <c r="A822" s="184"/>
      <c r="B822" s="184"/>
      <c r="C822" s="184"/>
      <c r="D822" s="184"/>
      <c r="E822" s="184"/>
      <c r="F822" s="184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  <c r="Y822" s="184"/>
      <c r="Z822" s="184"/>
      <c r="AA822" s="184"/>
    </row>
    <row r="823">
      <c r="A823" s="184"/>
      <c r="B823" s="184"/>
      <c r="C823" s="184"/>
      <c r="D823" s="184"/>
      <c r="E823" s="184"/>
      <c r="F823" s="184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  <c r="Y823" s="184"/>
      <c r="Z823" s="184"/>
      <c r="AA823" s="184"/>
    </row>
    <row r="824">
      <c r="A824" s="184"/>
      <c r="B824" s="184"/>
      <c r="C824" s="184"/>
      <c r="D824" s="184"/>
      <c r="E824" s="184"/>
      <c r="F824" s="184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  <c r="Y824" s="184"/>
      <c r="Z824" s="184"/>
      <c r="AA824" s="184"/>
    </row>
    <row r="825">
      <c r="A825" s="184"/>
      <c r="B825" s="184"/>
      <c r="C825" s="184"/>
      <c r="D825" s="184"/>
      <c r="E825" s="184"/>
      <c r="F825" s="184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  <c r="Y825" s="184"/>
      <c r="Z825" s="184"/>
      <c r="AA825" s="184"/>
    </row>
    <row r="826">
      <c r="A826" s="184"/>
      <c r="B826" s="184"/>
      <c r="C826" s="184"/>
      <c r="D826" s="184"/>
      <c r="E826" s="184"/>
      <c r="F826" s="184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  <c r="Y826" s="184"/>
      <c r="Z826" s="184"/>
      <c r="AA826" s="184"/>
    </row>
    <row r="827">
      <c r="A827" s="184"/>
      <c r="B827" s="184"/>
      <c r="C827" s="184"/>
      <c r="D827" s="184"/>
      <c r="E827" s="184"/>
      <c r="F827" s="184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  <c r="Y827" s="184"/>
      <c r="Z827" s="184"/>
      <c r="AA827" s="184"/>
    </row>
    <row r="828">
      <c r="A828" s="184"/>
      <c r="B828" s="184"/>
      <c r="C828" s="184"/>
      <c r="D828" s="184"/>
      <c r="E828" s="184"/>
      <c r="F828" s="184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  <c r="Y828" s="184"/>
      <c r="Z828" s="184"/>
      <c r="AA828" s="184"/>
    </row>
    <row r="829">
      <c r="A829" s="184"/>
      <c r="B829" s="184"/>
      <c r="C829" s="184"/>
      <c r="D829" s="184"/>
      <c r="E829" s="184"/>
      <c r="F829" s="184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  <c r="Y829" s="184"/>
      <c r="Z829" s="184"/>
      <c r="AA829" s="184"/>
    </row>
    <row r="830">
      <c r="A830" s="184"/>
      <c r="B830" s="184"/>
      <c r="C830" s="184"/>
      <c r="D830" s="184"/>
      <c r="E830" s="184"/>
      <c r="F830" s="184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  <c r="Y830" s="184"/>
      <c r="Z830" s="184"/>
      <c r="AA830" s="184"/>
    </row>
    <row r="831">
      <c r="A831" s="184"/>
      <c r="B831" s="184"/>
      <c r="C831" s="184"/>
      <c r="D831" s="184"/>
      <c r="E831" s="184"/>
      <c r="F831" s="184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  <c r="Y831" s="184"/>
      <c r="Z831" s="184"/>
      <c r="AA831" s="184"/>
    </row>
    <row r="832">
      <c r="A832" s="184"/>
      <c r="B832" s="184"/>
      <c r="C832" s="184"/>
      <c r="D832" s="184"/>
      <c r="E832" s="184"/>
      <c r="F832" s="184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  <c r="Y832" s="184"/>
      <c r="Z832" s="184"/>
      <c r="AA832" s="184"/>
    </row>
    <row r="833">
      <c r="A833" s="184"/>
      <c r="B833" s="184"/>
      <c r="C833" s="184"/>
      <c r="D833" s="184"/>
      <c r="E833" s="184"/>
      <c r="F833" s="184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  <c r="Y833" s="184"/>
      <c r="Z833" s="184"/>
      <c r="AA833" s="184"/>
    </row>
    <row r="834">
      <c r="A834" s="184"/>
      <c r="B834" s="184"/>
      <c r="C834" s="184"/>
      <c r="D834" s="184"/>
      <c r="E834" s="184"/>
      <c r="F834" s="184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84"/>
      <c r="V834" s="184"/>
      <c r="W834" s="184"/>
      <c r="X834" s="184"/>
      <c r="Y834" s="184"/>
      <c r="Z834" s="184"/>
      <c r="AA834" s="184"/>
    </row>
    <row r="835">
      <c r="A835" s="184"/>
      <c r="B835" s="184"/>
      <c r="C835" s="184"/>
      <c r="D835" s="184"/>
      <c r="E835" s="184"/>
      <c r="F835" s="184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  <c r="Y835" s="184"/>
      <c r="Z835" s="184"/>
      <c r="AA835" s="184"/>
    </row>
    <row r="836">
      <c r="A836" s="184"/>
      <c r="B836" s="184"/>
      <c r="C836" s="184"/>
      <c r="D836" s="184"/>
      <c r="E836" s="184"/>
      <c r="F836" s="184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  <c r="Y836" s="184"/>
      <c r="Z836" s="184"/>
      <c r="AA836" s="184"/>
    </row>
    <row r="837">
      <c r="A837" s="184"/>
      <c r="B837" s="184"/>
      <c r="C837" s="184"/>
      <c r="D837" s="184"/>
      <c r="E837" s="184"/>
      <c r="F837" s="184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  <c r="Y837" s="184"/>
      <c r="Z837" s="184"/>
      <c r="AA837" s="184"/>
    </row>
    <row r="838">
      <c r="A838" s="184"/>
      <c r="B838" s="184"/>
      <c r="C838" s="184"/>
      <c r="D838" s="184"/>
      <c r="E838" s="184"/>
      <c r="F838" s="184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84"/>
      <c r="V838" s="184"/>
      <c r="W838" s="184"/>
      <c r="X838" s="184"/>
      <c r="Y838" s="184"/>
      <c r="Z838" s="184"/>
      <c r="AA838" s="184"/>
    </row>
    <row r="839">
      <c r="A839" s="184"/>
      <c r="B839" s="184"/>
      <c r="C839" s="184"/>
      <c r="D839" s="184"/>
      <c r="E839" s="184"/>
      <c r="F839" s="184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84"/>
      <c r="V839" s="184"/>
      <c r="W839" s="184"/>
      <c r="X839" s="184"/>
      <c r="Y839" s="184"/>
      <c r="Z839" s="184"/>
      <c r="AA839" s="184"/>
    </row>
    <row r="840">
      <c r="A840" s="184"/>
      <c r="B840" s="184"/>
      <c r="C840" s="184"/>
      <c r="D840" s="184"/>
      <c r="E840" s="184"/>
      <c r="F840" s="184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  <c r="Y840" s="184"/>
      <c r="Z840" s="184"/>
      <c r="AA840" s="184"/>
    </row>
    <row r="841">
      <c r="A841" s="184"/>
      <c r="B841" s="184"/>
      <c r="C841" s="184"/>
      <c r="D841" s="184"/>
      <c r="E841" s="184"/>
      <c r="F841" s="184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84"/>
      <c r="V841" s="184"/>
      <c r="W841" s="184"/>
      <c r="X841" s="184"/>
      <c r="Y841" s="184"/>
      <c r="Z841" s="184"/>
      <c r="AA841" s="184"/>
    </row>
    <row r="842">
      <c r="A842" s="184"/>
      <c r="B842" s="184"/>
      <c r="C842" s="184"/>
      <c r="D842" s="184"/>
      <c r="E842" s="184"/>
      <c r="F842" s="184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  <c r="Y842" s="184"/>
      <c r="Z842" s="184"/>
      <c r="AA842" s="184"/>
    </row>
    <row r="843">
      <c r="A843" s="184"/>
      <c r="B843" s="184"/>
      <c r="C843" s="184"/>
      <c r="D843" s="184"/>
      <c r="E843" s="184"/>
      <c r="F843" s="184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  <c r="Y843" s="184"/>
      <c r="Z843" s="184"/>
      <c r="AA843" s="184"/>
    </row>
    <row r="844">
      <c r="A844" s="184"/>
      <c r="B844" s="184"/>
      <c r="C844" s="184"/>
      <c r="D844" s="184"/>
      <c r="E844" s="184"/>
      <c r="F844" s="184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84"/>
      <c r="V844" s="184"/>
      <c r="W844" s="184"/>
      <c r="X844" s="184"/>
      <c r="Y844" s="184"/>
      <c r="Z844" s="184"/>
      <c r="AA844" s="184"/>
    </row>
    <row r="845">
      <c r="A845" s="184"/>
      <c r="B845" s="184"/>
      <c r="C845" s="184"/>
      <c r="D845" s="184"/>
      <c r="E845" s="184"/>
      <c r="F845" s="184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  <c r="Y845" s="184"/>
      <c r="Z845" s="184"/>
      <c r="AA845" s="184"/>
    </row>
    <row r="846">
      <c r="A846" s="184"/>
      <c r="B846" s="184"/>
      <c r="C846" s="184"/>
      <c r="D846" s="184"/>
      <c r="E846" s="184"/>
      <c r="F846" s="184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84"/>
      <c r="V846" s="184"/>
      <c r="W846" s="184"/>
      <c r="X846" s="184"/>
      <c r="Y846" s="184"/>
      <c r="Z846" s="184"/>
      <c r="AA846" s="184"/>
    </row>
    <row r="847">
      <c r="A847" s="184"/>
      <c r="B847" s="184"/>
      <c r="C847" s="184"/>
      <c r="D847" s="184"/>
      <c r="E847" s="184"/>
      <c r="F847" s="184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84"/>
      <c r="V847" s="184"/>
      <c r="W847" s="184"/>
      <c r="X847" s="184"/>
      <c r="Y847" s="184"/>
      <c r="Z847" s="184"/>
      <c r="AA847" s="184"/>
    </row>
    <row r="848">
      <c r="A848" s="184"/>
      <c r="B848" s="184"/>
      <c r="C848" s="184"/>
      <c r="D848" s="184"/>
      <c r="E848" s="184"/>
      <c r="F848" s="184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84"/>
      <c r="V848" s="184"/>
      <c r="W848" s="184"/>
      <c r="X848" s="184"/>
      <c r="Y848" s="184"/>
      <c r="Z848" s="184"/>
      <c r="AA848" s="184"/>
    </row>
    <row r="849">
      <c r="A849" s="184"/>
      <c r="B849" s="184"/>
      <c r="C849" s="184"/>
      <c r="D849" s="184"/>
      <c r="E849" s="184"/>
      <c r="F849" s="184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  <c r="Y849" s="184"/>
      <c r="Z849" s="184"/>
      <c r="AA849" s="184"/>
    </row>
    <row r="850">
      <c r="A850" s="184"/>
      <c r="B850" s="184"/>
      <c r="C850" s="184"/>
      <c r="D850" s="184"/>
      <c r="E850" s="184"/>
      <c r="F850" s="184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  <c r="Y850" s="184"/>
      <c r="Z850" s="184"/>
      <c r="AA850" s="184"/>
    </row>
    <row r="851">
      <c r="A851" s="184"/>
      <c r="B851" s="184"/>
      <c r="C851" s="184"/>
      <c r="D851" s="184"/>
      <c r="E851" s="184"/>
      <c r="F851" s="184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4"/>
      <c r="V851" s="184"/>
      <c r="W851" s="184"/>
      <c r="X851" s="184"/>
      <c r="Y851" s="184"/>
      <c r="Z851" s="184"/>
      <c r="AA851" s="184"/>
    </row>
    <row r="852">
      <c r="A852" s="184"/>
      <c r="B852" s="184"/>
      <c r="C852" s="184"/>
      <c r="D852" s="184"/>
      <c r="E852" s="184"/>
      <c r="F852" s="184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84"/>
      <c r="V852" s="184"/>
      <c r="W852" s="184"/>
      <c r="X852" s="184"/>
      <c r="Y852" s="184"/>
      <c r="Z852" s="184"/>
      <c r="AA852" s="184"/>
    </row>
    <row r="853">
      <c r="A853" s="184"/>
      <c r="B853" s="184"/>
      <c r="C853" s="184"/>
      <c r="D853" s="184"/>
      <c r="E853" s="184"/>
      <c r="F853" s="184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84"/>
      <c r="V853" s="184"/>
      <c r="W853" s="184"/>
      <c r="X853" s="184"/>
      <c r="Y853" s="184"/>
      <c r="Z853" s="184"/>
      <c r="AA853" s="184"/>
    </row>
    <row r="854">
      <c r="A854" s="184"/>
      <c r="B854" s="184"/>
      <c r="C854" s="184"/>
      <c r="D854" s="184"/>
      <c r="E854" s="184"/>
      <c r="F854" s="184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84"/>
      <c r="V854" s="184"/>
      <c r="W854" s="184"/>
      <c r="X854" s="184"/>
      <c r="Y854" s="184"/>
      <c r="Z854" s="184"/>
      <c r="AA854" s="184"/>
    </row>
    <row r="855">
      <c r="A855" s="184"/>
      <c r="B855" s="184"/>
      <c r="C855" s="184"/>
      <c r="D855" s="184"/>
      <c r="E855" s="184"/>
      <c r="F855" s="184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84"/>
      <c r="V855" s="184"/>
      <c r="W855" s="184"/>
      <c r="X855" s="184"/>
      <c r="Y855" s="184"/>
      <c r="Z855" s="184"/>
      <c r="AA855" s="184"/>
    </row>
    <row r="856">
      <c r="A856" s="184"/>
      <c r="B856" s="184"/>
      <c r="C856" s="184"/>
      <c r="D856" s="184"/>
      <c r="E856" s="184"/>
      <c r="F856" s="184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84"/>
      <c r="V856" s="184"/>
      <c r="W856" s="184"/>
      <c r="X856" s="184"/>
      <c r="Y856" s="184"/>
      <c r="Z856" s="184"/>
      <c r="AA856" s="184"/>
    </row>
    <row r="857">
      <c r="A857" s="184"/>
      <c r="B857" s="184"/>
      <c r="C857" s="184"/>
      <c r="D857" s="184"/>
      <c r="E857" s="184"/>
      <c r="F857" s="184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  <c r="Y857" s="184"/>
      <c r="Z857" s="184"/>
      <c r="AA857" s="184"/>
    </row>
    <row r="858">
      <c r="A858" s="184"/>
      <c r="B858" s="184"/>
      <c r="C858" s="184"/>
      <c r="D858" s="184"/>
      <c r="E858" s="184"/>
      <c r="F858" s="184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  <c r="Y858" s="184"/>
      <c r="Z858" s="184"/>
      <c r="AA858" s="184"/>
    </row>
    <row r="859">
      <c r="A859" s="184"/>
      <c r="B859" s="184"/>
      <c r="C859" s="184"/>
      <c r="D859" s="184"/>
      <c r="E859" s="184"/>
      <c r="F859" s="184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4"/>
      <c r="V859" s="184"/>
      <c r="W859" s="184"/>
      <c r="X859" s="184"/>
      <c r="Y859" s="184"/>
      <c r="Z859" s="184"/>
      <c r="AA859" s="184"/>
    </row>
    <row r="860">
      <c r="A860" s="184"/>
      <c r="B860" s="184"/>
      <c r="C860" s="184"/>
      <c r="D860" s="184"/>
      <c r="E860" s="184"/>
      <c r="F860" s="184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  <c r="Y860" s="184"/>
      <c r="Z860" s="184"/>
      <c r="AA860" s="184"/>
    </row>
    <row r="861">
      <c r="A861" s="184"/>
      <c r="B861" s="184"/>
      <c r="C861" s="184"/>
      <c r="D861" s="184"/>
      <c r="E861" s="184"/>
      <c r="F861" s="184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84"/>
      <c r="V861" s="184"/>
      <c r="W861" s="184"/>
      <c r="X861" s="184"/>
      <c r="Y861" s="184"/>
      <c r="Z861" s="184"/>
      <c r="AA861" s="184"/>
    </row>
    <row r="862">
      <c r="A862" s="184"/>
      <c r="B862" s="184"/>
      <c r="C862" s="184"/>
      <c r="D862" s="184"/>
      <c r="E862" s="184"/>
      <c r="F862" s="184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84"/>
      <c r="V862" s="184"/>
      <c r="W862" s="184"/>
      <c r="X862" s="184"/>
      <c r="Y862" s="184"/>
      <c r="Z862" s="184"/>
      <c r="AA862" s="184"/>
    </row>
    <row r="863">
      <c r="A863" s="184"/>
      <c r="B863" s="184"/>
      <c r="C863" s="184"/>
      <c r="D863" s="184"/>
      <c r="E863" s="184"/>
      <c r="F863" s="184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  <c r="Y863" s="184"/>
      <c r="Z863" s="184"/>
      <c r="AA863" s="184"/>
    </row>
    <row r="864">
      <c r="A864" s="184"/>
      <c r="B864" s="184"/>
      <c r="C864" s="184"/>
      <c r="D864" s="184"/>
      <c r="E864" s="184"/>
      <c r="F864" s="184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  <c r="Y864" s="184"/>
      <c r="Z864" s="184"/>
      <c r="AA864" s="184"/>
    </row>
    <row r="865">
      <c r="A865" s="184"/>
      <c r="B865" s="184"/>
      <c r="C865" s="184"/>
      <c r="D865" s="184"/>
      <c r="E865" s="184"/>
      <c r="F865" s="184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84"/>
      <c r="V865" s="184"/>
      <c r="W865" s="184"/>
      <c r="X865" s="184"/>
      <c r="Y865" s="184"/>
      <c r="Z865" s="184"/>
      <c r="AA865" s="184"/>
    </row>
    <row r="866">
      <c r="A866" s="184"/>
      <c r="B866" s="184"/>
      <c r="C866" s="184"/>
      <c r="D866" s="184"/>
      <c r="E866" s="184"/>
      <c r="F866" s="184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  <c r="Y866" s="184"/>
      <c r="Z866" s="184"/>
      <c r="AA866" s="184"/>
    </row>
    <row r="867">
      <c r="A867" s="184"/>
      <c r="B867" s="184"/>
      <c r="C867" s="184"/>
      <c r="D867" s="184"/>
      <c r="E867" s="184"/>
      <c r="F867" s="184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84"/>
      <c r="V867" s="184"/>
      <c r="W867" s="184"/>
      <c r="X867" s="184"/>
      <c r="Y867" s="184"/>
      <c r="Z867" s="184"/>
      <c r="AA867" s="184"/>
    </row>
    <row r="868">
      <c r="A868" s="184"/>
      <c r="B868" s="184"/>
      <c r="C868" s="184"/>
      <c r="D868" s="184"/>
      <c r="E868" s="184"/>
      <c r="F868" s="184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84"/>
      <c r="V868" s="184"/>
      <c r="W868" s="184"/>
      <c r="X868" s="184"/>
      <c r="Y868" s="184"/>
      <c r="Z868" s="184"/>
      <c r="AA868" s="184"/>
    </row>
    <row r="869">
      <c r="A869" s="184"/>
      <c r="B869" s="184"/>
      <c r="C869" s="184"/>
      <c r="D869" s="184"/>
      <c r="E869" s="184"/>
      <c r="F869" s="184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  <c r="Y869" s="184"/>
      <c r="Z869" s="184"/>
      <c r="AA869" s="184"/>
    </row>
    <row r="870">
      <c r="A870" s="184"/>
      <c r="B870" s="184"/>
      <c r="C870" s="184"/>
      <c r="D870" s="184"/>
      <c r="E870" s="184"/>
      <c r="F870" s="184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  <c r="Y870" s="184"/>
      <c r="Z870" s="184"/>
      <c r="AA870" s="184"/>
    </row>
    <row r="871">
      <c r="A871" s="184"/>
      <c r="B871" s="184"/>
      <c r="C871" s="184"/>
      <c r="D871" s="184"/>
      <c r="E871" s="184"/>
      <c r="F871" s="184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  <c r="Y871" s="184"/>
      <c r="Z871" s="184"/>
      <c r="AA871" s="184"/>
    </row>
    <row r="872">
      <c r="A872" s="184"/>
      <c r="B872" s="184"/>
      <c r="C872" s="184"/>
      <c r="D872" s="184"/>
      <c r="E872" s="184"/>
      <c r="F872" s="184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  <c r="Y872" s="184"/>
      <c r="Z872" s="184"/>
      <c r="AA872" s="184"/>
    </row>
    <row r="873">
      <c r="A873" s="184"/>
      <c r="B873" s="184"/>
      <c r="C873" s="184"/>
      <c r="D873" s="184"/>
      <c r="E873" s="184"/>
      <c r="F873" s="184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  <c r="Y873" s="184"/>
      <c r="Z873" s="184"/>
      <c r="AA873" s="184"/>
    </row>
    <row r="874">
      <c r="A874" s="184"/>
      <c r="B874" s="184"/>
      <c r="C874" s="184"/>
      <c r="D874" s="184"/>
      <c r="E874" s="184"/>
      <c r="F874" s="184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  <c r="Y874" s="184"/>
      <c r="Z874" s="184"/>
      <c r="AA874" s="184"/>
    </row>
    <row r="875">
      <c r="A875" s="184"/>
      <c r="B875" s="184"/>
      <c r="C875" s="184"/>
      <c r="D875" s="184"/>
      <c r="E875" s="184"/>
      <c r="F875" s="184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  <c r="Y875" s="184"/>
      <c r="Z875" s="184"/>
      <c r="AA875" s="184"/>
    </row>
    <row r="876">
      <c r="A876" s="184"/>
      <c r="B876" s="184"/>
      <c r="C876" s="184"/>
      <c r="D876" s="184"/>
      <c r="E876" s="184"/>
      <c r="F876" s="184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  <c r="Y876" s="184"/>
      <c r="Z876" s="184"/>
      <c r="AA876" s="184"/>
    </row>
    <row r="877">
      <c r="A877" s="184"/>
      <c r="B877" s="184"/>
      <c r="C877" s="184"/>
      <c r="D877" s="184"/>
      <c r="E877" s="184"/>
      <c r="F877" s="184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  <c r="Y877" s="184"/>
      <c r="Z877" s="184"/>
      <c r="AA877" s="184"/>
    </row>
    <row r="878">
      <c r="A878" s="184"/>
      <c r="B878" s="184"/>
      <c r="C878" s="184"/>
      <c r="D878" s="184"/>
      <c r="E878" s="184"/>
      <c r="F878" s="184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  <c r="Y878" s="184"/>
      <c r="Z878" s="184"/>
      <c r="AA878" s="184"/>
    </row>
    <row r="879">
      <c r="A879" s="184"/>
      <c r="B879" s="184"/>
      <c r="C879" s="184"/>
      <c r="D879" s="184"/>
      <c r="E879" s="184"/>
      <c r="F879" s="184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  <c r="Y879" s="184"/>
      <c r="Z879" s="184"/>
      <c r="AA879" s="184"/>
    </row>
    <row r="880">
      <c r="A880" s="184"/>
      <c r="B880" s="184"/>
      <c r="C880" s="184"/>
      <c r="D880" s="184"/>
      <c r="E880" s="184"/>
      <c r="F880" s="184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  <c r="Y880" s="184"/>
      <c r="Z880" s="184"/>
      <c r="AA880" s="184"/>
    </row>
    <row r="881">
      <c r="A881" s="184"/>
      <c r="B881" s="184"/>
      <c r="C881" s="184"/>
      <c r="D881" s="184"/>
      <c r="E881" s="184"/>
      <c r="F881" s="184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  <c r="Y881" s="184"/>
      <c r="Z881" s="184"/>
      <c r="AA881" s="184"/>
    </row>
    <row r="882">
      <c r="A882" s="184"/>
      <c r="B882" s="184"/>
      <c r="C882" s="184"/>
      <c r="D882" s="184"/>
      <c r="E882" s="184"/>
      <c r="F882" s="184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84"/>
      <c r="V882" s="184"/>
      <c r="W882" s="184"/>
      <c r="X882" s="184"/>
      <c r="Y882" s="184"/>
      <c r="Z882" s="184"/>
      <c r="AA882" s="184"/>
    </row>
    <row r="883">
      <c r="A883" s="184"/>
      <c r="B883" s="184"/>
      <c r="C883" s="184"/>
      <c r="D883" s="184"/>
      <c r="E883" s="184"/>
      <c r="F883" s="184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84"/>
      <c r="V883" s="184"/>
      <c r="W883" s="184"/>
      <c r="X883" s="184"/>
      <c r="Y883" s="184"/>
      <c r="Z883" s="184"/>
      <c r="AA883" s="184"/>
    </row>
    <row r="884">
      <c r="A884" s="184"/>
      <c r="B884" s="184"/>
      <c r="C884" s="184"/>
      <c r="D884" s="184"/>
      <c r="E884" s="184"/>
      <c r="F884" s="184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84"/>
      <c r="V884" s="184"/>
      <c r="W884" s="184"/>
      <c r="X884" s="184"/>
      <c r="Y884" s="184"/>
      <c r="Z884" s="184"/>
      <c r="AA884" s="184"/>
    </row>
    <row r="885">
      <c r="A885" s="184"/>
      <c r="B885" s="184"/>
      <c r="C885" s="184"/>
      <c r="D885" s="184"/>
      <c r="E885" s="184"/>
      <c r="F885" s="184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84"/>
      <c r="V885" s="184"/>
      <c r="W885" s="184"/>
      <c r="X885" s="184"/>
      <c r="Y885" s="184"/>
      <c r="Z885" s="184"/>
      <c r="AA885" s="184"/>
    </row>
    <row r="886">
      <c r="A886" s="184"/>
      <c r="B886" s="184"/>
      <c r="C886" s="184"/>
      <c r="D886" s="184"/>
      <c r="E886" s="184"/>
      <c r="F886" s="184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84"/>
      <c r="V886" s="184"/>
      <c r="W886" s="184"/>
      <c r="X886" s="184"/>
      <c r="Y886" s="184"/>
      <c r="Z886" s="184"/>
      <c r="AA886" s="184"/>
    </row>
    <row r="887">
      <c r="A887" s="184"/>
      <c r="B887" s="184"/>
      <c r="C887" s="184"/>
      <c r="D887" s="184"/>
      <c r="E887" s="184"/>
      <c r="F887" s="184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84"/>
      <c r="V887" s="184"/>
      <c r="W887" s="184"/>
      <c r="X887" s="184"/>
      <c r="Y887" s="184"/>
      <c r="Z887" s="184"/>
      <c r="AA887" s="184"/>
    </row>
    <row r="888">
      <c r="A888" s="184"/>
      <c r="B888" s="184"/>
      <c r="C888" s="184"/>
      <c r="D888" s="184"/>
      <c r="E888" s="184"/>
      <c r="F888" s="184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84"/>
      <c r="V888" s="184"/>
      <c r="W888" s="184"/>
      <c r="X888" s="184"/>
      <c r="Y888" s="184"/>
      <c r="Z888" s="184"/>
      <c r="AA888" s="184"/>
    </row>
    <row r="889">
      <c r="A889" s="184"/>
      <c r="B889" s="184"/>
      <c r="C889" s="184"/>
      <c r="D889" s="184"/>
      <c r="E889" s="184"/>
      <c r="F889" s="184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84"/>
      <c r="V889" s="184"/>
      <c r="W889" s="184"/>
      <c r="X889" s="184"/>
      <c r="Y889" s="184"/>
      <c r="Z889" s="184"/>
      <c r="AA889" s="184"/>
    </row>
    <row r="890">
      <c r="A890" s="184"/>
      <c r="B890" s="184"/>
      <c r="C890" s="184"/>
      <c r="D890" s="184"/>
      <c r="E890" s="184"/>
      <c r="F890" s="184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84"/>
      <c r="V890" s="184"/>
      <c r="W890" s="184"/>
      <c r="X890" s="184"/>
      <c r="Y890" s="184"/>
      <c r="Z890" s="184"/>
      <c r="AA890" s="184"/>
    </row>
    <row r="891">
      <c r="A891" s="184"/>
      <c r="B891" s="184"/>
      <c r="C891" s="184"/>
      <c r="D891" s="184"/>
      <c r="E891" s="184"/>
      <c r="F891" s="184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84"/>
      <c r="V891" s="184"/>
      <c r="W891" s="184"/>
      <c r="X891" s="184"/>
      <c r="Y891" s="184"/>
      <c r="Z891" s="184"/>
      <c r="AA891" s="184"/>
    </row>
    <row r="892">
      <c r="A892" s="184"/>
      <c r="B892" s="184"/>
      <c r="C892" s="184"/>
      <c r="D892" s="184"/>
      <c r="E892" s="184"/>
      <c r="F892" s="184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84"/>
      <c r="V892" s="184"/>
      <c r="W892" s="184"/>
      <c r="X892" s="184"/>
      <c r="Y892" s="184"/>
      <c r="Z892" s="184"/>
      <c r="AA892" s="184"/>
    </row>
    <row r="893">
      <c r="A893" s="184"/>
      <c r="B893" s="184"/>
      <c r="C893" s="184"/>
      <c r="D893" s="184"/>
      <c r="E893" s="184"/>
      <c r="F893" s="184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84"/>
      <c r="V893" s="184"/>
      <c r="W893" s="184"/>
      <c r="X893" s="184"/>
      <c r="Y893" s="184"/>
      <c r="Z893" s="184"/>
      <c r="AA893" s="184"/>
    </row>
    <row r="894">
      <c r="A894" s="184"/>
      <c r="B894" s="184"/>
      <c r="C894" s="184"/>
      <c r="D894" s="184"/>
      <c r="E894" s="184"/>
      <c r="F894" s="184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84"/>
      <c r="V894" s="184"/>
      <c r="W894" s="184"/>
      <c r="X894" s="184"/>
      <c r="Y894" s="184"/>
      <c r="Z894" s="184"/>
      <c r="AA894" s="184"/>
    </row>
    <row r="895">
      <c r="A895" s="184"/>
      <c r="B895" s="184"/>
      <c r="C895" s="184"/>
      <c r="D895" s="184"/>
      <c r="E895" s="184"/>
      <c r="F895" s="184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84"/>
      <c r="V895" s="184"/>
      <c r="W895" s="184"/>
      <c r="X895" s="184"/>
      <c r="Y895" s="184"/>
      <c r="Z895" s="184"/>
      <c r="AA895" s="184"/>
    </row>
    <row r="896">
      <c r="A896" s="184"/>
      <c r="B896" s="184"/>
      <c r="C896" s="184"/>
      <c r="D896" s="184"/>
      <c r="E896" s="184"/>
      <c r="F896" s="184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84"/>
      <c r="V896" s="184"/>
      <c r="W896" s="184"/>
      <c r="X896" s="184"/>
      <c r="Y896" s="184"/>
      <c r="Z896" s="184"/>
      <c r="AA896" s="184"/>
    </row>
    <row r="897">
      <c r="A897" s="184"/>
      <c r="B897" s="184"/>
      <c r="C897" s="184"/>
      <c r="D897" s="184"/>
      <c r="E897" s="184"/>
      <c r="F897" s="184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84"/>
      <c r="V897" s="184"/>
      <c r="W897" s="184"/>
      <c r="X897" s="184"/>
      <c r="Y897" s="184"/>
      <c r="Z897" s="184"/>
      <c r="AA897" s="184"/>
    </row>
    <row r="898">
      <c r="A898" s="184"/>
      <c r="B898" s="184"/>
      <c r="C898" s="184"/>
      <c r="D898" s="184"/>
      <c r="E898" s="184"/>
      <c r="F898" s="184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84"/>
      <c r="V898" s="184"/>
      <c r="W898" s="184"/>
      <c r="X898" s="184"/>
      <c r="Y898" s="184"/>
      <c r="Z898" s="184"/>
      <c r="AA898" s="184"/>
    </row>
    <row r="899">
      <c r="A899" s="184"/>
      <c r="B899" s="184"/>
      <c r="C899" s="184"/>
      <c r="D899" s="184"/>
      <c r="E899" s="184"/>
      <c r="F899" s="184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84"/>
      <c r="V899" s="184"/>
      <c r="W899" s="184"/>
      <c r="X899" s="184"/>
      <c r="Y899" s="184"/>
      <c r="Z899" s="184"/>
      <c r="AA899" s="184"/>
    </row>
    <row r="900">
      <c r="A900" s="184"/>
      <c r="B900" s="184"/>
      <c r="C900" s="184"/>
      <c r="D900" s="184"/>
      <c r="E900" s="184"/>
      <c r="F900" s="184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84"/>
      <c r="V900" s="184"/>
      <c r="W900" s="184"/>
      <c r="X900" s="184"/>
      <c r="Y900" s="184"/>
      <c r="Z900" s="184"/>
      <c r="AA900" s="184"/>
    </row>
    <row r="901">
      <c r="A901" s="184"/>
      <c r="B901" s="184"/>
      <c r="C901" s="184"/>
      <c r="D901" s="184"/>
      <c r="E901" s="184"/>
      <c r="F901" s="184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84"/>
      <c r="V901" s="184"/>
      <c r="W901" s="184"/>
      <c r="X901" s="184"/>
      <c r="Y901" s="184"/>
      <c r="Z901" s="184"/>
      <c r="AA901" s="184"/>
    </row>
    <row r="902">
      <c r="A902" s="184"/>
      <c r="B902" s="184"/>
      <c r="C902" s="184"/>
      <c r="D902" s="184"/>
      <c r="E902" s="184"/>
      <c r="F902" s="184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84"/>
      <c r="V902" s="184"/>
      <c r="W902" s="184"/>
      <c r="X902" s="184"/>
      <c r="Y902" s="184"/>
      <c r="Z902" s="184"/>
      <c r="AA902" s="184"/>
    </row>
    <row r="903">
      <c r="A903" s="184"/>
      <c r="B903" s="184"/>
      <c r="C903" s="184"/>
      <c r="D903" s="184"/>
      <c r="E903" s="184"/>
      <c r="F903" s="184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84"/>
      <c r="V903" s="184"/>
      <c r="W903" s="184"/>
      <c r="X903" s="184"/>
      <c r="Y903" s="184"/>
      <c r="Z903" s="184"/>
      <c r="AA903" s="184"/>
    </row>
    <row r="904">
      <c r="A904" s="184"/>
      <c r="B904" s="184"/>
      <c r="C904" s="184"/>
      <c r="D904" s="184"/>
      <c r="E904" s="184"/>
      <c r="F904" s="184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84"/>
      <c r="V904" s="184"/>
      <c r="W904" s="184"/>
      <c r="X904" s="184"/>
      <c r="Y904" s="184"/>
      <c r="Z904" s="184"/>
      <c r="AA904" s="184"/>
    </row>
    <row r="905">
      <c r="A905" s="184"/>
      <c r="B905" s="184"/>
      <c r="C905" s="184"/>
      <c r="D905" s="184"/>
      <c r="E905" s="184"/>
      <c r="F905" s="184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84"/>
      <c r="V905" s="184"/>
      <c r="W905" s="184"/>
      <c r="X905" s="184"/>
      <c r="Y905" s="184"/>
      <c r="Z905" s="184"/>
      <c r="AA905" s="184"/>
    </row>
    <row r="906">
      <c r="A906" s="184"/>
      <c r="B906" s="184"/>
      <c r="C906" s="184"/>
      <c r="D906" s="184"/>
      <c r="E906" s="184"/>
      <c r="F906" s="184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84"/>
      <c r="V906" s="184"/>
      <c r="W906" s="184"/>
      <c r="X906" s="184"/>
      <c r="Y906" s="184"/>
      <c r="Z906" s="184"/>
      <c r="AA906" s="184"/>
    </row>
    <row r="907">
      <c r="A907" s="184"/>
      <c r="B907" s="184"/>
      <c r="C907" s="184"/>
      <c r="D907" s="184"/>
      <c r="E907" s="184"/>
      <c r="F907" s="184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84"/>
      <c r="V907" s="184"/>
      <c r="W907" s="184"/>
      <c r="X907" s="184"/>
      <c r="Y907" s="184"/>
      <c r="Z907" s="184"/>
      <c r="AA907" s="184"/>
    </row>
    <row r="908">
      <c r="A908" s="184"/>
      <c r="B908" s="184"/>
      <c r="C908" s="184"/>
      <c r="D908" s="184"/>
      <c r="E908" s="184"/>
      <c r="F908" s="184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84"/>
      <c r="V908" s="184"/>
      <c r="W908" s="184"/>
      <c r="X908" s="184"/>
      <c r="Y908" s="184"/>
      <c r="Z908" s="184"/>
      <c r="AA908" s="184"/>
    </row>
    <row r="909">
      <c r="A909" s="184"/>
      <c r="B909" s="184"/>
      <c r="C909" s="184"/>
      <c r="D909" s="184"/>
      <c r="E909" s="184"/>
      <c r="F909" s="184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84"/>
      <c r="V909" s="184"/>
      <c r="W909" s="184"/>
      <c r="X909" s="184"/>
      <c r="Y909" s="184"/>
      <c r="Z909" s="184"/>
      <c r="AA909" s="184"/>
    </row>
    <row r="910">
      <c r="A910" s="184"/>
      <c r="B910" s="184"/>
      <c r="C910" s="184"/>
      <c r="D910" s="184"/>
      <c r="E910" s="184"/>
      <c r="F910" s="184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84"/>
      <c r="V910" s="184"/>
      <c r="W910" s="184"/>
      <c r="X910" s="184"/>
      <c r="Y910" s="184"/>
      <c r="Z910" s="184"/>
      <c r="AA910" s="184"/>
    </row>
    <row r="911">
      <c r="A911" s="184"/>
      <c r="B911" s="184"/>
      <c r="C911" s="184"/>
      <c r="D911" s="184"/>
      <c r="E911" s="184"/>
      <c r="F911" s="184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84"/>
      <c r="V911" s="184"/>
      <c r="W911" s="184"/>
      <c r="X911" s="184"/>
      <c r="Y911" s="184"/>
      <c r="Z911" s="184"/>
      <c r="AA911" s="184"/>
    </row>
    <row r="912">
      <c r="A912" s="184"/>
      <c r="B912" s="184"/>
      <c r="C912" s="184"/>
      <c r="D912" s="184"/>
      <c r="E912" s="184"/>
      <c r="F912" s="184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84"/>
      <c r="V912" s="184"/>
      <c r="W912" s="184"/>
      <c r="X912" s="184"/>
      <c r="Y912" s="184"/>
      <c r="Z912" s="184"/>
      <c r="AA912" s="184"/>
    </row>
    <row r="913">
      <c r="A913" s="184"/>
      <c r="B913" s="184"/>
      <c r="C913" s="184"/>
      <c r="D913" s="184"/>
      <c r="E913" s="184"/>
      <c r="F913" s="184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84"/>
      <c r="V913" s="184"/>
      <c r="W913" s="184"/>
      <c r="X913" s="184"/>
      <c r="Y913" s="184"/>
      <c r="Z913" s="184"/>
      <c r="AA913" s="184"/>
    </row>
    <row r="914">
      <c r="A914" s="184"/>
      <c r="B914" s="184"/>
      <c r="C914" s="184"/>
      <c r="D914" s="184"/>
      <c r="E914" s="184"/>
      <c r="F914" s="184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84"/>
      <c r="V914" s="184"/>
      <c r="W914" s="184"/>
      <c r="X914" s="184"/>
      <c r="Y914" s="184"/>
      <c r="Z914" s="184"/>
      <c r="AA914" s="184"/>
    </row>
    <row r="915">
      <c r="A915" s="184"/>
      <c r="B915" s="184"/>
      <c r="C915" s="184"/>
      <c r="D915" s="184"/>
      <c r="E915" s="184"/>
      <c r="F915" s="184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84"/>
      <c r="V915" s="184"/>
      <c r="W915" s="184"/>
      <c r="X915" s="184"/>
      <c r="Y915" s="184"/>
      <c r="Z915" s="184"/>
      <c r="AA915" s="184"/>
    </row>
    <row r="916">
      <c r="A916" s="184"/>
      <c r="B916" s="184"/>
      <c r="C916" s="184"/>
      <c r="D916" s="184"/>
      <c r="E916" s="184"/>
      <c r="F916" s="184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84"/>
      <c r="V916" s="184"/>
      <c r="W916" s="184"/>
      <c r="X916" s="184"/>
      <c r="Y916" s="184"/>
      <c r="Z916" s="184"/>
      <c r="AA916" s="184"/>
    </row>
    <row r="917">
      <c r="A917" s="184"/>
      <c r="B917" s="184"/>
      <c r="C917" s="184"/>
      <c r="D917" s="184"/>
      <c r="E917" s="184"/>
      <c r="F917" s="184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84"/>
      <c r="V917" s="184"/>
      <c r="W917" s="184"/>
      <c r="X917" s="184"/>
      <c r="Y917" s="184"/>
      <c r="Z917" s="184"/>
      <c r="AA917" s="184"/>
    </row>
    <row r="918">
      <c r="A918" s="184"/>
      <c r="B918" s="184"/>
      <c r="C918" s="184"/>
      <c r="D918" s="184"/>
      <c r="E918" s="184"/>
      <c r="F918" s="184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84"/>
      <c r="V918" s="184"/>
      <c r="W918" s="184"/>
      <c r="X918" s="184"/>
      <c r="Y918" s="184"/>
      <c r="Z918" s="184"/>
      <c r="AA918" s="184"/>
    </row>
    <row r="919">
      <c r="A919" s="184"/>
      <c r="B919" s="184"/>
      <c r="C919" s="184"/>
      <c r="D919" s="184"/>
      <c r="E919" s="184"/>
      <c r="F919" s="184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84"/>
      <c r="V919" s="184"/>
      <c r="W919" s="184"/>
      <c r="X919" s="184"/>
      <c r="Y919" s="184"/>
      <c r="Z919" s="184"/>
      <c r="AA919" s="184"/>
    </row>
    <row r="920">
      <c r="A920" s="184"/>
      <c r="B920" s="184"/>
      <c r="C920" s="184"/>
      <c r="D920" s="184"/>
      <c r="E920" s="184"/>
      <c r="F920" s="184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84"/>
      <c r="V920" s="184"/>
      <c r="W920" s="184"/>
      <c r="X920" s="184"/>
      <c r="Y920" s="184"/>
      <c r="Z920" s="184"/>
      <c r="AA920" s="184"/>
    </row>
    <row r="921">
      <c r="A921" s="184"/>
      <c r="B921" s="184"/>
      <c r="C921" s="184"/>
      <c r="D921" s="184"/>
      <c r="E921" s="184"/>
      <c r="F921" s="184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84"/>
      <c r="V921" s="184"/>
      <c r="W921" s="184"/>
      <c r="X921" s="184"/>
      <c r="Y921" s="184"/>
      <c r="Z921" s="184"/>
      <c r="AA921" s="184"/>
    </row>
    <row r="922">
      <c r="A922" s="184"/>
      <c r="B922" s="184"/>
      <c r="C922" s="184"/>
      <c r="D922" s="184"/>
      <c r="E922" s="184"/>
      <c r="F922" s="184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84"/>
      <c r="V922" s="184"/>
      <c r="W922" s="184"/>
      <c r="X922" s="184"/>
      <c r="Y922" s="184"/>
      <c r="Z922" s="184"/>
      <c r="AA922" s="184"/>
    </row>
    <row r="923">
      <c r="A923" s="184"/>
      <c r="B923" s="184"/>
      <c r="C923" s="184"/>
      <c r="D923" s="184"/>
      <c r="E923" s="184"/>
      <c r="F923" s="184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84"/>
      <c r="V923" s="184"/>
      <c r="W923" s="184"/>
      <c r="X923" s="184"/>
      <c r="Y923" s="184"/>
      <c r="Z923" s="184"/>
      <c r="AA923" s="184"/>
    </row>
    <row r="924">
      <c r="A924" s="184"/>
      <c r="B924" s="184"/>
      <c r="C924" s="184"/>
      <c r="D924" s="184"/>
      <c r="E924" s="184"/>
      <c r="F924" s="184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84"/>
      <c r="V924" s="184"/>
      <c r="W924" s="184"/>
      <c r="X924" s="184"/>
      <c r="Y924" s="184"/>
      <c r="Z924" s="184"/>
      <c r="AA924" s="184"/>
    </row>
    <row r="925">
      <c r="A925" s="184"/>
      <c r="B925" s="184"/>
      <c r="C925" s="184"/>
      <c r="D925" s="184"/>
      <c r="E925" s="184"/>
      <c r="F925" s="184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84"/>
      <c r="V925" s="184"/>
      <c r="W925" s="184"/>
      <c r="X925" s="184"/>
      <c r="Y925" s="184"/>
      <c r="Z925" s="184"/>
      <c r="AA925" s="184"/>
    </row>
    <row r="926">
      <c r="A926" s="184"/>
      <c r="B926" s="184"/>
      <c r="C926" s="184"/>
      <c r="D926" s="184"/>
      <c r="E926" s="184"/>
      <c r="F926" s="184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84"/>
      <c r="V926" s="184"/>
      <c r="W926" s="184"/>
      <c r="X926" s="184"/>
      <c r="Y926" s="184"/>
      <c r="Z926" s="184"/>
      <c r="AA926" s="184"/>
    </row>
    <row r="927">
      <c r="A927" s="184"/>
      <c r="B927" s="184"/>
      <c r="C927" s="184"/>
      <c r="D927" s="184"/>
      <c r="E927" s="184"/>
      <c r="F927" s="184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84"/>
      <c r="V927" s="184"/>
      <c r="W927" s="184"/>
      <c r="X927" s="184"/>
      <c r="Y927" s="184"/>
      <c r="Z927" s="184"/>
      <c r="AA927" s="184"/>
    </row>
    <row r="928">
      <c r="A928" s="184"/>
      <c r="B928" s="184"/>
      <c r="C928" s="184"/>
      <c r="D928" s="184"/>
      <c r="E928" s="184"/>
      <c r="F928" s="184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84"/>
      <c r="V928" s="184"/>
      <c r="W928" s="184"/>
      <c r="X928" s="184"/>
      <c r="Y928" s="184"/>
      <c r="Z928" s="184"/>
      <c r="AA928" s="184"/>
    </row>
    <row r="929">
      <c r="A929" s="184"/>
      <c r="B929" s="184"/>
      <c r="C929" s="184"/>
      <c r="D929" s="184"/>
      <c r="E929" s="184"/>
      <c r="F929" s="184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84"/>
      <c r="V929" s="184"/>
      <c r="W929" s="184"/>
      <c r="X929" s="184"/>
      <c r="Y929" s="184"/>
      <c r="Z929" s="184"/>
      <c r="AA929" s="184"/>
    </row>
    <row r="930">
      <c r="A930" s="184"/>
      <c r="B930" s="184"/>
      <c r="C930" s="184"/>
      <c r="D930" s="184"/>
      <c r="E930" s="184"/>
      <c r="F930" s="184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84"/>
      <c r="V930" s="184"/>
      <c r="W930" s="184"/>
      <c r="X930" s="184"/>
      <c r="Y930" s="184"/>
      <c r="Z930" s="184"/>
      <c r="AA930" s="184"/>
    </row>
    <row r="931">
      <c r="A931" s="184"/>
      <c r="B931" s="184"/>
      <c r="C931" s="184"/>
      <c r="D931" s="184"/>
      <c r="E931" s="184"/>
      <c r="F931" s="184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84"/>
      <c r="V931" s="184"/>
      <c r="W931" s="184"/>
      <c r="X931" s="184"/>
      <c r="Y931" s="184"/>
      <c r="Z931" s="184"/>
      <c r="AA931" s="184"/>
    </row>
    <row r="932">
      <c r="A932" s="184"/>
      <c r="B932" s="184"/>
      <c r="C932" s="184"/>
      <c r="D932" s="184"/>
      <c r="E932" s="184"/>
      <c r="F932" s="184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84"/>
      <c r="V932" s="184"/>
      <c r="W932" s="184"/>
      <c r="X932" s="184"/>
      <c r="Y932" s="184"/>
      <c r="Z932" s="184"/>
      <c r="AA932" s="184"/>
    </row>
    <row r="933">
      <c r="A933" s="184"/>
      <c r="B933" s="184"/>
      <c r="C933" s="184"/>
      <c r="D933" s="184"/>
      <c r="E933" s="184"/>
      <c r="F933" s="184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84"/>
      <c r="V933" s="184"/>
      <c r="W933" s="184"/>
      <c r="X933" s="184"/>
      <c r="Y933" s="184"/>
      <c r="Z933" s="184"/>
      <c r="AA933" s="184"/>
    </row>
    <row r="934">
      <c r="A934" s="184"/>
      <c r="B934" s="184"/>
      <c r="C934" s="184"/>
      <c r="D934" s="184"/>
      <c r="E934" s="184"/>
      <c r="F934" s="184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84"/>
      <c r="V934" s="184"/>
      <c r="W934" s="184"/>
      <c r="X934" s="184"/>
      <c r="Y934" s="184"/>
      <c r="Z934" s="184"/>
      <c r="AA934" s="184"/>
    </row>
    <row r="935">
      <c r="A935" s="184"/>
      <c r="B935" s="184"/>
      <c r="C935" s="184"/>
      <c r="D935" s="184"/>
      <c r="E935" s="184"/>
      <c r="F935" s="184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84"/>
      <c r="V935" s="184"/>
      <c r="W935" s="184"/>
      <c r="X935" s="184"/>
      <c r="Y935" s="184"/>
      <c r="Z935" s="184"/>
      <c r="AA935" s="184"/>
    </row>
    <row r="936">
      <c r="A936" s="184"/>
      <c r="B936" s="184"/>
      <c r="C936" s="184"/>
      <c r="D936" s="184"/>
      <c r="E936" s="184"/>
      <c r="F936" s="184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84"/>
      <c r="V936" s="184"/>
      <c r="W936" s="184"/>
      <c r="X936" s="184"/>
      <c r="Y936" s="184"/>
      <c r="Z936" s="184"/>
      <c r="AA936" s="184"/>
    </row>
    <row r="937">
      <c r="A937" s="184"/>
      <c r="B937" s="184"/>
      <c r="C937" s="184"/>
      <c r="D937" s="184"/>
      <c r="E937" s="184"/>
      <c r="F937" s="184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84"/>
      <c r="V937" s="184"/>
      <c r="W937" s="184"/>
      <c r="X937" s="184"/>
      <c r="Y937" s="184"/>
      <c r="Z937" s="184"/>
      <c r="AA937" s="184"/>
    </row>
    <row r="938">
      <c r="A938" s="184"/>
      <c r="B938" s="184"/>
      <c r="C938" s="184"/>
      <c r="D938" s="184"/>
      <c r="E938" s="184"/>
      <c r="F938" s="184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84"/>
      <c r="V938" s="184"/>
      <c r="W938" s="184"/>
      <c r="X938" s="184"/>
      <c r="Y938" s="184"/>
      <c r="Z938" s="184"/>
      <c r="AA938" s="184"/>
    </row>
    <row r="939">
      <c r="A939" s="184"/>
      <c r="B939" s="184"/>
      <c r="C939" s="184"/>
      <c r="D939" s="184"/>
      <c r="E939" s="184"/>
      <c r="F939" s="184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84"/>
      <c r="V939" s="184"/>
      <c r="W939" s="184"/>
      <c r="X939" s="184"/>
      <c r="Y939" s="184"/>
      <c r="Z939" s="184"/>
      <c r="AA939" s="184"/>
    </row>
    <row r="940">
      <c r="A940" s="184"/>
      <c r="B940" s="184"/>
      <c r="C940" s="184"/>
      <c r="D940" s="184"/>
      <c r="E940" s="184"/>
      <c r="F940" s="184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84"/>
      <c r="V940" s="184"/>
      <c r="W940" s="184"/>
      <c r="X940" s="184"/>
      <c r="Y940" s="184"/>
      <c r="Z940" s="184"/>
      <c r="AA940" s="184"/>
    </row>
    <row r="941">
      <c r="A941" s="184"/>
      <c r="B941" s="184"/>
      <c r="C941" s="184"/>
      <c r="D941" s="184"/>
      <c r="E941" s="184"/>
      <c r="F941" s="184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84"/>
      <c r="V941" s="184"/>
      <c r="W941" s="184"/>
      <c r="X941" s="184"/>
      <c r="Y941" s="184"/>
      <c r="Z941" s="184"/>
      <c r="AA941" s="184"/>
    </row>
    <row r="942">
      <c r="A942" s="184"/>
      <c r="B942" s="184"/>
      <c r="C942" s="184"/>
      <c r="D942" s="184"/>
      <c r="E942" s="184"/>
      <c r="F942" s="184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84"/>
      <c r="V942" s="184"/>
      <c r="W942" s="184"/>
      <c r="X942" s="184"/>
      <c r="Y942" s="184"/>
      <c r="Z942" s="184"/>
      <c r="AA942" s="184"/>
    </row>
    <row r="943">
      <c r="A943" s="184"/>
      <c r="B943" s="184"/>
      <c r="C943" s="184"/>
      <c r="D943" s="184"/>
      <c r="E943" s="184"/>
      <c r="F943" s="184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84"/>
      <c r="V943" s="184"/>
      <c r="W943" s="184"/>
      <c r="X943" s="184"/>
      <c r="Y943" s="184"/>
      <c r="Z943" s="184"/>
      <c r="AA943" s="184"/>
    </row>
    <row r="944">
      <c r="A944" s="184"/>
      <c r="B944" s="184"/>
      <c r="C944" s="184"/>
      <c r="D944" s="184"/>
      <c r="E944" s="184"/>
      <c r="F944" s="184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84"/>
      <c r="V944" s="184"/>
      <c r="W944" s="184"/>
      <c r="X944" s="184"/>
      <c r="Y944" s="184"/>
      <c r="Z944" s="184"/>
      <c r="AA944" s="184"/>
    </row>
    <row r="945">
      <c r="A945" s="184"/>
      <c r="B945" s="184"/>
      <c r="C945" s="184"/>
      <c r="D945" s="184"/>
      <c r="E945" s="184"/>
      <c r="F945" s="184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84"/>
      <c r="V945" s="184"/>
      <c r="W945" s="184"/>
      <c r="X945" s="184"/>
      <c r="Y945" s="184"/>
      <c r="Z945" s="184"/>
      <c r="AA945" s="184"/>
    </row>
    <row r="946">
      <c r="A946" s="184"/>
      <c r="B946" s="184"/>
      <c r="C946" s="184"/>
      <c r="D946" s="184"/>
      <c r="E946" s="184"/>
      <c r="F946" s="184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84"/>
      <c r="V946" s="184"/>
      <c r="W946" s="184"/>
      <c r="X946" s="184"/>
      <c r="Y946" s="184"/>
      <c r="Z946" s="184"/>
      <c r="AA946" s="184"/>
    </row>
    <row r="947">
      <c r="A947" s="184"/>
      <c r="B947" s="184"/>
      <c r="C947" s="184"/>
      <c r="D947" s="184"/>
      <c r="E947" s="184"/>
      <c r="F947" s="184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84"/>
      <c r="V947" s="184"/>
      <c r="W947" s="184"/>
      <c r="X947" s="184"/>
      <c r="Y947" s="184"/>
      <c r="Z947" s="184"/>
      <c r="AA947" s="184"/>
    </row>
    <row r="948">
      <c r="A948" s="184"/>
      <c r="B948" s="184"/>
      <c r="C948" s="184"/>
      <c r="D948" s="184"/>
      <c r="E948" s="184"/>
      <c r="F948" s="184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84"/>
      <c r="V948" s="184"/>
      <c r="W948" s="184"/>
      <c r="X948" s="184"/>
      <c r="Y948" s="184"/>
      <c r="Z948" s="184"/>
      <c r="AA948" s="184"/>
    </row>
    <row r="949">
      <c r="A949" s="184"/>
      <c r="B949" s="184"/>
      <c r="C949" s="184"/>
      <c r="D949" s="184"/>
      <c r="E949" s="184"/>
      <c r="F949" s="184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84"/>
      <c r="V949" s="184"/>
      <c r="W949" s="184"/>
      <c r="X949" s="184"/>
      <c r="Y949" s="184"/>
      <c r="Z949" s="184"/>
      <c r="AA949" s="184"/>
    </row>
    <row r="950">
      <c r="A950" s="184"/>
      <c r="B950" s="184"/>
      <c r="C950" s="184"/>
      <c r="D950" s="184"/>
      <c r="E950" s="184"/>
      <c r="F950" s="184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84"/>
      <c r="V950" s="184"/>
      <c r="W950" s="184"/>
      <c r="X950" s="184"/>
      <c r="Y950" s="184"/>
      <c r="Z950" s="184"/>
      <c r="AA950" s="184"/>
    </row>
    <row r="951">
      <c r="A951" s="184"/>
      <c r="B951" s="184"/>
      <c r="C951" s="184"/>
      <c r="D951" s="184"/>
      <c r="E951" s="184"/>
      <c r="F951" s="184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84"/>
      <c r="V951" s="184"/>
      <c r="W951" s="184"/>
      <c r="X951" s="184"/>
      <c r="Y951" s="184"/>
      <c r="Z951" s="184"/>
      <c r="AA951" s="184"/>
    </row>
    <row r="952">
      <c r="A952" s="184"/>
      <c r="B952" s="184"/>
      <c r="C952" s="184"/>
      <c r="D952" s="184"/>
      <c r="E952" s="184"/>
      <c r="F952" s="184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84"/>
      <c r="V952" s="184"/>
      <c r="W952" s="184"/>
      <c r="X952" s="184"/>
      <c r="Y952" s="184"/>
      <c r="Z952" s="184"/>
      <c r="AA952" s="184"/>
    </row>
    <row r="953">
      <c r="A953" s="184"/>
      <c r="B953" s="184"/>
      <c r="C953" s="184"/>
      <c r="D953" s="184"/>
      <c r="E953" s="184"/>
      <c r="F953" s="184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84"/>
      <c r="V953" s="184"/>
      <c r="W953" s="184"/>
      <c r="X953" s="184"/>
      <c r="Y953" s="184"/>
      <c r="Z953" s="184"/>
      <c r="AA953" s="184"/>
    </row>
    <row r="954">
      <c r="A954" s="184"/>
      <c r="B954" s="184"/>
      <c r="C954" s="184"/>
      <c r="D954" s="184"/>
      <c r="E954" s="184"/>
      <c r="F954" s="184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84"/>
      <c r="V954" s="184"/>
      <c r="W954" s="184"/>
      <c r="X954" s="184"/>
      <c r="Y954" s="184"/>
      <c r="Z954" s="184"/>
      <c r="AA954" s="184"/>
    </row>
    <row r="955">
      <c r="A955" s="184"/>
      <c r="B955" s="184"/>
      <c r="C955" s="184"/>
      <c r="D955" s="184"/>
      <c r="E955" s="184"/>
      <c r="F955" s="184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84"/>
      <c r="V955" s="184"/>
      <c r="W955" s="184"/>
      <c r="X955" s="184"/>
      <c r="Y955" s="184"/>
      <c r="Z955" s="184"/>
      <c r="AA955" s="184"/>
    </row>
    <row r="956">
      <c r="A956" s="184"/>
      <c r="B956" s="184"/>
      <c r="C956" s="184"/>
      <c r="D956" s="184"/>
      <c r="E956" s="184"/>
      <c r="F956" s="184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84"/>
      <c r="V956" s="184"/>
      <c r="W956" s="184"/>
      <c r="X956" s="184"/>
      <c r="Y956" s="184"/>
      <c r="Z956" s="184"/>
      <c r="AA956" s="184"/>
    </row>
    <row r="957">
      <c r="A957" s="184"/>
      <c r="B957" s="184"/>
      <c r="C957" s="184"/>
      <c r="D957" s="184"/>
      <c r="E957" s="184"/>
      <c r="F957" s="184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84"/>
      <c r="V957" s="184"/>
      <c r="W957" s="184"/>
      <c r="X957" s="184"/>
      <c r="Y957" s="184"/>
      <c r="Z957" s="184"/>
      <c r="AA957" s="184"/>
    </row>
    <row r="958">
      <c r="A958" s="184"/>
      <c r="B958" s="184"/>
      <c r="C958" s="184"/>
      <c r="D958" s="184"/>
      <c r="E958" s="184"/>
      <c r="F958" s="184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84"/>
      <c r="V958" s="184"/>
      <c r="W958" s="184"/>
      <c r="X958" s="184"/>
      <c r="Y958" s="184"/>
      <c r="Z958" s="184"/>
      <c r="AA958" s="184"/>
    </row>
    <row r="959">
      <c r="A959" s="184"/>
      <c r="B959" s="184"/>
      <c r="C959" s="184"/>
      <c r="D959" s="184"/>
      <c r="E959" s="184"/>
      <c r="F959" s="184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84"/>
      <c r="V959" s="184"/>
      <c r="W959" s="184"/>
      <c r="X959" s="184"/>
      <c r="Y959" s="184"/>
      <c r="Z959" s="184"/>
      <c r="AA959" s="184"/>
    </row>
    <row r="960">
      <c r="A960" s="184"/>
      <c r="B960" s="184"/>
      <c r="C960" s="184"/>
      <c r="D960" s="184"/>
      <c r="E960" s="184"/>
      <c r="F960" s="184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84"/>
      <c r="V960" s="184"/>
      <c r="W960" s="184"/>
      <c r="X960" s="184"/>
      <c r="Y960" s="184"/>
      <c r="Z960" s="184"/>
      <c r="AA960" s="184"/>
    </row>
    <row r="961">
      <c r="A961" s="184"/>
      <c r="B961" s="184"/>
      <c r="C961" s="184"/>
      <c r="D961" s="184"/>
      <c r="E961" s="184"/>
      <c r="F961" s="184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84"/>
      <c r="V961" s="184"/>
      <c r="W961" s="184"/>
      <c r="X961" s="184"/>
      <c r="Y961" s="184"/>
      <c r="Z961" s="184"/>
      <c r="AA961" s="184"/>
    </row>
    <row r="962">
      <c r="A962" s="184"/>
      <c r="B962" s="184"/>
      <c r="C962" s="184"/>
      <c r="D962" s="184"/>
      <c r="E962" s="184"/>
      <c r="F962" s="184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84"/>
      <c r="V962" s="184"/>
      <c r="W962" s="184"/>
      <c r="X962" s="184"/>
      <c r="Y962" s="184"/>
      <c r="Z962" s="184"/>
      <c r="AA962" s="184"/>
    </row>
    <row r="963">
      <c r="A963" s="184"/>
      <c r="B963" s="184"/>
      <c r="C963" s="184"/>
      <c r="D963" s="184"/>
      <c r="E963" s="184"/>
      <c r="F963" s="184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84"/>
      <c r="V963" s="184"/>
      <c r="W963" s="184"/>
      <c r="X963" s="184"/>
      <c r="Y963" s="184"/>
      <c r="Z963" s="184"/>
      <c r="AA963" s="184"/>
    </row>
    <row r="964">
      <c r="A964" s="184"/>
      <c r="B964" s="184"/>
      <c r="C964" s="184"/>
      <c r="D964" s="184"/>
      <c r="E964" s="184"/>
      <c r="F964" s="184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84"/>
      <c r="V964" s="184"/>
      <c r="W964" s="184"/>
      <c r="X964" s="184"/>
      <c r="Y964" s="184"/>
      <c r="Z964" s="184"/>
      <c r="AA964" s="184"/>
    </row>
    <row r="965">
      <c r="A965" s="184"/>
      <c r="B965" s="184"/>
      <c r="C965" s="184"/>
      <c r="D965" s="184"/>
      <c r="E965" s="184"/>
      <c r="F965" s="184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84"/>
      <c r="V965" s="184"/>
      <c r="W965" s="184"/>
      <c r="X965" s="184"/>
      <c r="Y965" s="184"/>
      <c r="Z965" s="184"/>
      <c r="AA965" s="184"/>
    </row>
    <row r="966">
      <c r="A966" s="184"/>
      <c r="B966" s="184"/>
      <c r="C966" s="184"/>
      <c r="D966" s="184"/>
      <c r="E966" s="184"/>
      <c r="F966" s="184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84"/>
      <c r="V966" s="184"/>
      <c r="W966" s="184"/>
      <c r="X966" s="184"/>
      <c r="Y966" s="184"/>
      <c r="Z966" s="184"/>
      <c r="AA966" s="184"/>
    </row>
    <row r="967">
      <c r="A967" s="184"/>
      <c r="B967" s="184"/>
      <c r="C967" s="184"/>
      <c r="D967" s="184"/>
      <c r="E967" s="184"/>
      <c r="F967" s="184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84"/>
      <c r="V967" s="184"/>
      <c r="W967" s="184"/>
      <c r="X967" s="184"/>
      <c r="Y967" s="184"/>
      <c r="Z967" s="184"/>
      <c r="AA967" s="184"/>
    </row>
    <row r="968">
      <c r="A968" s="184"/>
      <c r="B968" s="184"/>
      <c r="C968" s="184"/>
      <c r="D968" s="184"/>
      <c r="E968" s="184"/>
      <c r="F968" s="184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84"/>
      <c r="V968" s="184"/>
      <c r="W968" s="184"/>
      <c r="X968" s="184"/>
      <c r="Y968" s="184"/>
      <c r="Z968" s="184"/>
      <c r="AA968" s="184"/>
    </row>
    <row r="969">
      <c r="A969" s="184"/>
      <c r="B969" s="184"/>
      <c r="C969" s="184"/>
      <c r="D969" s="184"/>
      <c r="E969" s="184"/>
      <c r="F969" s="184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84"/>
      <c r="V969" s="184"/>
      <c r="W969" s="184"/>
      <c r="X969" s="184"/>
      <c r="Y969" s="184"/>
      <c r="Z969" s="184"/>
      <c r="AA969" s="184"/>
    </row>
    <row r="970">
      <c r="A970" s="184"/>
      <c r="B970" s="184"/>
      <c r="C970" s="184"/>
      <c r="D970" s="184"/>
      <c r="E970" s="184"/>
      <c r="F970" s="184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84"/>
      <c r="V970" s="184"/>
      <c r="W970" s="184"/>
      <c r="X970" s="184"/>
      <c r="Y970" s="184"/>
      <c r="Z970" s="184"/>
      <c r="AA970" s="184"/>
    </row>
    <row r="971">
      <c r="A971" s="184"/>
      <c r="B971" s="184"/>
      <c r="C971" s="184"/>
      <c r="D971" s="184"/>
      <c r="E971" s="184"/>
      <c r="F971" s="184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84"/>
      <c r="V971" s="184"/>
      <c r="W971" s="184"/>
      <c r="X971" s="184"/>
      <c r="Y971" s="184"/>
      <c r="Z971" s="184"/>
      <c r="AA971" s="184"/>
    </row>
    <row r="972">
      <c r="A972" s="184"/>
      <c r="B972" s="184"/>
      <c r="C972" s="184"/>
      <c r="D972" s="184"/>
      <c r="E972" s="184"/>
      <c r="F972" s="184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84"/>
      <c r="V972" s="184"/>
      <c r="W972" s="184"/>
      <c r="X972" s="184"/>
      <c r="Y972" s="184"/>
      <c r="Z972" s="184"/>
      <c r="AA972" s="184"/>
    </row>
    <row r="973">
      <c r="A973" s="184"/>
      <c r="B973" s="184"/>
      <c r="C973" s="184"/>
      <c r="D973" s="184"/>
      <c r="E973" s="184"/>
      <c r="F973" s="184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84"/>
      <c r="V973" s="184"/>
      <c r="W973" s="184"/>
      <c r="X973" s="184"/>
      <c r="Y973" s="184"/>
      <c r="Z973" s="184"/>
      <c r="AA973" s="184"/>
    </row>
    <row r="974">
      <c r="A974" s="184"/>
      <c r="B974" s="184"/>
      <c r="C974" s="184"/>
      <c r="D974" s="184"/>
      <c r="E974" s="184"/>
      <c r="F974" s="184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84"/>
      <c r="V974" s="184"/>
      <c r="W974" s="184"/>
      <c r="X974" s="184"/>
      <c r="Y974" s="184"/>
      <c r="Z974" s="184"/>
      <c r="AA974" s="184"/>
    </row>
    <row r="975">
      <c r="A975" s="184"/>
      <c r="B975" s="184"/>
      <c r="C975" s="184"/>
      <c r="D975" s="184"/>
      <c r="E975" s="184"/>
      <c r="F975" s="184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84"/>
      <c r="V975" s="184"/>
      <c r="W975" s="184"/>
      <c r="X975" s="184"/>
      <c r="Y975" s="184"/>
      <c r="Z975" s="184"/>
      <c r="AA975" s="184"/>
    </row>
    <row r="976">
      <c r="A976" s="184"/>
      <c r="B976" s="184"/>
      <c r="C976" s="184"/>
      <c r="D976" s="184"/>
      <c r="E976" s="184"/>
      <c r="F976" s="184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84"/>
      <c r="V976" s="184"/>
      <c r="W976" s="184"/>
      <c r="X976" s="184"/>
      <c r="Y976" s="184"/>
      <c r="Z976" s="184"/>
      <c r="AA976" s="184"/>
    </row>
    <row r="977">
      <c r="A977" s="184"/>
      <c r="B977" s="184"/>
      <c r="C977" s="184"/>
      <c r="D977" s="184"/>
      <c r="E977" s="184"/>
      <c r="F977" s="184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84"/>
      <c r="V977" s="184"/>
      <c r="W977" s="184"/>
      <c r="X977" s="184"/>
      <c r="Y977" s="184"/>
      <c r="Z977" s="184"/>
      <c r="AA977" s="184"/>
    </row>
    <row r="978">
      <c r="A978" s="184"/>
      <c r="B978" s="184"/>
      <c r="C978" s="184"/>
      <c r="D978" s="184"/>
      <c r="E978" s="184"/>
      <c r="F978" s="184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84"/>
      <c r="V978" s="184"/>
      <c r="W978" s="184"/>
      <c r="X978" s="184"/>
      <c r="Y978" s="184"/>
      <c r="Z978" s="184"/>
      <c r="AA978" s="184"/>
    </row>
    <row r="979">
      <c r="A979" s="184"/>
      <c r="B979" s="184"/>
      <c r="C979" s="184"/>
      <c r="D979" s="184"/>
      <c r="E979" s="184"/>
      <c r="F979" s="184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84"/>
      <c r="V979" s="184"/>
      <c r="W979" s="184"/>
      <c r="X979" s="184"/>
      <c r="Y979" s="184"/>
      <c r="Z979" s="184"/>
      <c r="AA979" s="184"/>
    </row>
    <row r="980">
      <c r="A980" s="184"/>
      <c r="B980" s="184"/>
      <c r="C980" s="184"/>
      <c r="D980" s="184"/>
      <c r="E980" s="184"/>
      <c r="F980" s="184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84"/>
      <c r="V980" s="184"/>
      <c r="W980" s="184"/>
      <c r="X980" s="184"/>
      <c r="Y980" s="184"/>
      <c r="Z980" s="184"/>
      <c r="AA980" s="184"/>
    </row>
    <row r="981">
      <c r="A981" s="184"/>
      <c r="B981" s="184"/>
      <c r="C981" s="184"/>
      <c r="D981" s="184"/>
      <c r="E981" s="184"/>
      <c r="F981" s="184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84"/>
      <c r="V981" s="184"/>
      <c r="W981" s="184"/>
      <c r="X981" s="184"/>
      <c r="Y981" s="184"/>
      <c r="Z981" s="184"/>
      <c r="AA981" s="184"/>
    </row>
    <row r="982">
      <c r="A982" s="184"/>
      <c r="B982" s="184"/>
      <c r="C982" s="184"/>
      <c r="D982" s="184"/>
      <c r="E982" s="184"/>
      <c r="F982" s="184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84"/>
      <c r="V982" s="184"/>
      <c r="W982" s="184"/>
      <c r="X982" s="184"/>
      <c r="Y982" s="184"/>
      <c r="Z982" s="184"/>
      <c r="AA982" s="184"/>
    </row>
    <row r="983">
      <c r="A983" s="184"/>
      <c r="B983" s="184"/>
      <c r="C983" s="184"/>
      <c r="D983" s="184"/>
      <c r="E983" s="184"/>
      <c r="F983" s="184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84"/>
      <c r="V983" s="184"/>
      <c r="W983" s="184"/>
      <c r="X983" s="184"/>
      <c r="Y983" s="184"/>
      <c r="Z983" s="184"/>
      <c r="AA983" s="184"/>
    </row>
    <row r="984">
      <c r="A984" s="184"/>
      <c r="B984" s="184"/>
      <c r="C984" s="184"/>
      <c r="D984" s="184"/>
      <c r="E984" s="184"/>
      <c r="F984" s="184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84"/>
      <c r="V984" s="184"/>
      <c r="W984" s="184"/>
      <c r="X984" s="184"/>
      <c r="Y984" s="184"/>
      <c r="Z984" s="184"/>
      <c r="AA984" s="184"/>
    </row>
    <row r="985">
      <c r="A985" s="184"/>
      <c r="B985" s="184"/>
      <c r="C985" s="184"/>
      <c r="D985" s="184"/>
      <c r="E985" s="184"/>
      <c r="F985" s="184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84"/>
      <c r="V985" s="184"/>
      <c r="W985" s="184"/>
      <c r="X985" s="184"/>
      <c r="Y985" s="184"/>
      <c r="Z985" s="184"/>
      <c r="AA985" s="184"/>
    </row>
    <row r="986">
      <c r="A986" s="184"/>
      <c r="B986" s="184"/>
      <c r="C986" s="184"/>
      <c r="D986" s="184"/>
      <c r="E986" s="184"/>
      <c r="F986" s="184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84"/>
      <c r="V986" s="184"/>
      <c r="W986" s="184"/>
      <c r="X986" s="184"/>
      <c r="Y986" s="184"/>
      <c r="Z986" s="184"/>
      <c r="AA986" s="184"/>
    </row>
    <row r="987">
      <c r="A987" s="184"/>
      <c r="B987" s="184"/>
      <c r="C987" s="184"/>
      <c r="D987" s="184"/>
      <c r="E987" s="184"/>
      <c r="F987" s="184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84"/>
      <c r="V987" s="184"/>
      <c r="W987" s="184"/>
      <c r="X987" s="184"/>
      <c r="Y987" s="184"/>
      <c r="Z987" s="184"/>
      <c r="AA987" s="184"/>
    </row>
    <row r="988">
      <c r="A988" s="184"/>
      <c r="B988" s="184"/>
      <c r="C988" s="184"/>
      <c r="D988" s="184"/>
      <c r="E988" s="184"/>
      <c r="F988" s="184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84"/>
      <c r="V988" s="184"/>
      <c r="W988" s="184"/>
      <c r="X988" s="184"/>
      <c r="Y988" s="184"/>
      <c r="Z988" s="184"/>
      <c r="AA988" s="184"/>
    </row>
    <row r="989">
      <c r="A989" s="184"/>
      <c r="B989" s="184"/>
      <c r="C989" s="184"/>
      <c r="D989" s="184"/>
      <c r="E989" s="184"/>
      <c r="F989" s="184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84"/>
      <c r="V989" s="184"/>
      <c r="W989" s="184"/>
      <c r="X989" s="184"/>
      <c r="Y989" s="184"/>
      <c r="Z989" s="184"/>
      <c r="AA989" s="184"/>
    </row>
  </sheetData>
  <mergeCells count="3">
    <mergeCell ref="A16:A17"/>
    <mergeCell ref="A18:A19"/>
    <mergeCell ref="A20:A2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31.0"/>
    <col customWidth="1" min="3" max="3" width="18.5"/>
    <col customWidth="1" min="4" max="4" width="23.75"/>
    <col customWidth="1" min="5" max="5" width="35.25"/>
    <col customWidth="1" min="6" max="6" width="26.0"/>
    <col customWidth="1" min="7" max="7" width="24.38"/>
  </cols>
  <sheetData>
    <row r="1">
      <c r="A1" s="382" t="s">
        <v>776</v>
      </c>
      <c r="B1" s="383" t="s">
        <v>501</v>
      </c>
      <c r="C1" s="382" t="s">
        <v>243</v>
      </c>
      <c r="D1" s="382" t="s">
        <v>245</v>
      </c>
      <c r="E1" s="382" t="s">
        <v>246</v>
      </c>
      <c r="F1" s="383" t="s">
        <v>247</v>
      </c>
      <c r="G1" s="383" t="s">
        <v>244</v>
      </c>
      <c r="H1" s="384" t="s">
        <v>248</v>
      </c>
      <c r="I1" s="385"/>
      <c r="J1" s="385"/>
      <c r="K1" s="386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</row>
    <row r="2">
      <c r="A2" s="387" t="s">
        <v>25</v>
      </c>
      <c r="B2" s="407" t="s">
        <v>777</v>
      </c>
      <c r="C2" s="227"/>
      <c r="D2" s="409" t="s">
        <v>778</v>
      </c>
      <c r="E2" s="391" t="s">
        <v>779</v>
      </c>
      <c r="F2" s="455" t="s">
        <v>780</v>
      </c>
      <c r="G2" s="392"/>
      <c r="H2" s="392"/>
      <c r="I2" s="391"/>
      <c r="J2" s="392"/>
      <c r="K2" s="146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</row>
    <row r="3">
      <c r="A3" s="387" t="s">
        <v>25</v>
      </c>
      <c r="B3" s="157" t="s">
        <v>781</v>
      </c>
      <c r="C3" s="183" t="s">
        <v>782</v>
      </c>
      <c r="D3" s="157" t="s">
        <v>783</v>
      </c>
      <c r="E3" s="391"/>
      <c r="F3" s="455" t="s">
        <v>784</v>
      </c>
      <c r="G3" s="392"/>
      <c r="H3" s="392"/>
      <c r="I3" s="391"/>
      <c r="J3" s="392"/>
      <c r="K3" s="146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</row>
    <row r="4">
      <c r="A4" s="395" t="s">
        <v>39</v>
      </c>
      <c r="B4" s="380" t="s">
        <v>785</v>
      </c>
      <c r="C4" s="456"/>
      <c r="D4" s="456" t="s">
        <v>786</v>
      </c>
      <c r="E4" s="397"/>
      <c r="F4" s="457" t="s">
        <v>787</v>
      </c>
      <c r="G4" s="398"/>
      <c r="H4" s="391"/>
      <c r="I4" s="391"/>
      <c r="J4" s="391"/>
      <c r="K4" s="149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</row>
    <row r="5">
      <c r="A5" s="7"/>
      <c r="C5" s="7"/>
      <c r="D5" s="7"/>
      <c r="E5" s="7"/>
      <c r="F5" s="7"/>
      <c r="G5" s="392"/>
      <c r="H5" s="392"/>
      <c r="I5" s="391"/>
      <c r="J5" s="402"/>
      <c r="K5" s="403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</row>
    <row r="6">
      <c r="A6" s="452" t="s">
        <v>64</v>
      </c>
      <c r="B6" s="157" t="s">
        <v>788</v>
      </c>
      <c r="C6" s="227"/>
      <c r="D6" s="409" t="s">
        <v>789</v>
      </c>
      <c r="E6" s="397" t="s">
        <v>790</v>
      </c>
      <c r="F6" s="458" t="s">
        <v>791</v>
      </c>
      <c r="G6" s="392"/>
      <c r="H6" s="392"/>
      <c r="I6" s="391"/>
      <c r="J6" s="391"/>
      <c r="K6" s="149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</row>
    <row r="7">
      <c r="A7" s="452" t="s">
        <v>64</v>
      </c>
      <c r="B7" s="157" t="s">
        <v>792</v>
      </c>
      <c r="C7" s="227"/>
      <c r="D7" s="409" t="s">
        <v>793</v>
      </c>
      <c r="E7" s="397" t="s">
        <v>794</v>
      </c>
      <c r="F7" s="391" t="s">
        <v>795</v>
      </c>
      <c r="G7" s="392"/>
      <c r="H7" s="392"/>
      <c r="I7" s="391"/>
      <c r="J7" s="391"/>
      <c r="K7" s="403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</row>
    <row r="8">
      <c r="A8" s="453" t="s">
        <v>64</v>
      </c>
      <c r="B8" s="459"/>
      <c r="C8" s="7"/>
      <c r="D8" s="396"/>
      <c r="E8" s="391"/>
      <c r="F8" s="391"/>
      <c r="G8" s="392"/>
      <c r="H8" s="392"/>
      <c r="I8" s="392"/>
      <c r="J8" s="391"/>
      <c r="K8" s="403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</row>
    <row r="9">
      <c r="A9" s="413" t="s">
        <v>78</v>
      </c>
      <c r="B9" s="227" t="s">
        <v>796</v>
      </c>
      <c r="C9" s="460" t="s">
        <v>797</v>
      </c>
      <c r="D9" s="460" t="s">
        <v>797</v>
      </c>
      <c r="E9" s="391" t="s">
        <v>798</v>
      </c>
      <c r="F9" s="455" t="s">
        <v>799</v>
      </c>
      <c r="G9" s="391"/>
      <c r="H9" s="392"/>
      <c r="I9" s="392"/>
      <c r="J9" s="402"/>
      <c r="K9" s="403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</row>
    <row r="10">
      <c r="A10" s="149"/>
      <c r="B10" s="149"/>
      <c r="C10" s="149"/>
      <c r="D10" s="149"/>
      <c r="E10" s="149"/>
      <c r="F10" s="149"/>
      <c r="G10" s="403"/>
      <c r="H10" s="403"/>
      <c r="I10" s="403"/>
      <c r="J10" s="403"/>
      <c r="K10" s="403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</row>
    <row r="11">
      <c r="A11" s="414" t="s">
        <v>704</v>
      </c>
      <c r="B11" s="149"/>
      <c r="C11" s="149"/>
      <c r="D11" s="190"/>
      <c r="E11" s="149"/>
      <c r="F11" s="403"/>
      <c r="G11" s="403"/>
      <c r="H11" s="403"/>
      <c r="I11" s="403"/>
      <c r="J11" s="403"/>
      <c r="K11" s="403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</row>
    <row r="12">
      <c r="A12" s="34"/>
      <c r="B12" s="461"/>
      <c r="C12" s="149"/>
      <c r="D12" s="149"/>
      <c r="E12" s="149"/>
      <c r="F12" s="149"/>
      <c r="G12" s="149"/>
      <c r="H12" s="149"/>
      <c r="I12" s="149"/>
      <c r="J12" s="149"/>
      <c r="K12" s="149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</row>
    <row r="13">
      <c r="A13" s="417" t="s">
        <v>709</v>
      </c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</row>
    <row r="14">
      <c r="A14" s="34"/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</row>
    <row r="15">
      <c r="A15" s="418" t="s">
        <v>710</v>
      </c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</row>
    <row r="16">
      <c r="A16" s="34"/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</row>
    <row r="17">
      <c r="A17" s="149"/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</row>
    <row r="18">
      <c r="A18" s="387" t="s">
        <v>25</v>
      </c>
      <c r="B18" s="407" t="s">
        <v>800</v>
      </c>
      <c r="C18" s="227"/>
      <c r="D18" s="409" t="s">
        <v>731</v>
      </c>
      <c r="E18" s="391"/>
      <c r="F18" s="391"/>
      <c r="G18" s="392"/>
      <c r="H18" s="392"/>
      <c r="I18" s="391"/>
      <c r="J18" s="391"/>
      <c r="K18" s="146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</row>
    <row r="19">
      <c r="A19" s="419" t="s">
        <v>39</v>
      </c>
      <c r="B19" s="426" t="s">
        <v>585</v>
      </c>
      <c r="C19" s="462"/>
      <c r="D19" s="462" t="s">
        <v>801</v>
      </c>
      <c r="E19" s="393"/>
      <c r="F19" s="393"/>
      <c r="G19" s="392"/>
      <c r="H19" s="391"/>
      <c r="I19" s="392"/>
      <c r="J19" s="392"/>
      <c r="K19" s="149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</row>
    <row r="20">
      <c r="A20" s="184"/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</row>
    <row r="21">
      <c r="A21" s="184"/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</row>
    <row r="22">
      <c r="A22" s="184"/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</row>
    <row r="23">
      <c r="A23" s="184"/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</row>
    <row r="24">
      <c r="A24" s="184"/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</row>
    <row r="25">
      <c r="A25" s="184"/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</row>
    <row r="26">
      <c r="A26" s="184"/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</row>
    <row r="27">
      <c r="A27" s="184"/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</row>
    <row r="28">
      <c r="A28" s="184"/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</row>
    <row r="29">
      <c r="A29" s="184"/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</row>
    <row r="30">
      <c r="A30" s="184"/>
      <c r="B30" s="184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</row>
    <row r="31">
      <c r="A31" s="184"/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</row>
    <row r="32">
      <c r="A32" s="184"/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</row>
    <row r="33">
      <c r="A33" s="184"/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</row>
    <row r="34">
      <c r="A34" s="184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</row>
    <row r="35">
      <c r="A35" s="184"/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</row>
    <row r="36">
      <c r="A36" s="184"/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</row>
    <row r="37">
      <c r="A37" s="184"/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</row>
    <row r="38">
      <c r="A38" s="184"/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</row>
    <row r="39">
      <c r="A39" s="184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</row>
    <row r="40">
      <c r="A40" s="184"/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</row>
    <row r="41">
      <c r="A41" s="184"/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</row>
    <row r="42">
      <c r="A42" s="184"/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</row>
    <row r="43">
      <c r="A43" s="184"/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</row>
    <row r="44">
      <c r="A44" s="184"/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</row>
    <row r="45">
      <c r="A45" s="184"/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</row>
    <row r="46">
      <c r="A46" s="184"/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</row>
    <row r="47">
      <c r="A47" s="184"/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</row>
    <row r="48">
      <c r="A48" s="184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</row>
    <row r="49">
      <c r="A49" s="184"/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</row>
    <row r="50">
      <c r="A50" s="184"/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</row>
    <row r="51">
      <c r="A51" s="184"/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</row>
    <row r="52">
      <c r="A52" s="184"/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</row>
    <row r="53">
      <c r="A53" s="184"/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</row>
    <row r="54">
      <c r="A54" s="184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</row>
    <row r="55">
      <c r="A55" s="184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</row>
    <row r="56">
      <c r="A56" s="184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</row>
    <row r="57">
      <c r="A57" s="184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</row>
    <row r="58">
      <c r="A58" s="184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</row>
    <row r="59">
      <c r="A59" s="184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</row>
    <row r="60">
      <c r="A60" s="184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</row>
    <row r="61">
      <c r="A61" s="184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</row>
    <row r="62">
      <c r="A62" s="184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4"/>
    </row>
    <row r="63">
      <c r="A63" s="184"/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4"/>
    </row>
    <row r="64">
      <c r="A64" s="184"/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</row>
    <row r="65">
      <c r="A65" s="184"/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4"/>
    </row>
    <row r="66">
      <c r="A66" s="184"/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</row>
    <row r="67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</row>
    <row r="68">
      <c r="A68" s="184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4"/>
    </row>
    <row r="69">
      <c r="A69" s="184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</row>
    <row r="70">
      <c r="A70" s="184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4"/>
    </row>
    <row r="71">
      <c r="A71" s="184"/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4"/>
    </row>
    <row r="72">
      <c r="A72" s="184"/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4"/>
    </row>
    <row r="73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4"/>
    </row>
    <row r="74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</row>
    <row r="75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</row>
    <row r="76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</row>
    <row r="77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</row>
    <row r="78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4"/>
    </row>
    <row r="79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  <c r="AA79" s="184"/>
    </row>
    <row r="80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  <c r="AA80" s="184"/>
    </row>
    <row r="81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  <c r="AA81" s="184"/>
    </row>
    <row r="82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  <c r="AA82" s="184"/>
    </row>
    <row r="83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  <c r="AA83" s="184"/>
    </row>
    <row r="84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  <c r="AA84" s="184"/>
    </row>
    <row r="85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</row>
    <row r="8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</row>
    <row r="87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84"/>
    </row>
    <row r="88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</row>
    <row r="89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  <c r="AA89" s="184"/>
    </row>
    <row r="90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  <c r="AA90" s="184"/>
    </row>
    <row r="91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  <c r="AA91" s="184"/>
    </row>
    <row r="92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</row>
    <row r="93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  <c r="AA93" s="184"/>
    </row>
    <row r="94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  <c r="AA94" s="184"/>
    </row>
    <row r="95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  <c r="AA95" s="184"/>
    </row>
    <row r="9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  <c r="AA96" s="184"/>
    </row>
    <row r="97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  <c r="AA97" s="184"/>
    </row>
    <row r="98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  <c r="AA98" s="184"/>
    </row>
    <row r="99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  <c r="AA99" s="184"/>
    </row>
    <row r="100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  <c r="AA100" s="184"/>
    </row>
    <row r="101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  <c r="AA101" s="184"/>
    </row>
    <row r="102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  <c r="AA102" s="184"/>
    </row>
    <row r="103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  <c r="AA103" s="184"/>
    </row>
    <row r="104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  <c r="AA104" s="184"/>
    </row>
    <row r="105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  <c r="AA105" s="184"/>
    </row>
    <row r="10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  <c r="AA106" s="184"/>
    </row>
    <row r="107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  <c r="AA107" s="184"/>
    </row>
    <row r="108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  <c r="AA108" s="184"/>
    </row>
    <row r="109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  <c r="AA109" s="184"/>
    </row>
    <row r="110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  <c r="AA110" s="184"/>
    </row>
    <row r="111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</row>
    <row r="112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</row>
    <row r="113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  <c r="AA113" s="184"/>
    </row>
    <row r="114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</row>
    <row r="115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</row>
    <row r="11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</row>
    <row r="117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  <c r="AA117" s="184"/>
    </row>
    <row r="118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</row>
    <row r="119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</row>
    <row r="120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</row>
    <row r="121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  <c r="AA121" s="184"/>
    </row>
    <row r="122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</row>
    <row r="123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</row>
    <row r="124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</row>
    <row r="125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  <c r="AA125" s="184"/>
    </row>
    <row r="1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  <c r="AA126" s="184"/>
    </row>
    <row r="127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  <c r="AA127" s="184"/>
    </row>
    <row r="128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  <c r="AA128" s="184"/>
    </row>
    <row r="129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  <c r="AA129" s="184"/>
    </row>
    <row r="130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  <c r="AA130" s="184"/>
    </row>
    <row r="131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  <c r="AA131" s="184"/>
    </row>
    <row r="132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  <c r="AA132" s="184"/>
    </row>
    <row r="133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  <c r="AA133" s="184"/>
    </row>
    <row r="134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  <c r="AA134" s="184"/>
    </row>
    <row r="135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  <c r="AA135" s="184"/>
    </row>
    <row r="13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  <c r="AA136" s="184"/>
    </row>
    <row r="137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  <c r="AA137" s="184"/>
    </row>
    <row r="138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  <c r="AA138" s="184"/>
    </row>
    <row r="139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  <c r="AA139" s="184"/>
    </row>
    <row r="140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  <c r="AA140" s="184"/>
    </row>
    <row r="141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  <c r="AA141" s="184"/>
    </row>
    <row r="142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  <c r="AA142" s="184"/>
    </row>
    <row r="143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  <c r="AA143" s="184"/>
    </row>
    <row r="144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  <c r="AA144" s="184"/>
    </row>
    <row r="145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  <c r="AA145" s="184"/>
    </row>
    <row r="14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  <c r="AA146" s="184"/>
    </row>
    <row r="147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  <c r="AA147" s="184"/>
    </row>
    <row r="148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  <c r="AA148" s="184"/>
    </row>
    <row r="149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  <c r="AA149" s="184"/>
    </row>
    <row r="150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  <c r="AA150" s="184"/>
    </row>
    <row r="151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  <c r="AA151" s="184"/>
    </row>
    <row r="152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  <c r="AA152" s="184"/>
    </row>
    <row r="153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  <c r="AA153" s="184"/>
    </row>
    <row r="154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  <c r="AA154" s="184"/>
    </row>
    <row r="155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  <c r="AA155" s="184"/>
    </row>
    <row r="15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  <c r="AA156" s="184"/>
    </row>
    <row r="157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  <c r="AA157" s="184"/>
    </row>
    <row r="158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  <c r="AA158" s="184"/>
    </row>
    <row r="159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  <c r="AA159" s="184"/>
    </row>
    <row r="160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  <c r="AA160" s="184"/>
    </row>
    <row r="161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  <c r="AA161" s="184"/>
    </row>
    <row r="162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  <c r="AA162" s="184"/>
    </row>
    <row r="163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  <c r="AA163" s="184"/>
    </row>
    <row r="164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  <c r="AA164" s="184"/>
    </row>
    <row r="165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  <c r="AA165" s="184"/>
    </row>
    <row r="16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  <c r="AA166" s="184"/>
    </row>
    <row r="167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  <c r="AA167" s="184"/>
    </row>
    <row r="168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  <c r="AA168" s="184"/>
    </row>
    <row r="169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  <c r="AA169" s="184"/>
    </row>
    <row r="170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  <c r="AA170" s="184"/>
    </row>
    <row r="171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  <c r="AA171" s="184"/>
    </row>
    <row r="172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  <c r="AA172" s="184"/>
    </row>
    <row r="173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  <c r="AA173" s="184"/>
    </row>
    <row r="174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  <c r="AA174" s="184"/>
    </row>
    <row r="175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  <c r="AA175" s="184"/>
    </row>
    <row r="17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  <c r="AA176" s="184"/>
    </row>
    <row r="177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  <c r="AA177" s="184"/>
    </row>
    <row r="178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  <c r="AA178" s="184"/>
    </row>
    <row r="179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  <c r="AA179" s="184"/>
    </row>
    <row r="180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  <c r="AA180" s="184"/>
    </row>
    <row r="181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  <c r="AA181" s="184"/>
    </row>
    <row r="182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  <c r="AA182" s="184"/>
    </row>
    <row r="183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  <c r="AA183" s="184"/>
    </row>
    <row r="184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  <c r="AA184" s="184"/>
    </row>
    <row r="185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  <c r="AA185" s="184"/>
    </row>
    <row r="18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  <c r="AA186" s="184"/>
    </row>
    <row r="187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  <c r="AA187" s="184"/>
    </row>
    <row r="188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  <c r="AA188" s="184"/>
    </row>
    <row r="189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  <c r="AA189" s="184"/>
    </row>
    <row r="190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  <c r="AA190" s="184"/>
    </row>
    <row r="191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  <c r="AA191" s="184"/>
    </row>
    <row r="192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  <c r="AA192" s="184"/>
    </row>
    <row r="193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  <c r="AA193" s="184"/>
    </row>
    <row r="194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  <c r="AA194" s="184"/>
    </row>
    <row r="195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  <c r="AA195" s="184"/>
    </row>
    <row r="19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  <c r="AA196" s="184"/>
    </row>
    <row r="197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  <c r="AA197" s="184"/>
    </row>
    <row r="198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  <c r="AA198" s="184"/>
    </row>
    <row r="199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  <c r="AA199" s="184"/>
    </row>
    <row r="200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  <c r="AA200" s="184"/>
    </row>
    <row r="201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  <c r="AA201" s="184"/>
    </row>
    <row r="202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  <c r="AA202" s="184"/>
    </row>
    <row r="203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  <c r="AA203" s="184"/>
    </row>
    <row r="204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  <c r="AA204" s="184"/>
    </row>
    <row r="205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  <c r="AA205" s="184"/>
    </row>
    <row r="20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  <c r="AA206" s="184"/>
    </row>
    <row r="207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  <c r="AA207" s="184"/>
    </row>
    <row r="208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  <c r="AA208" s="184"/>
    </row>
    <row r="209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  <c r="AA209" s="184"/>
    </row>
    <row r="210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  <c r="AA210" s="184"/>
    </row>
    <row r="211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  <c r="AA211" s="184"/>
    </row>
    <row r="212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  <c r="AA212" s="184"/>
    </row>
    <row r="213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  <c r="AA213" s="184"/>
    </row>
    <row r="214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  <c r="AA214" s="184"/>
    </row>
    <row r="215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  <c r="AA215" s="184"/>
    </row>
    <row r="21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  <c r="AA216" s="184"/>
    </row>
    <row r="217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  <c r="AA217" s="184"/>
    </row>
    <row r="218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  <c r="AA218" s="184"/>
    </row>
    <row r="219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  <c r="AA219" s="184"/>
    </row>
    <row r="220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  <c r="AA220" s="184"/>
    </row>
    <row r="221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  <c r="AA221" s="184"/>
    </row>
    <row r="222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  <c r="AA222" s="184"/>
    </row>
    <row r="223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  <c r="AA223" s="184"/>
    </row>
    <row r="224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  <c r="AA224" s="184"/>
    </row>
    <row r="225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  <c r="AA225" s="184"/>
    </row>
    <row r="2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  <c r="AA226" s="184"/>
    </row>
    <row r="227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  <c r="AA227" s="184"/>
    </row>
    <row r="228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  <c r="AA228" s="184"/>
    </row>
    <row r="229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  <c r="AA229" s="184"/>
    </row>
    <row r="230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  <c r="AA230" s="184"/>
    </row>
    <row r="231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  <c r="AA231" s="184"/>
    </row>
    <row r="232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  <c r="AA232" s="184"/>
    </row>
    <row r="233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  <c r="AA233" s="184"/>
    </row>
    <row r="234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  <c r="AA234" s="184"/>
    </row>
    <row r="235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  <c r="AA235" s="184"/>
    </row>
    <row r="23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  <c r="AA236" s="184"/>
    </row>
    <row r="237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  <c r="AA237" s="184"/>
    </row>
    <row r="238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  <c r="AA238" s="184"/>
    </row>
    <row r="239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  <c r="AA239" s="184"/>
    </row>
    <row r="240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  <c r="AA240" s="184"/>
    </row>
    <row r="241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  <c r="AA241" s="184"/>
    </row>
    <row r="242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  <c r="AA242" s="184"/>
    </row>
    <row r="243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  <c r="AA243" s="184"/>
    </row>
    <row r="244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  <c r="AA244" s="184"/>
    </row>
    <row r="245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  <c r="AA245" s="184"/>
    </row>
    <row r="24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  <c r="AA246" s="184"/>
    </row>
    <row r="247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  <c r="AA247" s="184"/>
    </row>
    <row r="248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  <c r="AA248" s="184"/>
    </row>
    <row r="249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  <c r="AA249" s="184"/>
    </row>
    <row r="250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  <c r="AA250" s="184"/>
    </row>
    <row r="251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  <c r="AA251" s="184"/>
    </row>
    <row r="252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  <c r="AA252" s="184"/>
    </row>
    <row r="253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  <c r="AA253" s="184"/>
    </row>
    <row r="254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  <c r="AA254" s="184"/>
    </row>
    <row r="255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  <c r="AA255" s="184"/>
    </row>
    <row r="25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  <c r="AA256" s="184"/>
    </row>
    <row r="257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  <c r="AA257" s="184"/>
    </row>
    <row r="258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  <c r="AA258" s="184"/>
    </row>
    <row r="259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  <c r="AA259" s="184"/>
    </row>
    <row r="260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  <c r="AA260" s="184"/>
    </row>
    <row r="261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  <c r="AA261" s="184"/>
    </row>
    <row r="262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  <c r="AA262" s="184"/>
    </row>
    <row r="263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  <c r="AA263" s="184"/>
    </row>
    <row r="264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  <c r="AA264" s="184"/>
    </row>
    <row r="265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  <c r="AA265" s="184"/>
    </row>
    <row r="26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  <c r="AA266" s="184"/>
    </row>
    <row r="267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  <c r="AA267" s="184"/>
    </row>
    <row r="268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  <c r="AA268" s="184"/>
    </row>
    <row r="269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  <c r="AA269" s="184"/>
    </row>
    <row r="270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  <c r="AA270" s="184"/>
    </row>
    <row r="271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  <c r="AA271" s="184"/>
    </row>
    <row r="272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  <c r="AA272" s="184"/>
    </row>
    <row r="273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  <c r="AA273" s="184"/>
    </row>
    <row r="274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  <c r="AA274" s="184"/>
    </row>
    <row r="275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  <c r="AA275" s="184"/>
    </row>
    <row r="276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  <c r="AA276" s="184"/>
    </row>
    <row r="277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  <c r="AA277" s="184"/>
    </row>
    <row r="278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  <c r="AA278" s="184"/>
    </row>
    <row r="279">
      <c r="A279" s="184"/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  <c r="AA279" s="184"/>
    </row>
    <row r="280">
      <c r="A280" s="184"/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  <c r="AA280" s="184"/>
    </row>
    <row r="281">
      <c r="A281" s="184"/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  <c r="AA281" s="184"/>
    </row>
    <row r="282">
      <c r="A282" s="184"/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  <c r="AA282" s="184"/>
    </row>
    <row r="283">
      <c r="A283" s="184"/>
      <c r="B283" s="184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  <c r="AA283" s="184"/>
    </row>
    <row r="284">
      <c r="A284" s="184"/>
      <c r="B284" s="184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  <c r="AA284" s="184"/>
    </row>
    <row r="285">
      <c r="A285" s="184"/>
      <c r="B285" s="184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  <c r="AA285" s="184"/>
    </row>
    <row r="286">
      <c r="A286" s="184"/>
      <c r="B286" s="184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  <c r="AA286" s="184"/>
    </row>
    <row r="287">
      <c r="A287" s="184"/>
      <c r="B287" s="184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  <c r="AA287" s="184"/>
    </row>
    <row r="288">
      <c r="A288" s="184"/>
      <c r="B288" s="184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  <c r="AA288" s="184"/>
    </row>
    <row r="289">
      <c r="A289" s="184"/>
      <c r="B289" s="184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  <c r="AA289" s="184"/>
    </row>
    <row r="290">
      <c r="A290" s="184"/>
      <c r="B290" s="184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  <c r="AA290" s="184"/>
    </row>
    <row r="291">
      <c r="A291" s="184"/>
      <c r="B291" s="184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  <c r="AA291" s="184"/>
    </row>
    <row r="292">
      <c r="A292" s="184"/>
      <c r="B292" s="184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  <c r="AA292" s="184"/>
    </row>
    <row r="293">
      <c r="A293" s="184"/>
      <c r="B293" s="184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  <c r="AA293" s="184"/>
    </row>
    <row r="294">
      <c r="A294" s="184"/>
      <c r="B294" s="184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  <c r="AA294" s="184"/>
    </row>
    <row r="295">
      <c r="A295" s="184"/>
      <c r="B295" s="184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  <c r="AA295" s="184"/>
    </row>
    <row r="296">
      <c r="A296" s="184"/>
      <c r="B296" s="184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  <c r="AA296" s="184"/>
    </row>
    <row r="297">
      <c r="A297" s="184"/>
      <c r="B297" s="184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  <c r="AA297" s="184"/>
    </row>
    <row r="298">
      <c r="A298" s="184"/>
      <c r="B298" s="184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  <c r="AA298" s="184"/>
    </row>
    <row r="299">
      <c r="A299" s="184"/>
      <c r="B299" s="184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  <c r="AA299" s="184"/>
    </row>
    <row r="300">
      <c r="A300" s="184"/>
      <c r="B300" s="184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  <c r="AA300" s="184"/>
    </row>
    <row r="301">
      <c r="A301" s="184"/>
      <c r="B301" s="184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  <c r="AA301" s="184"/>
    </row>
    <row r="302">
      <c r="A302" s="184"/>
      <c r="B302" s="184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  <c r="AA302" s="184"/>
    </row>
    <row r="303">
      <c r="A303" s="184"/>
      <c r="B303" s="184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  <c r="AA303" s="184"/>
    </row>
    <row r="304">
      <c r="A304" s="184"/>
      <c r="B304" s="184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  <c r="AA304" s="184"/>
    </row>
    <row r="305">
      <c r="A305" s="184"/>
      <c r="B305" s="184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  <c r="AA305" s="184"/>
    </row>
    <row r="306">
      <c r="A306" s="184"/>
      <c r="B306" s="184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  <c r="AA306" s="184"/>
    </row>
    <row r="307">
      <c r="A307" s="184"/>
      <c r="B307" s="184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  <c r="AA307" s="184"/>
    </row>
    <row r="308">
      <c r="A308" s="184"/>
      <c r="B308" s="184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  <c r="AA308" s="184"/>
    </row>
    <row r="309">
      <c r="A309" s="184"/>
      <c r="B309" s="184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  <c r="AA309" s="184"/>
    </row>
    <row r="310">
      <c r="A310" s="184"/>
      <c r="B310" s="184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  <c r="AA310" s="184"/>
    </row>
    <row r="311">
      <c r="A311" s="184"/>
      <c r="B311" s="184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  <c r="AA311" s="184"/>
    </row>
    <row r="312">
      <c r="A312" s="184"/>
      <c r="B312" s="184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  <c r="AA312" s="184"/>
    </row>
    <row r="313">
      <c r="A313" s="184"/>
      <c r="B313" s="184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  <c r="AA313" s="184"/>
    </row>
    <row r="314">
      <c r="A314" s="184"/>
      <c r="B314" s="184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  <c r="AA314" s="184"/>
    </row>
    <row r="315">
      <c r="A315" s="184"/>
      <c r="B315" s="184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  <c r="AA315" s="184"/>
    </row>
    <row r="316">
      <c r="A316" s="184"/>
      <c r="B316" s="184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  <c r="AA316" s="184"/>
    </row>
    <row r="317">
      <c r="A317" s="184"/>
      <c r="B317" s="184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  <c r="AA317" s="184"/>
    </row>
    <row r="318">
      <c r="A318" s="184"/>
      <c r="B318" s="184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  <c r="AA318" s="184"/>
    </row>
    <row r="319">
      <c r="A319" s="184"/>
      <c r="B319" s="184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  <c r="AA319" s="184"/>
    </row>
    <row r="320">
      <c r="A320" s="184"/>
      <c r="B320" s="184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  <c r="AA320" s="184"/>
    </row>
    <row r="321">
      <c r="A321" s="184"/>
      <c r="B321" s="184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  <c r="AA321" s="184"/>
    </row>
    <row r="322">
      <c r="A322" s="184"/>
      <c r="B322" s="184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  <c r="AA322" s="184"/>
    </row>
    <row r="323">
      <c r="A323" s="184"/>
      <c r="B323" s="184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  <c r="AA323" s="184"/>
    </row>
    <row r="324">
      <c r="A324" s="184"/>
      <c r="B324" s="184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  <c r="AA324" s="184"/>
    </row>
    <row r="325">
      <c r="A325" s="184"/>
      <c r="B325" s="184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  <c r="AA325" s="184"/>
    </row>
    <row r="326">
      <c r="A326" s="184"/>
      <c r="B326" s="184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  <c r="AA326" s="184"/>
    </row>
    <row r="327">
      <c r="A327" s="184"/>
      <c r="B327" s="184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  <c r="AA327" s="184"/>
    </row>
    <row r="328">
      <c r="A328" s="184"/>
      <c r="B328" s="184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  <c r="AA328" s="184"/>
    </row>
    <row r="329">
      <c r="A329" s="184"/>
      <c r="B329" s="184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  <c r="AA329" s="184"/>
    </row>
    <row r="330">
      <c r="A330" s="184"/>
      <c r="B330" s="184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  <c r="AA330" s="184"/>
    </row>
    <row r="331">
      <c r="A331" s="184"/>
      <c r="B331" s="184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  <c r="AA331" s="184"/>
    </row>
    <row r="332">
      <c r="A332" s="184"/>
      <c r="B332" s="184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  <c r="AA332" s="184"/>
    </row>
    <row r="333">
      <c r="A333" s="184"/>
      <c r="B333" s="184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  <c r="AA333" s="184"/>
    </row>
    <row r="334">
      <c r="A334" s="184"/>
      <c r="B334" s="184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  <c r="AA334" s="184"/>
    </row>
    <row r="335">
      <c r="A335" s="184"/>
      <c r="B335" s="184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  <c r="AA335" s="184"/>
    </row>
    <row r="336">
      <c r="A336" s="184"/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  <c r="AA336" s="184"/>
    </row>
    <row r="337">
      <c r="A337" s="184"/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  <c r="AA337" s="184"/>
    </row>
    <row r="338">
      <c r="A338" s="184"/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  <c r="AA338" s="184"/>
    </row>
    <row r="339">
      <c r="A339" s="184"/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  <c r="AA339" s="184"/>
    </row>
    <row r="340">
      <c r="A340" s="184"/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  <c r="AA340" s="184"/>
    </row>
    <row r="341">
      <c r="A341" s="184"/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  <c r="AA341" s="184"/>
    </row>
    <row r="342">
      <c r="A342" s="184"/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  <c r="AA342" s="184"/>
    </row>
    <row r="343">
      <c r="A343" s="184"/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  <c r="AA343" s="184"/>
    </row>
    <row r="344">
      <c r="A344" s="184"/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  <c r="AA344" s="184"/>
    </row>
    <row r="345">
      <c r="A345" s="184"/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  <c r="AA345" s="184"/>
    </row>
    <row r="346">
      <c r="A346" s="184"/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  <c r="AA346" s="184"/>
    </row>
    <row r="347">
      <c r="A347" s="184"/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  <c r="AA347" s="184"/>
    </row>
    <row r="348">
      <c r="A348" s="184"/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  <c r="AA348" s="184"/>
    </row>
    <row r="349">
      <c r="A349" s="184"/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  <c r="AA349" s="184"/>
    </row>
    <row r="350">
      <c r="A350" s="184"/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  <c r="AA350" s="184"/>
    </row>
    <row r="351">
      <c r="A351" s="184"/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  <c r="AA351" s="184"/>
    </row>
    <row r="352">
      <c r="A352" s="184"/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  <c r="AA352" s="184"/>
    </row>
    <row r="353">
      <c r="A353" s="184"/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  <c r="AA353" s="184"/>
    </row>
    <row r="354">
      <c r="A354" s="184"/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  <c r="AA354" s="184"/>
    </row>
    <row r="355">
      <c r="A355" s="184"/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  <c r="AA355" s="184"/>
    </row>
    <row r="356">
      <c r="A356" s="184"/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  <c r="AA356" s="184"/>
    </row>
    <row r="357">
      <c r="A357" s="184"/>
      <c r="B357" s="184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  <c r="AA357" s="184"/>
    </row>
    <row r="358">
      <c r="A358" s="184"/>
      <c r="B358" s="184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  <c r="AA358" s="184"/>
    </row>
    <row r="359">
      <c r="A359" s="184"/>
      <c r="B359" s="184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  <c r="AA359" s="184"/>
    </row>
    <row r="360">
      <c r="A360" s="184"/>
      <c r="B360" s="184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  <c r="AA360" s="184"/>
    </row>
    <row r="361">
      <c r="A361" s="184"/>
      <c r="B361" s="184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  <c r="AA361" s="184"/>
    </row>
    <row r="362">
      <c r="A362" s="184"/>
      <c r="B362" s="184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  <c r="AA362" s="184"/>
    </row>
    <row r="363">
      <c r="A363" s="184"/>
      <c r="B363" s="184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  <c r="AA363" s="184"/>
    </row>
    <row r="364">
      <c r="A364" s="184"/>
      <c r="B364" s="184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  <c r="AA364" s="184"/>
    </row>
    <row r="365">
      <c r="A365" s="184"/>
      <c r="B365" s="184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  <c r="AA365" s="184"/>
    </row>
    <row r="366">
      <c r="A366" s="184"/>
      <c r="B366" s="184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  <c r="AA366" s="184"/>
    </row>
    <row r="367">
      <c r="A367" s="184"/>
      <c r="B367" s="184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  <c r="AA367" s="184"/>
    </row>
    <row r="368">
      <c r="A368" s="184"/>
      <c r="B368" s="184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  <c r="AA368" s="184"/>
    </row>
    <row r="369">
      <c r="A369" s="184"/>
      <c r="B369" s="184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  <c r="AA369" s="184"/>
    </row>
    <row r="370">
      <c r="A370" s="184"/>
      <c r="B370" s="184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  <c r="AA370" s="184"/>
    </row>
    <row r="371">
      <c r="A371" s="184"/>
      <c r="B371" s="184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  <c r="AA371" s="184"/>
    </row>
    <row r="372">
      <c r="A372" s="184"/>
      <c r="B372" s="184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  <c r="AA372" s="184"/>
    </row>
    <row r="373">
      <c r="A373" s="184"/>
      <c r="B373" s="184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  <c r="AA373" s="184"/>
    </row>
    <row r="374">
      <c r="A374" s="184"/>
      <c r="B374" s="184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  <c r="AA374" s="184"/>
    </row>
    <row r="375">
      <c r="A375" s="184"/>
      <c r="B375" s="184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  <c r="AA375" s="184"/>
    </row>
    <row r="376">
      <c r="A376" s="184"/>
      <c r="B376" s="184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  <c r="AA376" s="184"/>
    </row>
    <row r="377">
      <c r="A377" s="184"/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  <c r="AA377" s="184"/>
    </row>
    <row r="378">
      <c r="A378" s="184"/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  <c r="AA378" s="184"/>
    </row>
    <row r="379">
      <c r="A379" s="184"/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  <c r="AA379" s="184"/>
    </row>
    <row r="380">
      <c r="A380" s="184"/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  <c r="AA380" s="184"/>
    </row>
    <row r="381">
      <c r="A381" s="184"/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  <c r="AA381" s="184"/>
    </row>
    <row r="382">
      <c r="A382" s="184"/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  <c r="AA382" s="184"/>
    </row>
    <row r="383">
      <c r="A383" s="184"/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  <c r="AA383" s="184"/>
    </row>
    <row r="384">
      <c r="A384" s="184"/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  <c r="AA384" s="184"/>
    </row>
    <row r="385">
      <c r="A385" s="184"/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  <c r="AA385" s="184"/>
    </row>
    <row r="386">
      <c r="A386" s="184"/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  <c r="AA386" s="184"/>
    </row>
    <row r="387">
      <c r="A387" s="184"/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  <c r="AA387" s="184"/>
    </row>
    <row r="388">
      <c r="A388" s="184"/>
      <c r="B388" s="184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  <c r="AA388" s="184"/>
    </row>
    <row r="389">
      <c r="A389" s="184"/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  <c r="AA389" s="184"/>
    </row>
    <row r="390">
      <c r="A390" s="184"/>
      <c r="B390" s="184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  <c r="AA390" s="184"/>
    </row>
    <row r="391">
      <c r="A391" s="184"/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  <c r="AA391" s="184"/>
    </row>
    <row r="392">
      <c r="A392" s="184"/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  <c r="AA392" s="184"/>
    </row>
    <row r="393">
      <c r="A393" s="184"/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  <c r="AA393" s="184"/>
    </row>
    <row r="394">
      <c r="A394" s="184"/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  <c r="AA394" s="184"/>
    </row>
    <row r="395">
      <c r="A395" s="184"/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  <c r="AA395" s="184"/>
    </row>
    <row r="396">
      <c r="A396" s="184"/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  <c r="AA396" s="184"/>
    </row>
    <row r="397">
      <c r="A397" s="184"/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  <c r="AA397" s="184"/>
    </row>
    <row r="398">
      <c r="A398" s="184"/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  <c r="AA398" s="184"/>
    </row>
    <row r="399">
      <c r="A399" s="184"/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  <c r="AA399" s="184"/>
    </row>
    <row r="400">
      <c r="A400" s="184"/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  <c r="AA400" s="184"/>
    </row>
    <row r="401">
      <c r="A401" s="184"/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  <c r="AA401" s="184"/>
    </row>
    <row r="402">
      <c r="A402" s="184"/>
      <c r="B402" s="184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  <c r="AA402" s="184"/>
    </row>
    <row r="403">
      <c r="A403" s="184"/>
      <c r="B403" s="184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  <c r="AA403" s="184"/>
    </row>
    <row r="404">
      <c r="A404" s="184"/>
      <c r="B404" s="184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  <c r="AA404" s="184"/>
    </row>
    <row r="405">
      <c r="A405" s="184"/>
      <c r="B405" s="184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  <c r="AA405" s="184"/>
    </row>
    <row r="406">
      <c r="A406" s="184"/>
      <c r="B406" s="184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  <c r="AA406" s="184"/>
    </row>
    <row r="407">
      <c r="A407" s="184"/>
      <c r="B407" s="184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  <c r="AA407" s="184"/>
    </row>
    <row r="408">
      <c r="A408" s="184"/>
      <c r="B408" s="184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  <c r="AA408" s="184"/>
    </row>
    <row r="409">
      <c r="A409" s="184"/>
      <c r="B409" s="184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  <c r="AA409" s="184"/>
    </row>
    <row r="410">
      <c r="A410" s="184"/>
      <c r="B410" s="184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  <c r="AA410" s="184"/>
    </row>
    <row r="411">
      <c r="A411" s="184"/>
      <c r="B411" s="184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  <c r="AA411" s="184"/>
    </row>
    <row r="412">
      <c r="A412" s="184"/>
      <c r="B412" s="184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  <c r="AA412" s="184"/>
    </row>
    <row r="413">
      <c r="A413" s="184"/>
      <c r="B413" s="184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  <c r="AA413" s="184"/>
    </row>
    <row r="414">
      <c r="A414" s="184"/>
      <c r="B414" s="184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  <c r="AA414" s="184"/>
    </row>
    <row r="415">
      <c r="A415" s="184"/>
      <c r="B415" s="184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  <c r="AA415" s="184"/>
    </row>
    <row r="416">
      <c r="A416" s="184"/>
      <c r="B416" s="184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  <c r="AA416" s="184"/>
    </row>
    <row r="417">
      <c r="A417" s="184"/>
      <c r="B417" s="184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  <c r="AA417" s="184"/>
    </row>
    <row r="418">
      <c r="A418" s="184"/>
      <c r="B418" s="184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  <c r="AA418" s="184"/>
    </row>
    <row r="419">
      <c r="A419" s="184"/>
      <c r="B419" s="184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  <c r="AA419" s="184"/>
    </row>
    <row r="420">
      <c r="A420" s="184"/>
      <c r="B420" s="184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  <c r="AA420" s="184"/>
    </row>
    <row r="421">
      <c r="A421" s="184"/>
      <c r="B421" s="184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  <c r="AA421" s="184"/>
    </row>
    <row r="422">
      <c r="A422" s="184"/>
      <c r="B422" s="184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  <c r="AA422" s="184"/>
    </row>
    <row r="423">
      <c r="A423" s="184"/>
      <c r="B423" s="184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  <c r="AA423" s="184"/>
    </row>
    <row r="424">
      <c r="A424" s="184"/>
      <c r="B424" s="184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  <c r="AA424" s="184"/>
    </row>
    <row r="425">
      <c r="A425" s="184"/>
      <c r="B425" s="184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  <c r="AA425" s="184"/>
    </row>
    <row r="426">
      <c r="A426" s="184"/>
      <c r="B426" s="184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  <c r="AA426" s="184"/>
    </row>
    <row r="427">
      <c r="A427" s="184"/>
      <c r="B427" s="184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  <c r="AA427" s="184"/>
    </row>
    <row r="428">
      <c r="A428" s="184"/>
      <c r="B428" s="184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  <c r="AA428" s="184"/>
    </row>
    <row r="429">
      <c r="A429" s="184"/>
      <c r="B429" s="184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  <c r="AA429" s="184"/>
    </row>
    <row r="430">
      <c r="A430" s="184"/>
      <c r="B430" s="184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  <c r="AA430" s="184"/>
    </row>
    <row r="431">
      <c r="A431" s="184"/>
      <c r="B431" s="184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  <c r="AA431" s="184"/>
    </row>
    <row r="432">
      <c r="A432" s="184"/>
      <c r="B432" s="184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  <c r="AA432" s="184"/>
    </row>
    <row r="433">
      <c r="A433" s="184"/>
      <c r="B433" s="184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  <c r="AA433" s="184"/>
    </row>
    <row r="434">
      <c r="A434" s="184"/>
      <c r="B434" s="184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  <c r="AA434" s="184"/>
    </row>
    <row r="435">
      <c r="A435" s="184"/>
      <c r="B435" s="184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  <c r="AA435" s="184"/>
    </row>
    <row r="436">
      <c r="A436" s="184"/>
      <c r="B436" s="184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  <c r="AA436" s="184"/>
    </row>
    <row r="437">
      <c r="A437" s="184"/>
      <c r="B437" s="184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  <c r="AA437" s="184"/>
    </row>
    <row r="438">
      <c r="A438" s="184"/>
      <c r="B438" s="184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  <c r="AA438" s="184"/>
    </row>
    <row r="439">
      <c r="A439" s="184"/>
      <c r="B439" s="184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  <c r="AA439" s="184"/>
    </row>
    <row r="440">
      <c r="A440" s="184"/>
      <c r="B440" s="184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  <c r="AA440" s="184"/>
    </row>
    <row r="441">
      <c r="A441" s="184"/>
      <c r="B441" s="184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  <c r="AA441" s="184"/>
    </row>
    <row r="442">
      <c r="A442" s="184"/>
      <c r="B442" s="184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  <c r="AA442" s="184"/>
    </row>
    <row r="443">
      <c r="A443" s="184"/>
      <c r="B443" s="184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  <c r="AA443" s="184"/>
    </row>
    <row r="444">
      <c r="A444" s="184"/>
      <c r="B444" s="184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  <c r="AA444" s="184"/>
    </row>
    <row r="445">
      <c r="A445" s="184"/>
      <c r="B445" s="184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  <c r="AA445" s="184"/>
    </row>
    <row r="446">
      <c r="A446" s="184"/>
      <c r="B446" s="184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  <c r="AA446" s="184"/>
    </row>
    <row r="447">
      <c r="A447" s="184"/>
      <c r="B447" s="184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  <c r="AA447" s="184"/>
    </row>
    <row r="448">
      <c r="A448" s="184"/>
      <c r="B448" s="184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  <c r="AA448" s="184"/>
    </row>
    <row r="449">
      <c r="A449" s="184"/>
      <c r="B449" s="184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  <c r="AA449" s="184"/>
    </row>
    <row r="450">
      <c r="A450" s="184"/>
      <c r="B450" s="184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  <c r="AA450" s="184"/>
    </row>
    <row r="451">
      <c r="A451" s="184"/>
      <c r="B451" s="184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  <c r="AA451" s="184"/>
    </row>
    <row r="452">
      <c r="A452" s="184"/>
      <c r="B452" s="184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  <c r="AA452" s="184"/>
    </row>
    <row r="453">
      <c r="A453" s="184"/>
      <c r="B453" s="184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  <c r="AA453" s="184"/>
    </row>
    <row r="454">
      <c r="A454" s="184"/>
      <c r="B454" s="184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  <c r="AA454" s="184"/>
    </row>
    <row r="455">
      <c r="A455" s="184"/>
      <c r="B455" s="184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  <c r="AA455" s="184"/>
    </row>
    <row r="456">
      <c r="A456" s="184"/>
      <c r="B456" s="184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  <c r="AA456" s="184"/>
    </row>
    <row r="457">
      <c r="A457" s="184"/>
      <c r="B457" s="184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  <c r="AA457" s="184"/>
    </row>
    <row r="458">
      <c r="A458" s="184"/>
      <c r="B458" s="184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  <c r="AA458" s="184"/>
    </row>
    <row r="459">
      <c r="A459" s="184"/>
      <c r="B459" s="184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  <c r="AA459" s="184"/>
    </row>
    <row r="460">
      <c r="A460" s="184"/>
      <c r="B460" s="184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  <c r="AA460" s="184"/>
    </row>
    <row r="461">
      <c r="A461" s="184"/>
      <c r="B461" s="184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  <c r="AA461" s="184"/>
    </row>
    <row r="462">
      <c r="A462" s="184"/>
      <c r="B462" s="184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  <c r="AA462" s="184"/>
    </row>
    <row r="463">
      <c r="A463" s="184"/>
      <c r="B463" s="184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  <c r="AA463" s="184"/>
    </row>
    <row r="464">
      <c r="A464" s="184"/>
      <c r="B464" s="184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  <c r="AA464" s="184"/>
    </row>
    <row r="465">
      <c r="A465" s="184"/>
      <c r="B465" s="184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  <c r="AA465" s="184"/>
    </row>
    <row r="466">
      <c r="A466" s="184"/>
      <c r="B466" s="184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  <c r="AA466" s="184"/>
    </row>
    <row r="467">
      <c r="A467" s="184"/>
      <c r="B467" s="184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  <c r="AA467" s="184"/>
    </row>
    <row r="468">
      <c r="A468" s="184"/>
      <c r="B468" s="184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  <c r="AA468" s="184"/>
    </row>
    <row r="469">
      <c r="A469" s="184"/>
      <c r="B469" s="184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  <c r="AA469" s="184"/>
    </row>
    <row r="470">
      <c r="A470" s="184"/>
      <c r="B470" s="184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  <c r="AA470" s="184"/>
    </row>
    <row r="471">
      <c r="A471" s="184"/>
      <c r="B471" s="184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  <c r="AA471" s="184"/>
    </row>
    <row r="472">
      <c r="A472" s="184"/>
      <c r="B472" s="184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  <c r="AA472" s="184"/>
    </row>
    <row r="473">
      <c r="A473" s="184"/>
      <c r="B473" s="184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  <c r="AA473" s="184"/>
    </row>
    <row r="474">
      <c r="A474" s="184"/>
      <c r="B474" s="184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  <c r="AA474" s="184"/>
    </row>
    <row r="475">
      <c r="A475" s="184"/>
      <c r="B475" s="184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  <c r="AA475" s="184"/>
    </row>
    <row r="476">
      <c r="A476" s="184"/>
      <c r="B476" s="184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  <c r="AA476" s="184"/>
    </row>
    <row r="477">
      <c r="A477" s="184"/>
      <c r="B477" s="184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  <c r="AA477" s="184"/>
    </row>
    <row r="478">
      <c r="A478" s="184"/>
      <c r="B478" s="184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  <c r="AA478" s="184"/>
    </row>
    <row r="479">
      <c r="A479" s="184"/>
      <c r="B479" s="184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  <c r="AA479" s="184"/>
    </row>
    <row r="480">
      <c r="A480" s="184"/>
      <c r="B480" s="184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  <c r="AA480" s="184"/>
    </row>
    <row r="481">
      <c r="A481" s="184"/>
      <c r="B481" s="184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  <c r="AA481" s="184"/>
    </row>
    <row r="482">
      <c r="A482" s="184"/>
      <c r="B482" s="184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  <c r="AA482" s="184"/>
    </row>
    <row r="483">
      <c r="A483" s="184"/>
      <c r="B483" s="184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  <c r="AA483" s="184"/>
    </row>
    <row r="484">
      <c r="A484" s="184"/>
      <c r="B484" s="184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  <c r="AA484" s="184"/>
    </row>
    <row r="485">
      <c r="A485" s="184"/>
      <c r="B485" s="184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  <c r="Y485" s="184"/>
      <c r="Z485" s="184"/>
      <c r="AA485" s="184"/>
    </row>
    <row r="486">
      <c r="A486" s="184"/>
      <c r="B486" s="184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  <c r="Y486" s="184"/>
      <c r="Z486" s="184"/>
      <c r="AA486" s="184"/>
    </row>
    <row r="487">
      <c r="A487" s="184"/>
      <c r="B487" s="184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  <c r="Y487" s="184"/>
      <c r="Z487" s="184"/>
      <c r="AA487" s="184"/>
    </row>
    <row r="488">
      <c r="A488" s="184"/>
      <c r="B488" s="184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  <c r="Y488" s="184"/>
      <c r="Z488" s="184"/>
      <c r="AA488" s="184"/>
    </row>
    <row r="489">
      <c r="A489" s="184"/>
      <c r="B489" s="184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  <c r="Y489" s="184"/>
      <c r="Z489" s="184"/>
      <c r="AA489" s="184"/>
    </row>
    <row r="490">
      <c r="A490" s="184"/>
      <c r="B490" s="184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  <c r="Y490" s="184"/>
      <c r="Z490" s="184"/>
      <c r="AA490" s="184"/>
    </row>
    <row r="491">
      <c r="A491" s="184"/>
      <c r="B491" s="184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  <c r="Y491" s="184"/>
      <c r="Z491" s="184"/>
      <c r="AA491" s="184"/>
    </row>
    <row r="492">
      <c r="A492" s="184"/>
      <c r="B492" s="184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  <c r="Y492" s="184"/>
      <c r="Z492" s="184"/>
      <c r="AA492" s="184"/>
    </row>
    <row r="493">
      <c r="A493" s="184"/>
      <c r="B493" s="184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  <c r="Y493" s="184"/>
      <c r="Z493" s="184"/>
      <c r="AA493" s="184"/>
    </row>
    <row r="494">
      <c r="A494" s="184"/>
      <c r="B494" s="184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  <c r="Y494" s="184"/>
      <c r="Z494" s="184"/>
      <c r="AA494" s="184"/>
    </row>
    <row r="495">
      <c r="A495" s="184"/>
      <c r="B495" s="184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  <c r="Y495" s="184"/>
      <c r="Z495" s="184"/>
      <c r="AA495" s="184"/>
    </row>
    <row r="496">
      <c r="A496" s="184"/>
      <c r="B496" s="184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  <c r="Y496" s="184"/>
      <c r="Z496" s="184"/>
      <c r="AA496" s="184"/>
    </row>
    <row r="497">
      <c r="A497" s="184"/>
      <c r="B497" s="184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  <c r="Y497" s="184"/>
      <c r="Z497" s="184"/>
      <c r="AA497" s="184"/>
    </row>
    <row r="498">
      <c r="A498" s="184"/>
      <c r="B498" s="184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  <c r="Y498" s="184"/>
      <c r="Z498" s="184"/>
      <c r="AA498" s="184"/>
    </row>
    <row r="499">
      <c r="A499" s="184"/>
      <c r="B499" s="184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  <c r="Y499" s="184"/>
      <c r="Z499" s="184"/>
      <c r="AA499" s="184"/>
    </row>
    <row r="500">
      <c r="A500" s="184"/>
      <c r="B500" s="184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  <c r="Y500" s="184"/>
      <c r="Z500" s="184"/>
      <c r="AA500" s="184"/>
    </row>
    <row r="501">
      <c r="A501" s="184"/>
      <c r="B501" s="184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  <c r="Y501" s="184"/>
      <c r="Z501" s="184"/>
      <c r="AA501" s="184"/>
    </row>
    <row r="502">
      <c r="A502" s="184"/>
      <c r="B502" s="184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  <c r="AA502" s="184"/>
    </row>
    <row r="503">
      <c r="A503" s="184"/>
      <c r="B503" s="184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  <c r="Y503" s="184"/>
      <c r="Z503" s="184"/>
      <c r="AA503" s="184"/>
    </row>
    <row r="504">
      <c r="A504" s="184"/>
      <c r="B504" s="184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  <c r="Y504" s="184"/>
      <c r="Z504" s="184"/>
      <c r="AA504" s="184"/>
    </row>
    <row r="505">
      <c r="A505" s="184"/>
      <c r="B505" s="184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  <c r="Y505" s="184"/>
      <c r="Z505" s="184"/>
      <c r="AA505" s="184"/>
    </row>
    <row r="506">
      <c r="A506" s="184"/>
      <c r="B506" s="184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  <c r="Y506" s="184"/>
      <c r="Z506" s="184"/>
      <c r="AA506" s="184"/>
    </row>
    <row r="507">
      <c r="A507" s="184"/>
      <c r="B507" s="184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  <c r="Y507" s="184"/>
      <c r="Z507" s="184"/>
      <c r="AA507" s="184"/>
    </row>
    <row r="508">
      <c r="A508" s="184"/>
      <c r="B508" s="184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  <c r="Y508" s="184"/>
      <c r="Z508" s="184"/>
      <c r="AA508" s="184"/>
    </row>
    <row r="509">
      <c r="A509" s="184"/>
      <c r="B509" s="184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  <c r="Y509" s="184"/>
      <c r="Z509" s="184"/>
      <c r="AA509" s="184"/>
    </row>
    <row r="510">
      <c r="A510" s="184"/>
      <c r="B510" s="184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  <c r="Y510" s="184"/>
      <c r="Z510" s="184"/>
      <c r="AA510" s="184"/>
    </row>
    <row r="511">
      <c r="A511" s="184"/>
      <c r="B511" s="184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  <c r="Y511" s="184"/>
      <c r="Z511" s="184"/>
      <c r="AA511" s="184"/>
    </row>
    <row r="512">
      <c r="A512" s="184"/>
      <c r="B512" s="184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  <c r="Y512" s="184"/>
      <c r="Z512" s="184"/>
      <c r="AA512" s="184"/>
    </row>
    <row r="513">
      <c r="A513" s="184"/>
      <c r="B513" s="184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  <c r="Y513" s="184"/>
      <c r="Z513" s="184"/>
      <c r="AA513" s="184"/>
    </row>
    <row r="514">
      <c r="A514" s="184"/>
      <c r="B514" s="184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  <c r="Y514" s="184"/>
      <c r="Z514" s="184"/>
      <c r="AA514" s="184"/>
    </row>
    <row r="515">
      <c r="A515" s="184"/>
      <c r="B515" s="184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  <c r="Y515" s="184"/>
      <c r="Z515" s="184"/>
      <c r="AA515" s="184"/>
    </row>
    <row r="516">
      <c r="A516" s="184"/>
      <c r="B516" s="184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  <c r="Y516" s="184"/>
      <c r="Z516" s="184"/>
      <c r="AA516" s="184"/>
    </row>
    <row r="517">
      <c r="A517" s="184"/>
      <c r="B517" s="184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  <c r="AA517" s="184"/>
    </row>
    <row r="518">
      <c r="A518" s="184"/>
      <c r="B518" s="184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  <c r="Y518" s="184"/>
      <c r="Z518" s="184"/>
      <c r="AA518" s="184"/>
    </row>
    <row r="519">
      <c r="A519" s="184"/>
      <c r="B519" s="184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  <c r="AA519" s="184"/>
    </row>
    <row r="520">
      <c r="A520" s="184"/>
      <c r="B520" s="184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  <c r="Y520" s="184"/>
      <c r="Z520" s="184"/>
      <c r="AA520" s="184"/>
    </row>
    <row r="521">
      <c r="A521" s="184"/>
      <c r="B521" s="184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  <c r="Y521" s="184"/>
      <c r="Z521" s="184"/>
      <c r="AA521" s="184"/>
    </row>
    <row r="522">
      <c r="A522" s="184"/>
      <c r="B522" s="184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  <c r="AA522" s="184"/>
    </row>
    <row r="523">
      <c r="A523" s="184"/>
      <c r="B523" s="184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  <c r="AA523" s="184"/>
    </row>
    <row r="524">
      <c r="A524" s="184"/>
      <c r="B524" s="184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  <c r="AA524" s="184"/>
    </row>
    <row r="525">
      <c r="A525" s="184"/>
      <c r="B525" s="184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  <c r="AA525" s="184"/>
    </row>
    <row r="526">
      <c r="A526" s="184"/>
      <c r="B526" s="184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  <c r="Y526" s="184"/>
      <c r="Z526" s="184"/>
      <c r="AA526" s="184"/>
    </row>
    <row r="527">
      <c r="A527" s="184"/>
      <c r="B527" s="184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  <c r="Y527" s="184"/>
      <c r="Z527" s="184"/>
      <c r="AA527" s="184"/>
    </row>
    <row r="528">
      <c r="A528" s="184"/>
      <c r="B528" s="184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  <c r="Y528" s="184"/>
      <c r="Z528" s="184"/>
      <c r="AA528" s="184"/>
    </row>
    <row r="529">
      <c r="A529" s="184"/>
      <c r="B529" s="184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  <c r="AA529" s="184"/>
    </row>
    <row r="530">
      <c r="A530" s="184"/>
      <c r="B530" s="184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  <c r="Y530" s="184"/>
      <c r="Z530" s="184"/>
      <c r="AA530" s="184"/>
    </row>
    <row r="531">
      <c r="A531" s="184"/>
      <c r="B531" s="184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  <c r="AA531" s="184"/>
    </row>
    <row r="532">
      <c r="A532" s="184"/>
      <c r="B532" s="184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  <c r="AA532" s="184"/>
    </row>
    <row r="533">
      <c r="A533" s="184"/>
      <c r="B533" s="184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  <c r="AA533" s="184"/>
    </row>
    <row r="534">
      <c r="A534" s="184"/>
      <c r="B534" s="184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  <c r="Y534" s="184"/>
      <c r="Z534" s="184"/>
      <c r="AA534" s="184"/>
    </row>
    <row r="535">
      <c r="A535" s="184"/>
      <c r="B535" s="184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  <c r="AA535" s="184"/>
    </row>
    <row r="536">
      <c r="A536" s="184"/>
      <c r="B536" s="184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  <c r="Y536" s="184"/>
      <c r="Z536" s="184"/>
      <c r="AA536" s="184"/>
    </row>
    <row r="537">
      <c r="A537" s="184"/>
      <c r="B537" s="184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  <c r="Y537" s="184"/>
      <c r="Z537" s="184"/>
      <c r="AA537" s="184"/>
    </row>
    <row r="538">
      <c r="A538" s="184"/>
      <c r="B538" s="184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  <c r="AA538" s="184"/>
    </row>
    <row r="539">
      <c r="A539" s="184"/>
      <c r="B539" s="184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  <c r="AA539" s="184"/>
    </row>
    <row r="540">
      <c r="A540" s="184"/>
      <c r="B540" s="184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  <c r="AA540" s="184"/>
    </row>
    <row r="541">
      <c r="A541" s="184"/>
      <c r="B541" s="184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  <c r="Y541" s="184"/>
      <c r="Z541" s="184"/>
      <c r="AA541" s="184"/>
    </row>
    <row r="542">
      <c r="A542" s="184"/>
      <c r="B542" s="184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  <c r="AA542" s="184"/>
    </row>
    <row r="543">
      <c r="A543" s="184"/>
      <c r="B543" s="184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  <c r="Y543" s="184"/>
      <c r="Z543" s="184"/>
      <c r="AA543" s="184"/>
    </row>
    <row r="544">
      <c r="A544" s="184"/>
      <c r="B544" s="184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  <c r="Y544" s="184"/>
      <c r="Z544" s="184"/>
      <c r="AA544" s="184"/>
    </row>
    <row r="545">
      <c r="A545" s="184"/>
      <c r="B545" s="184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  <c r="AA545" s="184"/>
    </row>
    <row r="546">
      <c r="A546" s="184"/>
      <c r="B546" s="184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  <c r="AA546" s="184"/>
    </row>
    <row r="547">
      <c r="A547" s="184"/>
      <c r="B547" s="184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  <c r="AA547" s="184"/>
    </row>
    <row r="548">
      <c r="A548" s="184"/>
      <c r="B548" s="184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  <c r="Y548" s="184"/>
      <c r="Z548" s="184"/>
      <c r="AA548" s="184"/>
    </row>
    <row r="549">
      <c r="A549" s="184"/>
      <c r="B549" s="184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  <c r="Y549" s="184"/>
      <c r="Z549" s="184"/>
      <c r="AA549" s="184"/>
    </row>
    <row r="550">
      <c r="A550" s="184"/>
      <c r="B550" s="184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  <c r="AA550" s="184"/>
    </row>
    <row r="551">
      <c r="A551" s="184"/>
      <c r="B551" s="184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  <c r="Y551" s="184"/>
      <c r="Z551" s="184"/>
      <c r="AA551" s="184"/>
    </row>
    <row r="552">
      <c r="A552" s="184"/>
      <c r="B552" s="184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  <c r="AA552" s="184"/>
    </row>
    <row r="553">
      <c r="A553" s="184"/>
      <c r="B553" s="184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  <c r="Y553" s="184"/>
      <c r="Z553" s="184"/>
      <c r="AA553" s="184"/>
    </row>
    <row r="554">
      <c r="A554" s="184"/>
      <c r="B554" s="184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  <c r="AA554" s="184"/>
    </row>
    <row r="555">
      <c r="A555" s="184"/>
      <c r="B555" s="184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  <c r="AA555" s="184"/>
    </row>
    <row r="556">
      <c r="A556" s="184"/>
      <c r="B556" s="184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  <c r="AA556" s="184"/>
    </row>
    <row r="557">
      <c r="A557" s="184"/>
      <c r="B557" s="184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  <c r="Y557" s="184"/>
      <c r="Z557" s="184"/>
      <c r="AA557" s="184"/>
    </row>
    <row r="558">
      <c r="A558" s="184"/>
      <c r="B558" s="184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  <c r="Y558" s="184"/>
      <c r="Z558" s="184"/>
      <c r="AA558" s="184"/>
    </row>
    <row r="559">
      <c r="A559" s="184"/>
      <c r="B559" s="184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  <c r="AA559" s="184"/>
    </row>
    <row r="560">
      <c r="A560" s="184"/>
      <c r="B560" s="184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  <c r="AA560" s="184"/>
    </row>
    <row r="561">
      <c r="A561" s="184"/>
      <c r="B561" s="184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  <c r="Y561" s="184"/>
      <c r="Z561" s="184"/>
      <c r="AA561" s="184"/>
    </row>
    <row r="562">
      <c r="A562" s="184"/>
      <c r="B562" s="184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  <c r="AA562" s="184"/>
    </row>
    <row r="563">
      <c r="A563" s="184"/>
      <c r="B563" s="184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  <c r="AA563" s="184"/>
    </row>
    <row r="564">
      <c r="A564" s="184"/>
      <c r="B564" s="184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  <c r="AA564" s="184"/>
    </row>
    <row r="565">
      <c r="A565" s="184"/>
      <c r="B565" s="184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  <c r="AA565" s="184"/>
    </row>
    <row r="566">
      <c r="A566" s="184"/>
      <c r="B566" s="184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  <c r="AA566" s="184"/>
    </row>
    <row r="567">
      <c r="A567" s="184"/>
      <c r="B567" s="184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  <c r="AA567" s="184"/>
    </row>
    <row r="568">
      <c r="A568" s="184"/>
      <c r="B568" s="184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  <c r="AA568" s="184"/>
    </row>
    <row r="569">
      <c r="A569" s="184"/>
      <c r="B569" s="184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  <c r="AA569" s="184"/>
    </row>
    <row r="570">
      <c r="A570" s="184"/>
      <c r="B570" s="184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  <c r="AA570" s="184"/>
    </row>
    <row r="571">
      <c r="A571" s="184"/>
      <c r="B571" s="184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  <c r="AA571" s="184"/>
    </row>
    <row r="572">
      <c r="A572" s="184"/>
      <c r="B572" s="184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  <c r="AA572" s="184"/>
    </row>
    <row r="573">
      <c r="A573" s="184"/>
      <c r="B573" s="184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  <c r="AA573" s="184"/>
    </row>
    <row r="574">
      <c r="A574" s="184"/>
      <c r="B574" s="184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  <c r="AA574" s="184"/>
    </row>
    <row r="575">
      <c r="A575" s="184"/>
      <c r="B575" s="184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  <c r="AA575" s="184"/>
    </row>
    <row r="576">
      <c r="A576" s="184"/>
      <c r="B576" s="184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  <c r="AA576" s="184"/>
    </row>
    <row r="577">
      <c r="A577" s="184"/>
      <c r="B577" s="184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  <c r="Y577" s="184"/>
      <c r="Z577" s="184"/>
      <c r="AA577" s="184"/>
    </row>
    <row r="578">
      <c r="A578" s="184"/>
      <c r="B578" s="184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  <c r="AA578" s="184"/>
    </row>
    <row r="579">
      <c r="A579" s="184"/>
      <c r="B579" s="184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  <c r="AA579" s="184"/>
    </row>
    <row r="580">
      <c r="A580" s="184"/>
      <c r="B580" s="184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  <c r="AA580" s="184"/>
    </row>
    <row r="581">
      <c r="A581" s="184"/>
      <c r="B581" s="184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  <c r="AA581" s="184"/>
    </row>
    <row r="582">
      <c r="A582" s="184"/>
      <c r="B582" s="184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  <c r="AA582" s="184"/>
    </row>
    <row r="583">
      <c r="A583" s="184"/>
      <c r="B583" s="184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  <c r="AA583" s="184"/>
    </row>
    <row r="584">
      <c r="A584" s="184"/>
      <c r="B584" s="184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  <c r="AA584" s="184"/>
    </row>
    <row r="585">
      <c r="A585" s="184"/>
      <c r="B585" s="184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  <c r="AA585" s="184"/>
    </row>
    <row r="586">
      <c r="A586" s="184"/>
      <c r="B586" s="184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  <c r="AA586" s="184"/>
    </row>
    <row r="587">
      <c r="A587" s="184"/>
      <c r="B587" s="184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  <c r="Y587" s="184"/>
      <c r="Z587" s="184"/>
      <c r="AA587" s="184"/>
    </row>
    <row r="588">
      <c r="A588" s="184"/>
      <c r="B588" s="184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  <c r="AA588" s="184"/>
    </row>
    <row r="589">
      <c r="A589" s="184"/>
      <c r="B589" s="184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  <c r="AA589" s="184"/>
    </row>
    <row r="590">
      <c r="A590" s="184"/>
      <c r="B590" s="184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  <c r="Y590" s="184"/>
      <c r="Z590" s="184"/>
      <c r="AA590" s="184"/>
    </row>
    <row r="591">
      <c r="A591" s="184"/>
      <c r="B591" s="184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  <c r="AA591" s="184"/>
    </row>
    <row r="592">
      <c r="A592" s="184"/>
      <c r="B592" s="184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  <c r="AA592" s="184"/>
    </row>
    <row r="593">
      <c r="A593" s="184"/>
      <c r="B593" s="184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  <c r="AA593" s="184"/>
    </row>
    <row r="594">
      <c r="A594" s="184"/>
      <c r="B594" s="184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  <c r="Y594" s="184"/>
      <c r="Z594" s="184"/>
      <c r="AA594" s="184"/>
    </row>
    <row r="595">
      <c r="A595" s="184"/>
      <c r="B595" s="184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  <c r="Y595" s="184"/>
      <c r="Z595" s="184"/>
      <c r="AA595" s="184"/>
    </row>
    <row r="596">
      <c r="A596" s="184"/>
      <c r="B596" s="184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  <c r="Y596" s="184"/>
      <c r="Z596" s="184"/>
      <c r="AA596" s="184"/>
    </row>
    <row r="597">
      <c r="A597" s="184"/>
      <c r="B597" s="184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  <c r="Y597" s="184"/>
      <c r="Z597" s="184"/>
      <c r="AA597" s="184"/>
    </row>
    <row r="598">
      <c r="A598" s="184"/>
      <c r="B598" s="184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  <c r="Y598" s="184"/>
      <c r="Z598" s="184"/>
      <c r="AA598" s="184"/>
    </row>
    <row r="599">
      <c r="A599" s="184"/>
      <c r="B599" s="184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  <c r="AA599" s="184"/>
    </row>
    <row r="600">
      <c r="A600" s="184"/>
      <c r="B600" s="184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  <c r="AA600" s="184"/>
    </row>
    <row r="601">
      <c r="A601" s="184"/>
      <c r="B601" s="184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  <c r="AA601" s="184"/>
    </row>
    <row r="602">
      <c r="A602" s="184"/>
      <c r="B602" s="184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  <c r="Y602" s="184"/>
      <c r="Z602" s="184"/>
      <c r="AA602" s="184"/>
    </row>
    <row r="603">
      <c r="A603" s="184"/>
      <c r="B603" s="184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  <c r="AA603" s="184"/>
    </row>
    <row r="604">
      <c r="A604" s="184"/>
      <c r="B604" s="184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  <c r="AA604" s="184"/>
    </row>
    <row r="605">
      <c r="A605" s="184"/>
      <c r="B605" s="184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  <c r="AA605" s="184"/>
    </row>
    <row r="606">
      <c r="A606" s="184"/>
      <c r="B606" s="184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  <c r="AA606" s="184"/>
    </row>
    <row r="607">
      <c r="A607" s="184"/>
      <c r="B607" s="184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  <c r="AA607" s="184"/>
    </row>
    <row r="608">
      <c r="A608" s="184"/>
      <c r="B608" s="184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  <c r="Y608" s="184"/>
      <c r="Z608" s="184"/>
      <c r="AA608" s="184"/>
    </row>
    <row r="609">
      <c r="A609" s="184"/>
      <c r="B609" s="184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  <c r="AA609" s="184"/>
    </row>
    <row r="610">
      <c r="A610" s="184"/>
      <c r="B610" s="184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  <c r="AA610" s="184"/>
    </row>
    <row r="611">
      <c r="A611" s="184"/>
      <c r="B611" s="184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  <c r="Y611" s="184"/>
      <c r="Z611" s="184"/>
      <c r="AA611" s="184"/>
    </row>
    <row r="612">
      <c r="A612" s="184"/>
      <c r="B612" s="184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  <c r="AA612" s="184"/>
    </row>
    <row r="613">
      <c r="A613" s="184"/>
      <c r="B613" s="184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  <c r="AA613" s="184"/>
    </row>
    <row r="614">
      <c r="A614" s="184"/>
      <c r="B614" s="184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  <c r="AA614" s="184"/>
    </row>
    <row r="615">
      <c r="A615" s="184"/>
      <c r="B615" s="184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  <c r="AA615" s="184"/>
    </row>
    <row r="616">
      <c r="A616" s="184"/>
      <c r="B616" s="184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  <c r="AA616" s="184"/>
    </row>
    <row r="617">
      <c r="A617" s="184"/>
      <c r="B617" s="184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  <c r="AA617" s="184"/>
    </row>
    <row r="618">
      <c r="A618" s="184"/>
      <c r="B618" s="184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  <c r="AA618" s="184"/>
    </row>
    <row r="619">
      <c r="A619" s="184"/>
      <c r="B619" s="184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  <c r="AA619" s="184"/>
    </row>
    <row r="620">
      <c r="A620" s="184"/>
      <c r="B620" s="184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  <c r="AA620" s="184"/>
    </row>
    <row r="621">
      <c r="A621" s="184"/>
      <c r="B621" s="184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  <c r="AA621" s="184"/>
    </row>
    <row r="622">
      <c r="A622" s="184"/>
      <c r="B622" s="184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  <c r="AA622" s="184"/>
    </row>
    <row r="623">
      <c r="A623" s="184"/>
      <c r="B623" s="184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  <c r="AA623" s="184"/>
    </row>
    <row r="624">
      <c r="A624" s="184"/>
      <c r="B624" s="184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  <c r="AA624" s="184"/>
    </row>
    <row r="625">
      <c r="A625" s="184"/>
      <c r="B625" s="184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  <c r="AA625" s="184"/>
    </row>
    <row r="626">
      <c r="A626" s="184"/>
      <c r="B626" s="184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  <c r="AA626" s="184"/>
    </row>
    <row r="627">
      <c r="A627" s="184"/>
      <c r="B627" s="184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  <c r="AA627" s="184"/>
    </row>
    <row r="628">
      <c r="A628" s="184"/>
      <c r="B628" s="184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  <c r="AA628" s="184"/>
    </row>
    <row r="629">
      <c r="A629" s="184"/>
      <c r="B629" s="184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  <c r="AA629" s="184"/>
    </row>
    <row r="630">
      <c r="A630" s="184"/>
      <c r="B630" s="184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  <c r="Y630" s="184"/>
      <c r="Z630" s="184"/>
      <c r="AA630" s="184"/>
    </row>
    <row r="631">
      <c r="A631" s="184"/>
      <c r="B631" s="184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  <c r="Y631" s="184"/>
      <c r="Z631" s="184"/>
      <c r="AA631" s="184"/>
    </row>
    <row r="632">
      <c r="A632" s="184"/>
      <c r="B632" s="184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  <c r="AA632" s="184"/>
    </row>
    <row r="633">
      <c r="A633" s="184"/>
      <c r="B633" s="184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  <c r="Y633" s="184"/>
      <c r="Z633" s="184"/>
      <c r="AA633" s="184"/>
    </row>
    <row r="634">
      <c r="A634" s="184"/>
      <c r="B634" s="184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  <c r="Y634" s="184"/>
      <c r="Z634" s="184"/>
      <c r="AA634" s="184"/>
    </row>
    <row r="635">
      <c r="A635" s="184"/>
      <c r="B635" s="184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  <c r="Y635" s="184"/>
      <c r="Z635" s="184"/>
      <c r="AA635" s="184"/>
    </row>
    <row r="636">
      <c r="A636" s="184"/>
      <c r="B636" s="184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  <c r="Y636" s="184"/>
      <c r="Z636" s="184"/>
      <c r="AA636" s="184"/>
    </row>
    <row r="637">
      <c r="A637" s="184"/>
      <c r="B637" s="184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  <c r="Y637" s="184"/>
      <c r="Z637" s="184"/>
      <c r="AA637" s="184"/>
    </row>
    <row r="638">
      <c r="A638" s="184"/>
      <c r="B638" s="184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  <c r="Y638" s="184"/>
      <c r="Z638" s="184"/>
      <c r="AA638" s="184"/>
    </row>
    <row r="639">
      <c r="A639" s="184"/>
      <c r="B639" s="184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  <c r="Y639" s="184"/>
      <c r="Z639" s="184"/>
      <c r="AA639" s="184"/>
    </row>
    <row r="640">
      <c r="A640" s="184"/>
      <c r="B640" s="184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  <c r="Y640" s="184"/>
      <c r="Z640" s="184"/>
      <c r="AA640" s="184"/>
    </row>
    <row r="641">
      <c r="A641" s="184"/>
      <c r="B641" s="184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  <c r="Y641" s="184"/>
      <c r="Z641" s="184"/>
      <c r="AA641" s="184"/>
    </row>
    <row r="642">
      <c r="A642" s="184"/>
      <c r="B642" s="184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  <c r="Y642" s="184"/>
      <c r="Z642" s="184"/>
      <c r="AA642" s="184"/>
    </row>
    <row r="643">
      <c r="A643" s="184"/>
      <c r="B643" s="184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  <c r="Y643" s="184"/>
      <c r="Z643" s="184"/>
      <c r="AA643" s="184"/>
    </row>
    <row r="644">
      <c r="A644" s="184"/>
      <c r="B644" s="184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  <c r="AA644" s="184"/>
    </row>
    <row r="645">
      <c r="A645" s="184"/>
      <c r="B645" s="184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  <c r="AA645" s="184"/>
    </row>
    <row r="646">
      <c r="A646" s="184"/>
      <c r="B646" s="184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  <c r="AA646" s="184"/>
    </row>
    <row r="647">
      <c r="A647" s="184"/>
      <c r="B647" s="184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  <c r="AA647" s="184"/>
    </row>
    <row r="648">
      <c r="A648" s="184"/>
      <c r="B648" s="184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  <c r="AA648" s="184"/>
    </row>
    <row r="649">
      <c r="A649" s="184"/>
      <c r="B649" s="184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  <c r="AA649" s="184"/>
    </row>
    <row r="650">
      <c r="A650" s="184"/>
      <c r="B650" s="184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  <c r="AA650" s="184"/>
    </row>
    <row r="651">
      <c r="A651" s="184"/>
      <c r="B651" s="184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  <c r="AA651" s="184"/>
    </row>
    <row r="652">
      <c r="A652" s="184"/>
      <c r="B652" s="184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  <c r="AA652" s="184"/>
    </row>
    <row r="653">
      <c r="A653" s="184"/>
      <c r="B653" s="184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  <c r="AA653" s="184"/>
    </row>
    <row r="654">
      <c r="A654" s="184"/>
      <c r="B654" s="184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  <c r="AA654" s="184"/>
    </row>
    <row r="655">
      <c r="A655" s="184"/>
      <c r="B655" s="184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  <c r="AA655" s="184"/>
    </row>
    <row r="656">
      <c r="A656" s="184"/>
      <c r="B656" s="184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  <c r="AA656" s="184"/>
    </row>
    <row r="657">
      <c r="A657" s="184"/>
      <c r="B657" s="184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  <c r="AA657" s="184"/>
    </row>
    <row r="658">
      <c r="A658" s="184"/>
      <c r="B658" s="184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  <c r="AA658" s="184"/>
    </row>
    <row r="659">
      <c r="A659" s="184"/>
      <c r="B659" s="184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  <c r="AA659" s="184"/>
    </row>
    <row r="660">
      <c r="A660" s="184"/>
      <c r="B660" s="184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  <c r="AA660" s="184"/>
    </row>
    <row r="661">
      <c r="A661" s="184"/>
      <c r="B661" s="184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  <c r="AA661" s="184"/>
    </row>
    <row r="662">
      <c r="A662" s="184"/>
      <c r="B662" s="184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  <c r="AA662" s="184"/>
    </row>
    <row r="663">
      <c r="A663" s="184"/>
      <c r="B663" s="184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  <c r="AA663" s="184"/>
    </row>
    <row r="664">
      <c r="A664" s="184"/>
      <c r="B664" s="184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  <c r="AA664" s="184"/>
    </row>
    <row r="665">
      <c r="A665" s="184"/>
      <c r="B665" s="184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  <c r="AA665" s="184"/>
    </row>
    <row r="666">
      <c r="A666" s="184"/>
      <c r="B666" s="184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  <c r="AA666" s="184"/>
    </row>
    <row r="667">
      <c r="A667" s="184"/>
      <c r="B667" s="184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  <c r="AA667" s="184"/>
    </row>
    <row r="668">
      <c r="A668" s="184"/>
      <c r="B668" s="184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  <c r="AA668" s="184"/>
    </row>
    <row r="669">
      <c r="A669" s="184"/>
      <c r="B669" s="184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  <c r="AA669" s="184"/>
    </row>
    <row r="670">
      <c r="A670" s="184"/>
      <c r="B670" s="184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  <c r="AA670" s="184"/>
    </row>
    <row r="671">
      <c r="A671" s="184"/>
      <c r="B671" s="184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  <c r="AA671" s="184"/>
    </row>
    <row r="672">
      <c r="A672" s="184"/>
      <c r="B672" s="184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  <c r="AA672" s="184"/>
    </row>
    <row r="673">
      <c r="A673" s="184"/>
      <c r="B673" s="184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  <c r="AA673" s="184"/>
    </row>
    <row r="674">
      <c r="A674" s="184"/>
      <c r="B674" s="184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  <c r="AA674" s="184"/>
    </row>
    <row r="675">
      <c r="A675" s="184"/>
      <c r="B675" s="184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  <c r="AA675" s="184"/>
    </row>
    <row r="676">
      <c r="A676" s="184"/>
      <c r="B676" s="184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  <c r="AA676" s="184"/>
    </row>
    <row r="677">
      <c r="A677" s="184"/>
      <c r="B677" s="184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  <c r="AA677" s="184"/>
    </row>
    <row r="678">
      <c r="A678" s="184"/>
      <c r="B678" s="184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  <c r="AA678" s="184"/>
    </row>
    <row r="679">
      <c r="A679" s="184"/>
      <c r="B679" s="184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  <c r="AA679" s="184"/>
    </row>
    <row r="680">
      <c r="A680" s="184"/>
      <c r="B680" s="184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  <c r="AA680" s="184"/>
    </row>
    <row r="681">
      <c r="A681" s="184"/>
      <c r="B681" s="184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  <c r="AA681" s="184"/>
    </row>
    <row r="682">
      <c r="A682" s="184"/>
      <c r="B682" s="184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  <c r="AA682" s="184"/>
    </row>
    <row r="683">
      <c r="A683" s="184"/>
      <c r="B683" s="184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  <c r="AA683" s="184"/>
    </row>
    <row r="684">
      <c r="A684" s="184"/>
      <c r="B684" s="184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  <c r="AA684" s="184"/>
    </row>
    <row r="685">
      <c r="A685" s="184"/>
      <c r="B685" s="184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  <c r="AA685" s="184"/>
    </row>
    <row r="686">
      <c r="A686" s="184"/>
      <c r="B686" s="184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  <c r="AA686" s="184"/>
    </row>
    <row r="687">
      <c r="A687" s="184"/>
      <c r="B687" s="184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  <c r="AA687" s="184"/>
    </row>
    <row r="688">
      <c r="A688" s="184"/>
      <c r="B688" s="184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  <c r="AA688" s="184"/>
    </row>
    <row r="689">
      <c r="A689" s="184"/>
      <c r="B689" s="184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  <c r="AA689" s="184"/>
    </row>
    <row r="690">
      <c r="A690" s="184"/>
      <c r="B690" s="184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  <c r="AA690" s="184"/>
    </row>
    <row r="691">
      <c r="A691" s="184"/>
      <c r="B691" s="184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  <c r="AA691" s="184"/>
    </row>
    <row r="692">
      <c r="A692" s="184"/>
      <c r="B692" s="184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  <c r="AA692" s="184"/>
    </row>
    <row r="693">
      <c r="A693" s="184"/>
      <c r="B693" s="184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  <c r="AA693" s="184"/>
    </row>
    <row r="694">
      <c r="A694" s="184"/>
      <c r="B694" s="184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  <c r="AA694" s="184"/>
    </row>
    <row r="695">
      <c r="A695" s="184"/>
      <c r="B695" s="184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  <c r="AA695" s="184"/>
    </row>
    <row r="696">
      <c r="A696" s="184"/>
      <c r="B696" s="184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  <c r="AA696" s="184"/>
    </row>
    <row r="697">
      <c r="A697" s="184"/>
      <c r="B697" s="184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  <c r="AA697" s="184"/>
    </row>
    <row r="698">
      <c r="A698" s="184"/>
      <c r="B698" s="184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  <c r="AA698" s="184"/>
    </row>
    <row r="699">
      <c r="A699" s="184"/>
      <c r="B699" s="184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  <c r="AA699" s="184"/>
    </row>
    <row r="700">
      <c r="A700" s="184"/>
      <c r="B700" s="184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  <c r="AA700" s="184"/>
    </row>
    <row r="701">
      <c r="A701" s="184"/>
      <c r="B701" s="184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  <c r="AA701" s="184"/>
    </row>
    <row r="702">
      <c r="A702" s="184"/>
      <c r="B702" s="184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  <c r="AA702" s="184"/>
    </row>
    <row r="703">
      <c r="A703" s="184"/>
      <c r="B703" s="184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  <c r="AA703" s="184"/>
    </row>
    <row r="704">
      <c r="A704" s="184"/>
      <c r="B704" s="184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  <c r="AA704" s="184"/>
    </row>
    <row r="705">
      <c r="A705" s="184"/>
      <c r="B705" s="184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  <c r="AA705" s="184"/>
    </row>
    <row r="706">
      <c r="A706" s="184"/>
      <c r="B706" s="184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  <c r="AA706" s="184"/>
    </row>
    <row r="707">
      <c r="A707" s="184"/>
      <c r="B707" s="184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  <c r="AA707" s="184"/>
    </row>
    <row r="708">
      <c r="A708" s="184"/>
      <c r="B708" s="184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  <c r="AA708" s="184"/>
    </row>
    <row r="709">
      <c r="A709" s="184"/>
      <c r="B709" s="184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  <c r="AA709" s="184"/>
    </row>
    <row r="710">
      <c r="A710" s="184"/>
      <c r="B710" s="184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  <c r="AA710" s="184"/>
    </row>
    <row r="711">
      <c r="A711" s="184"/>
      <c r="B711" s="184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  <c r="AA711" s="184"/>
    </row>
    <row r="712">
      <c r="A712" s="184"/>
      <c r="B712" s="184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  <c r="AA712" s="184"/>
    </row>
    <row r="713">
      <c r="A713" s="184"/>
      <c r="B713" s="184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  <c r="AA713" s="184"/>
    </row>
    <row r="714">
      <c r="A714" s="184"/>
      <c r="B714" s="184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  <c r="AA714" s="184"/>
    </row>
    <row r="715">
      <c r="A715" s="184"/>
      <c r="B715" s="184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  <c r="AA715" s="184"/>
    </row>
    <row r="716">
      <c r="A716" s="184"/>
      <c r="B716" s="184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  <c r="AA716" s="184"/>
    </row>
    <row r="717">
      <c r="A717" s="184"/>
      <c r="B717" s="184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  <c r="AA717" s="184"/>
    </row>
    <row r="718">
      <c r="A718" s="184"/>
      <c r="B718" s="184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  <c r="AA718" s="184"/>
    </row>
    <row r="719">
      <c r="A719" s="184"/>
      <c r="B719" s="184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  <c r="AA719" s="184"/>
    </row>
    <row r="720">
      <c r="A720" s="184"/>
      <c r="B720" s="184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  <c r="AA720" s="184"/>
    </row>
    <row r="721">
      <c r="A721" s="184"/>
      <c r="B721" s="184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  <c r="AA721" s="184"/>
    </row>
    <row r="722">
      <c r="A722" s="184"/>
      <c r="B722" s="184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  <c r="AA722" s="184"/>
    </row>
    <row r="723">
      <c r="A723" s="184"/>
      <c r="B723" s="184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  <c r="AA723" s="184"/>
    </row>
    <row r="724">
      <c r="A724" s="184"/>
      <c r="B724" s="184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  <c r="AA724" s="184"/>
    </row>
    <row r="725">
      <c r="A725" s="184"/>
      <c r="B725" s="184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  <c r="AA725" s="184"/>
    </row>
    <row r="726">
      <c r="A726" s="184"/>
      <c r="B726" s="184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  <c r="AA726" s="184"/>
    </row>
    <row r="727">
      <c r="A727" s="184"/>
      <c r="B727" s="184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  <c r="AA727" s="184"/>
    </row>
    <row r="728">
      <c r="A728" s="184"/>
      <c r="B728" s="184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  <c r="AA728" s="184"/>
    </row>
    <row r="729">
      <c r="A729" s="184"/>
      <c r="B729" s="184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  <c r="AA729" s="184"/>
    </row>
    <row r="730">
      <c r="A730" s="184"/>
      <c r="B730" s="184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  <c r="AA730" s="184"/>
    </row>
    <row r="731">
      <c r="A731" s="184"/>
      <c r="B731" s="184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  <c r="AA731" s="184"/>
    </row>
    <row r="732">
      <c r="A732" s="184"/>
      <c r="B732" s="184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  <c r="AA732" s="184"/>
    </row>
    <row r="733">
      <c r="A733" s="184"/>
      <c r="B733" s="184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  <c r="AA733" s="184"/>
    </row>
    <row r="734">
      <c r="A734" s="184"/>
      <c r="B734" s="184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  <c r="AA734" s="184"/>
    </row>
    <row r="735">
      <c r="A735" s="184"/>
      <c r="B735" s="184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  <c r="AA735" s="184"/>
    </row>
    <row r="736">
      <c r="A736" s="184"/>
      <c r="B736" s="184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  <c r="AA736" s="184"/>
    </row>
    <row r="737">
      <c r="A737" s="184"/>
      <c r="B737" s="184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  <c r="AA737" s="184"/>
    </row>
    <row r="738">
      <c r="A738" s="184"/>
      <c r="B738" s="184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  <c r="AA738" s="184"/>
    </row>
    <row r="739">
      <c r="A739" s="184"/>
      <c r="B739" s="184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  <c r="AA739" s="184"/>
    </row>
    <row r="740">
      <c r="A740" s="184"/>
      <c r="B740" s="184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  <c r="AA740" s="184"/>
    </row>
    <row r="741">
      <c r="A741" s="184"/>
      <c r="B741" s="184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  <c r="AA741" s="184"/>
    </row>
    <row r="742">
      <c r="A742" s="184"/>
      <c r="B742" s="184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  <c r="AA742" s="184"/>
    </row>
    <row r="743">
      <c r="A743" s="184"/>
      <c r="B743" s="184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  <c r="AA743" s="184"/>
    </row>
    <row r="744">
      <c r="A744" s="184"/>
      <c r="B744" s="184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  <c r="AA744" s="184"/>
    </row>
    <row r="745">
      <c r="A745" s="184"/>
      <c r="B745" s="184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  <c r="AA745" s="184"/>
    </row>
    <row r="746">
      <c r="A746" s="184"/>
      <c r="B746" s="184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  <c r="AA746" s="184"/>
    </row>
    <row r="747">
      <c r="A747" s="184"/>
      <c r="B747" s="184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  <c r="AA747" s="184"/>
    </row>
    <row r="748">
      <c r="A748" s="184"/>
      <c r="B748" s="184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  <c r="AA748" s="184"/>
    </row>
    <row r="749">
      <c r="A749" s="184"/>
      <c r="B749" s="184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  <c r="AA749" s="184"/>
    </row>
    <row r="750">
      <c r="A750" s="184"/>
      <c r="B750" s="184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  <c r="AA750" s="184"/>
    </row>
    <row r="751">
      <c r="A751" s="184"/>
      <c r="B751" s="184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  <c r="AA751" s="184"/>
    </row>
    <row r="752">
      <c r="A752" s="184"/>
      <c r="B752" s="184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  <c r="AA752" s="184"/>
    </row>
    <row r="753">
      <c r="A753" s="184"/>
      <c r="B753" s="184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  <c r="AA753" s="184"/>
    </row>
    <row r="754">
      <c r="A754" s="184"/>
      <c r="B754" s="184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  <c r="AA754" s="184"/>
    </row>
    <row r="755">
      <c r="A755" s="184"/>
      <c r="B755" s="184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  <c r="AA755" s="184"/>
    </row>
    <row r="756">
      <c r="A756" s="184"/>
      <c r="B756" s="184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  <c r="AA756" s="184"/>
    </row>
    <row r="757">
      <c r="A757" s="184"/>
      <c r="B757" s="184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  <c r="AA757" s="184"/>
    </row>
    <row r="758">
      <c r="A758" s="184"/>
      <c r="B758" s="184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  <c r="Y758" s="184"/>
      <c r="Z758" s="184"/>
      <c r="AA758" s="184"/>
    </row>
    <row r="759">
      <c r="A759" s="184"/>
      <c r="B759" s="184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  <c r="Y759" s="184"/>
      <c r="Z759" s="184"/>
      <c r="AA759" s="184"/>
    </row>
    <row r="760">
      <c r="A760" s="184"/>
      <c r="B760" s="184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  <c r="Y760" s="184"/>
      <c r="Z760" s="184"/>
      <c r="AA760" s="184"/>
    </row>
    <row r="761">
      <c r="A761" s="184"/>
      <c r="B761" s="184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  <c r="Y761" s="184"/>
      <c r="Z761" s="184"/>
      <c r="AA761" s="184"/>
    </row>
    <row r="762">
      <c r="A762" s="184"/>
      <c r="B762" s="184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  <c r="Y762" s="184"/>
      <c r="Z762" s="184"/>
      <c r="AA762" s="184"/>
    </row>
    <row r="763">
      <c r="A763" s="184"/>
      <c r="B763" s="184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  <c r="Y763" s="184"/>
      <c r="Z763" s="184"/>
      <c r="AA763" s="184"/>
    </row>
    <row r="764">
      <c r="A764" s="184"/>
      <c r="B764" s="184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  <c r="Y764" s="184"/>
      <c r="Z764" s="184"/>
      <c r="AA764" s="184"/>
    </row>
    <row r="765">
      <c r="A765" s="184"/>
      <c r="B765" s="184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  <c r="Y765" s="184"/>
      <c r="Z765" s="184"/>
      <c r="AA765" s="184"/>
    </row>
    <row r="766">
      <c r="A766" s="184"/>
      <c r="B766" s="184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  <c r="Y766" s="184"/>
      <c r="Z766" s="184"/>
      <c r="AA766" s="184"/>
    </row>
    <row r="767">
      <c r="A767" s="184"/>
      <c r="B767" s="184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  <c r="Y767" s="184"/>
      <c r="Z767" s="184"/>
      <c r="AA767" s="184"/>
    </row>
    <row r="768">
      <c r="A768" s="184"/>
      <c r="B768" s="184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  <c r="Y768" s="184"/>
      <c r="Z768" s="184"/>
      <c r="AA768" s="184"/>
    </row>
    <row r="769">
      <c r="A769" s="184"/>
      <c r="B769" s="184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  <c r="Y769" s="184"/>
      <c r="Z769" s="184"/>
      <c r="AA769" s="184"/>
    </row>
    <row r="770">
      <c r="A770" s="184"/>
      <c r="B770" s="184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  <c r="AA770" s="184"/>
    </row>
    <row r="771">
      <c r="A771" s="184"/>
      <c r="B771" s="184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  <c r="AA771" s="184"/>
    </row>
    <row r="772">
      <c r="A772" s="184"/>
      <c r="B772" s="184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  <c r="AA772" s="184"/>
    </row>
    <row r="773">
      <c r="A773" s="184"/>
      <c r="B773" s="184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  <c r="AA773" s="184"/>
    </row>
    <row r="774">
      <c r="A774" s="184"/>
      <c r="B774" s="184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  <c r="AA774" s="184"/>
    </row>
    <row r="775">
      <c r="A775" s="184"/>
      <c r="B775" s="184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  <c r="AA775" s="184"/>
    </row>
    <row r="776">
      <c r="A776" s="184"/>
      <c r="B776" s="184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  <c r="AA776" s="184"/>
    </row>
    <row r="777">
      <c r="A777" s="184"/>
      <c r="B777" s="184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  <c r="AA777" s="184"/>
    </row>
    <row r="778">
      <c r="A778" s="184"/>
      <c r="B778" s="184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  <c r="AA778" s="184"/>
    </row>
    <row r="779">
      <c r="A779" s="184"/>
      <c r="B779" s="184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  <c r="AA779" s="184"/>
    </row>
    <row r="780">
      <c r="A780" s="184"/>
      <c r="B780" s="184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  <c r="AA780" s="184"/>
    </row>
    <row r="781">
      <c r="A781" s="184"/>
      <c r="B781" s="184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  <c r="AA781" s="184"/>
    </row>
    <row r="782">
      <c r="A782" s="184"/>
      <c r="B782" s="184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  <c r="AA782" s="184"/>
    </row>
    <row r="783">
      <c r="A783" s="184"/>
      <c r="B783" s="184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  <c r="AA783" s="184"/>
    </row>
    <row r="784">
      <c r="A784" s="184"/>
      <c r="B784" s="184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  <c r="AA784" s="184"/>
    </row>
    <row r="785">
      <c r="A785" s="184"/>
      <c r="B785" s="184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  <c r="AA785" s="184"/>
    </row>
    <row r="786">
      <c r="A786" s="184"/>
      <c r="B786" s="184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  <c r="AA786" s="184"/>
    </row>
    <row r="787">
      <c r="A787" s="184"/>
      <c r="B787" s="184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  <c r="AA787" s="184"/>
    </row>
    <row r="788">
      <c r="A788" s="184"/>
      <c r="B788" s="184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  <c r="AA788" s="184"/>
    </row>
    <row r="789">
      <c r="A789" s="184"/>
      <c r="B789" s="184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  <c r="AA789" s="184"/>
    </row>
    <row r="790">
      <c r="A790" s="184"/>
      <c r="B790" s="184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  <c r="AA790" s="184"/>
    </row>
    <row r="791">
      <c r="A791" s="184"/>
      <c r="B791" s="184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  <c r="AA791" s="184"/>
    </row>
    <row r="792">
      <c r="A792" s="184"/>
      <c r="B792" s="184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  <c r="AA792" s="184"/>
    </row>
    <row r="793">
      <c r="A793" s="184"/>
      <c r="B793" s="184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  <c r="AA793" s="184"/>
    </row>
    <row r="794">
      <c r="A794" s="184"/>
      <c r="B794" s="184"/>
      <c r="C794" s="184"/>
      <c r="D794" s="184"/>
      <c r="E794" s="184"/>
      <c r="F794" s="184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  <c r="Y794" s="184"/>
      <c r="Z794" s="184"/>
      <c r="AA794" s="184"/>
    </row>
    <row r="795">
      <c r="A795" s="184"/>
      <c r="B795" s="184"/>
      <c r="C795" s="184"/>
      <c r="D795" s="184"/>
      <c r="E795" s="184"/>
      <c r="F795" s="184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  <c r="W795" s="184"/>
      <c r="X795" s="184"/>
      <c r="Y795" s="184"/>
      <c r="Z795" s="184"/>
      <c r="AA795" s="184"/>
    </row>
    <row r="796">
      <c r="A796" s="184"/>
      <c r="B796" s="184"/>
      <c r="C796" s="184"/>
      <c r="D796" s="184"/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  <c r="Y796" s="184"/>
      <c r="Z796" s="184"/>
      <c r="AA796" s="184"/>
    </row>
    <row r="797">
      <c r="A797" s="184"/>
      <c r="B797" s="184"/>
      <c r="C797" s="184"/>
      <c r="D797" s="184"/>
      <c r="E797" s="184"/>
      <c r="F797" s="184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  <c r="W797" s="184"/>
      <c r="X797" s="184"/>
      <c r="Y797" s="184"/>
      <c r="Z797" s="184"/>
      <c r="AA797" s="184"/>
    </row>
    <row r="798">
      <c r="A798" s="184"/>
      <c r="B798" s="184"/>
      <c r="C798" s="184"/>
      <c r="D798" s="184"/>
      <c r="E798" s="184"/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  <c r="Y798" s="184"/>
      <c r="Z798" s="184"/>
      <c r="AA798" s="184"/>
    </row>
    <row r="799">
      <c r="A799" s="184"/>
      <c r="B799" s="184"/>
      <c r="C799" s="184"/>
      <c r="D799" s="184"/>
      <c r="E799" s="184"/>
      <c r="F799" s="184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  <c r="W799" s="184"/>
      <c r="X799" s="184"/>
      <c r="Y799" s="184"/>
      <c r="Z799" s="184"/>
      <c r="AA799" s="184"/>
    </row>
    <row r="800">
      <c r="A800" s="184"/>
      <c r="B800" s="184"/>
      <c r="C800" s="184"/>
      <c r="D800" s="184"/>
      <c r="E800" s="184"/>
      <c r="F800" s="184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  <c r="W800" s="184"/>
      <c r="X800" s="184"/>
      <c r="Y800" s="184"/>
      <c r="Z800" s="184"/>
      <c r="AA800" s="184"/>
    </row>
    <row r="801">
      <c r="A801" s="184"/>
      <c r="B801" s="184"/>
      <c r="C801" s="184"/>
      <c r="D801" s="184"/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  <c r="W801" s="184"/>
      <c r="X801" s="184"/>
      <c r="Y801" s="184"/>
      <c r="Z801" s="184"/>
      <c r="AA801" s="184"/>
    </row>
    <row r="802">
      <c r="A802" s="184"/>
      <c r="B802" s="184"/>
      <c r="C802" s="184"/>
      <c r="D802" s="184"/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  <c r="Y802" s="184"/>
      <c r="Z802" s="184"/>
      <c r="AA802" s="184"/>
    </row>
    <row r="803">
      <c r="A803" s="184"/>
      <c r="B803" s="184"/>
      <c r="C803" s="184"/>
      <c r="D803" s="184"/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  <c r="Y803" s="184"/>
      <c r="Z803" s="184"/>
      <c r="AA803" s="184"/>
    </row>
    <row r="804">
      <c r="A804" s="184"/>
      <c r="B804" s="184"/>
      <c r="C804" s="184"/>
      <c r="D804" s="184"/>
      <c r="E804" s="184"/>
      <c r="F804" s="184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  <c r="W804" s="184"/>
      <c r="X804" s="184"/>
      <c r="Y804" s="184"/>
      <c r="Z804" s="184"/>
      <c r="AA804" s="184"/>
    </row>
    <row r="805">
      <c r="A805" s="184"/>
      <c r="B805" s="184"/>
      <c r="C805" s="184"/>
      <c r="D805" s="184"/>
      <c r="E805" s="184"/>
      <c r="F805" s="184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  <c r="W805" s="184"/>
      <c r="X805" s="184"/>
      <c r="Y805" s="184"/>
      <c r="Z805" s="184"/>
      <c r="AA805" s="184"/>
    </row>
    <row r="806">
      <c r="A806" s="184"/>
      <c r="B806" s="184"/>
      <c r="C806" s="184"/>
      <c r="D806" s="184"/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  <c r="Y806" s="184"/>
      <c r="Z806" s="184"/>
      <c r="AA806" s="184"/>
    </row>
    <row r="807">
      <c r="A807" s="184"/>
      <c r="B807" s="184"/>
      <c r="C807" s="184"/>
      <c r="D807" s="184"/>
      <c r="E807" s="184"/>
      <c r="F807" s="184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  <c r="W807" s="184"/>
      <c r="X807" s="184"/>
      <c r="Y807" s="184"/>
      <c r="Z807" s="184"/>
      <c r="AA807" s="184"/>
    </row>
    <row r="808">
      <c r="A808" s="184"/>
      <c r="B808" s="184"/>
      <c r="C808" s="184"/>
      <c r="D808" s="184"/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  <c r="Y808" s="184"/>
      <c r="Z808" s="184"/>
      <c r="AA808" s="184"/>
    </row>
    <row r="809">
      <c r="A809" s="184"/>
      <c r="B809" s="184"/>
      <c r="C809" s="184"/>
      <c r="D809" s="184"/>
      <c r="E809" s="184"/>
      <c r="F809" s="184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  <c r="W809" s="184"/>
      <c r="X809" s="184"/>
      <c r="Y809" s="184"/>
      <c r="Z809" s="184"/>
      <c r="AA809" s="184"/>
    </row>
    <row r="810">
      <c r="A810" s="184"/>
      <c r="B810" s="184"/>
      <c r="C810" s="184"/>
      <c r="D810" s="184"/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  <c r="Y810" s="184"/>
      <c r="Z810" s="184"/>
      <c r="AA810" s="184"/>
    </row>
    <row r="811">
      <c r="A811" s="184"/>
      <c r="B811" s="184"/>
      <c r="C811" s="184"/>
      <c r="D811" s="184"/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  <c r="Y811" s="184"/>
      <c r="Z811" s="184"/>
      <c r="AA811" s="184"/>
    </row>
    <row r="812">
      <c r="A812" s="184"/>
      <c r="B812" s="184"/>
      <c r="C812" s="184"/>
      <c r="D812" s="184"/>
      <c r="E812" s="184"/>
      <c r="F812" s="184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  <c r="Y812" s="184"/>
      <c r="Z812" s="184"/>
      <c r="AA812" s="184"/>
    </row>
    <row r="813">
      <c r="A813" s="184"/>
      <c r="B813" s="184"/>
      <c r="C813" s="184"/>
      <c r="D813" s="184"/>
      <c r="E813" s="184"/>
      <c r="F813" s="184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  <c r="W813" s="184"/>
      <c r="X813" s="184"/>
      <c r="Y813" s="184"/>
      <c r="Z813" s="184"/>
      <c r="AA813" s="184"/>
    </row>
    <row r="814">
      <c r="A814" s="184"/>
      <c r="B814" s="184"/>
      <c r="C814" s="184"/>
      <c r="D814" s="184"/>
      <c r="E814" s="184"/>
      <c r="F814" s="184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  <c r="W814" s="184"/>
      <c r="X814" s="184"/>
      <c r="Y814" s="184"/>
      <c r="Z814" s="184"/>
      <c r="AA814" s="184"/>
    </row>
    <row r="815">
      <c r="A815" s="184"/>
      <c r="B815" s="184"/>
      <c r="C815" s="184"/>
      <c r="D815" s="184"/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  <c r="Y815" s="184"/>
      <c r="Z815" s="184"/>
      <c r="AA815" s="184"/>
    </row>
    <row r="816">
      <c r="A816" s="184"/>
      <c r="B816" s="184"/>
      <c r="C816" s="184"/>
      <c r="D816" s="184"/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  <c r="Y816" s="184"/>
      <c r="Z816" s="184"/>
      <c r="AA816" s="184"/>
    </row>
    <row r="817">
      <c r="A817" s="184"/>
      <c r="B817" s="184"/>
      <c r="C817" s="184"/>
      <c r="D817" s="184"/>
      <c r="E817" s="184"/>
      <c r="F817" s="184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  <c r="W817" s="184"/>
      <c r="X817" s="184"/>
      <c r="Y817" s="184"/>
      <c r="Z817" s="184"/>
      <c r="AA817" s="184"/>
    </row>
    <row r="818">
      <c r="A818" s="184"/>
      <c r="B818" s="184"/>
      <c r="C818" s="184"/>
      <c r="D818" s="184"/>
      <c r="E818" s="184"/>
      <c r="F818" s="184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  <c r="Y818" s="184"/>
      <c r="Z818" s="184"/>
      <c r="AA818" s="184"/>
    </row>
    <row r="819">
      <c r="A819" s="184"/>
      <c r="B819" s="184"/>
      <c r="C819" s="184"/>
      <c r="D819" s="184"/>
      <c r="E819" s="184"/>
      <c r="F819" s="184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4"/>
      <c r="V819" s="184"/>
      <c r="W819" s="184"/>
      <c r="X819" s="184"/>
      <c r="Y819" s="184"/>
      <c r="Z819" s="184"/>
      <c r="AA819" s="184"/>
    </row>
    <row r="820">
      <c r="A820" s="184"/>
      <c r="B820" s="184"/>
      <c r="C820" s="184"/>
      <c r="D820" s="184"/>
      <c r="E820" s="184"/>
      <c r="F820" s="184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  <c r="Y820" s="184"/>
      <c r="Z820" s="184"/>
      <c r="AA820" s="184"/>
    </row>
    <row r="821">
      <c r="A821" s="184"/>
      <c r="B821" s="184"/>
      <c r="C821" s="184"/>
      <c r="D821" s="184"/>
      <c r="E821" s="184"/>
      <c r="F821" s="184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  <c r="Y821" s="184"/>
      <c r="Z821" s="184"/>
      <c r="AA821" s="184"/>
    </row>
    <row r="822">
      <c r="A822" s="184"/>
      <c r="B822" s="184"/>
      <c r="C822" s="184"/>
      <c r="D822" s="184"/>
      <c r="E822" s="184"/>
      <c r="F822" s="184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  <c r="Y822" s="184"/>
      <c r="Z822" s="184"/>
      <c r="AA822" s="184"/>
    </row>
    <row r="823">
      <c r="A823" s="184"/>
      <c r="B823" s="184"/>
      <c r="C823" s="184"/>
      <c r="D823" s="184"/>
      <c r="E823" s="184"/>
      <c r="F823" s="184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  <c r="Y823" s="184"/>
      <c r="Z823" s="184"/>
      <c r="AA823" s="184"/>
    </row>
    <row r="824">
      <c r="A824" s="184"/>
      <c r="B824" s="184"/>
      <c r="C824" s="184"/>
      <c r="D824" s="184"/>
      <c r="E824" s="184"/>
      <c r="F824" s="184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  <c r="Y824" s="184"/>
      <c r="Z824" s="184"/>
      <c r="AA824" s="184"/>
    </row>
    <row r="825">
      <c r="A825" s="184"/>
      <c r="B825" s="184"/>
      <c r="C825" s="184"/>
      <c r="D825" s="184"/>
      <c r="E825" s="184"/>
      <c r="F825" s="184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  <c r="Y825" s="184"/>
      <c r="Z825" s="184"/>
      <c r="AA825" s="184"/>
    </row>
    <row r="826">
      <c r="A826" s="184"/>
      <c r="B826" s="184"/>
      <c r="C826" s="184"/>
      <c r="D826" s="184"/>
      <c r="E826" s="184"/>
      <c r="F826" s="184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  <c r="Y826" s="184"/>
      <c r="Z826" s="184"/>
      <c r="AA826" s="184"/>
    </row>
    <row r="827">
      <c r="A827" s="184"/>
      <c r="B827" s="184"/>
      <c r="C827" s="184"/>
      <c r="D827" s="184"/>
      <c r="E827" s="184"/>
      <c r="F827" s="184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  <c r="Y827" s="184"/>
      <c r="Z827" s="184"/>
      <c r="AA827" s="184"/>
    </row>
    <row r="828">
      <c r="A828" s="184"/>
      <c r="B828" s="184"/>
      <c r="C828" s="184"/>
      <c r="D828" s="184"/>
      <c r="E828" s="184"/>
      <c r="F828" s="184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  <c r="Y828" s="184"/>
      <c r="Z828" s="184"/>
      <c r="AA828" s="184"/>
    </row>
    <row r="829">
      <c r="A829" s="184"/>
      <c r="B829" s="184"/>
      <c r="C829" s="184"/>
      <c r="D829" s="184"/>
      <c r="E829" s="184"/>
      <c r="F829" s="184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  <c r="Y829" s="184"/>
      <c r="Z829" s="184"/>
      <c r="AA829" s="184"/>
    </row>
    <row r="830">
      <c r="A830" s="184"/>
      <c r="B830" s="184"/>
      <c r="C830" s="184"/>
      <c r="D830" s="184"/>
      <c r="E830" s="184"/>
      <c r="F830" s="184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  <c r="Y830" s="184"/>
      <c r="Z830" s="184"/>
      <c r="AA830" s="184"/>
    </row>
    <row r="831">
      <c r="A831" s="184"/>
      <c r="B831" s="184"/>
      <c r="C831" s="184"/>
      <c r="D831" s="184"/>
      <c r="E831" s="184"/>
      <c r="F831" s="184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  <c r="Y831" s="184"/>
      <c r="Z831" s="184"/>
      <c r="AA831" s="184"/>
    </row>
    <row r="832">
      <c r="A832" s="184"/>
      <c r="B832" s="184"/>
      <c r="C832" s="184"/>
      <c r="D832" s="184"/>
      <c r="E832" s="184"/>
      <c r="F832" s="184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  <c r="Y832" s="184"/>
      <c r="Z832" s="184"/>
      <c r="AA832" s="184"/>
    </row>
    <row r="833">
      <c r="A833" s="184"/>
      <c r="B833" s="184"/>
      <c r="C833" s="184"/>
      <c r="D833" s="184"/>
      <c r="E833" s="184"/>
      <c r="F833" s="184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  <c r="Y833" s="184"/>
      <c r="Z833" s="184"/>
      <c r="AA833" s="184"/>
    </row>
    <row r="834">
      <c r="A834" s="184"/>
      <c r="B834" s="184"/>
      <c r="C834" s="184"/>
      <c r="D834" s="184"/>
      <c r="E834" s="184"/>
      <c r="F834" s="184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84"/>
      <c r="V834" s="184"/>
      <c r="W834" s="184"/>
      <c r="X834" s="184"/>
      <c r="Y834" s="184"/>
      <c r="Z834" s="184"/>
      <c r="AA834" s="184"/>
    </row>
    <row r="835">
      <c r="A835" s="184"/>
      <c r="B835" s="184"/>
      <c r="C835" s="184"/>
      <c r="D835" s="184"/>
      <c r="E835" s="184"/>
      <c r="F835" s="184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  <c r="Y835" s="184"/>
      <c r="Z835" s="184"/>
      <c r="AA835" s="184"/>
    </row>
    <row r="836">
      <c r="A836" s="184"/>
      <c r="B836" s="184"/>
      <c r="C836" s="184"/>
      <c r="D836" s="184"/>
      <c r="E836" s="184"/>
      <c r="F836" s="184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  <c r="Y836" s="184"/>
      <c r="Z836" s="184"/>
      <c r="AA836" s="184"/>
    </row>
    <row r="837">
      <c r="A837" s="184"/>
      <c r="B837" s="184"/>
      <c r="C837" s="184"/>
      <c r="D837" s="184"/>
      <c r="E837" s="184"/>
      <c r="F837" s="184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  <c r="Y837" s="184"/>
      <c r="Z837" s="184"/>
      <c r="AA837" s="184"/>
    </row>
    <row r="838">
      <c r="A838" s="184"/>
      <c r="B838" s="184"/>
      <c r="C838" s="184"/>
      <c r="D838" s="184"/>
      <c r="E838" s="184"/>
      <c r="F838" s="184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84"/>
      <c r="V838" s="184"/>
      <c r="W838" s="184"/>
      <c r="X838" s="184"/>
      <c r="Y838" s="184"/>
      <c r="Z838" s="184"/>
      <c r="AA838" s="184"/>
    </row>
    <row r="839">
      <c r="A839" s="184"/>
      <c r="B839" s="184"/>
      <c r="C839" s="184"/>
      <c r="D839" s="184"/>
      <c r="E839" s="184"/>
      <c r="F839" s="184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84"/>
      <c r="V839" s="184"/>
      <c r="W839" s="184"/>
      <c r="X839" s="184"/>
      <c r="Y839" s="184"/>
      <c r="Z839" s="184"/>
      <c r="AA839" s="184"/>
    </row>
    <row r="840">
      <c r="A840" s="184"/>
      <c r="B840" s="184"/>
      <c r="C840" s="184"/>
      <c r="D840" s="184"/>
      <c r="E840" s="184"/>
      <c r="F840" s="184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  <c r="Y840" s="184"/>
      <c r="Z840" s="184"/>
      <c r="AA840" s="184"/>
    </row>
    <row r="841">
      <c r="A841" s="184"/>
      <c r="B841" s="184"/>
      <c r="C841" s="184"/>
      <c r="D841" s="184"/>
      <c r="E841" s="184"/>
      <c r="F841" s="184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84"/>
      <c r="V841" s="184"/>
      <c r="W841" s="184"/>
      <c r="X841" s="184"/>
      <c r="Y841" s="184"/>
      <c r="Z841" s="184"/>
      <c r="AA841" s="184"/>
    </row>
    <row r="842">
      <c r="A842" s="184"/>
      <c r="B842" s="184"/>
      <c r="C842" s="184"/>
      <c r="D842" s="184"/>
      <c r="E842" s="184"/>
      <c r="F842" s="184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  <c r="Y842" s="184"/>
      <c r="Z842" s="184"/>
      <c r="AA842" s="184"/>
    </row>
    <row r="843">
      <c r="A843" s="184"/>
      <c r="B843" s="184"/>
      <c r="C843" s="184"/>
      <c r="D843" s="184"/>
      <c r="E843" s="184"/>
      <c r="F843" s="184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  <c r="Y843" s="184"/>
      <c r="Z843" s="184"/>
      <c r="AA843" s="184"/>
    </row>
    <row r="844">
      <c r="A844" s="184"/>
      <c r="B844" s="184"/>
      <c r="C844" s="184"/>
      <c r="D844" s="184"/>
      <c r="E844" s="184"/>
      <c r="F844" s="184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84"/>
      <c r="V844" s="184"/>
      <c r="W844" s="184"/>
      <c r="X844" s="184"/>
      <c r="Y844" s="184"/>
      <c r="Z844" s="184"/>
      <c r="AA844" s="184"/>
    </row>
    <row r="845">
      <c r="A845" s="184"/>
      <c r="B845" s="184"/>
      <c r="C845" s="184"/>
      <c r="D845" s="184"/>
      <c r="E845" s="184"/>
      <c r="F845" s="184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  <c r="Y845" s="184"/>
      <c r="Z845" s="184"/>
      <c r="AA845" s="184"/>
    </row>
    <row r="846">
      <c r="A846" s="184"/>
      <c r="B846" s="184"/>
      <c r="C846" s="184"/>
      <c r="D846" s="184"/>
      <c r="E846" s="184"/>
      <c r="F846" s="184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84"/>
      <c r="V846" s="184"/>
      <c r="W846" s="184"/>
      <c r="X846" s="184"/>
      <c r="Y846" s="184"/>
      <c r="Z846" s="184"/>
      <c r="AA846" s="184"/>
    </row>
    <row r="847">
      <c r="A847" s="184"/>
      <c r="B847" s="184"/>
      <c r="C847" s="184"/>
      <c r="D847" s="184"/>
      <c r="E847" s="184"/>
      <c r="F847" s="184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84"/>
      <c r="V847" s="184"/>
      <c r="W847" s="184"/>
      <c r="X847" s="184"/>
      <c r="Y847" s="184"/>
      <c r="Z847" s="184"/>
      <c r="AA847" s="184"/>
    </row>
    <row r="848">
      <c r="A848" s="184"/>
      <c r="B848" s="184"/>
      <c r="C848" s="184"/>
      <c r="D848" s="184"/>
      <c r="E848" s="184"/>
      <c r="F848" s="184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84"/>
      <c r="V848" s="184"/>
      <c r="W848" s="184"/>
      <c r="X848" s="184"/>
      <c r="Y848" s="184"/>
      <c r="Z848" s="184"/>
      <c r="AA848" s="184"/>
    </row>
    <row r="849">
      <c r="A849" s="184"/>
      <c r="B849" s="184"/>
      <c r="C849" s="184"/>
      <c r="D849" s="184"/>
      <c r="E849" s="184"/>
      <c r="F849" s="184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  <c r="Y849" s="184"/>
      <c r="Z849" s="184"/>
      <c r="AA849" s="184"/>
    </row>
    <row r="850">
      <c r="A850" s="184"/>
      <c r="B850" s="184"/>
      <c r="C850" s="184"/>
      <c r="D850" s="184"/>
      <c r="E850" s="184"/>
      <c r="F850" s="184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  <c r="Y850" s="184"/>
      <c r="Z850" s="184"/>
      <c r="AA850" s="184"/>
    </row>
    <row r="851">
      <c r="A851" s="184"/>
      <c r="B851" s="184"/>
      <c r="C851" s="184"/>
      <c r="D851" s="184"/>
      <c r="E851" s="184"/>
      <c r="F851" s="184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4"/>
      <c r="V851" s="184"/>
      <c r="W851" s="184"/>
      <c r="X851" s="184"/>
      <c r="Y851" s="184"/>
      <c r="Z851" s="184"/>
      <c r="AA851" s="184"/>
    </row>
    <row r="852">
      <c r="A852" s="184"/>
      <c r="B852" s="184"/>
      <c r="C852" s="184"/>
      <c r="D852" s="184"/>
      <c r="E852" s="184"/>
      <c r="F852" s="184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84"/>
      <c r="V852" s="184"/>
      <c r="W852" s="184"/>
      <c r="X852" s="184"/>
      <c r="Y852" s="184"/>
      <c r="Z852" s="184"/>
      <c r="AA852" s="184"/>
    </row>
    <row r="853">
      <c r="A853" s="184"/>
      <c r="B853" s="184"/>
      <c r="C853" s="184"/>
      <c r="D853" s="184"/>
      <c r="E853" s="184"/>
      <c r="F853" s="184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84"/>
      <c r="V853" s="184"/>
      <c r="W853" s="184"/>
      <c r="X853" s="184"/>
      <c r="Y853" s="184"/>
      <c r="Z853" s="184"/>
      <c r="AA853" s="184"/>
    </row>
    <row r="854">
      <c r="A854" s="184"/>
      <c r="B854" s="184"/>
      <c r="C854" s="184"/>
      <c r="D854" s="184"/>
      <c r="E854" s="184"/>
      <c r="F854" s="184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84"/>
      <c r="V854" s="184"/>
      <c r="W854" s="184"/>
      <c r="X854" s="184"/>
      <c r="Y854" s="184"/>
      <c r="Z854" s="184"/>
      <c r="AA854" s="184"/>
    </row>
    <row r="855">
      <c r="A855" s="184"/>
      <c r="B855" s="184"/>
      <c r="C855" s="184"/>
      <c r="D855" s="184"/>
      <c r="E855" s="184"/>
      <c r="F855" s="184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84"/>
      <c r="V855" s="184"/>
      <c r="W855" s="184"/>
      <c r="X855" s="184"/>
      <c r="Y855" s="184"/>
      <c r="Z855" s="184"/>
      <c r="AA855" s="184"/>
    </row>
    <row r="856">
      <c r="A856" s="184"/>
      <c r="B856" s="184"/>
      <c r="C856" s="184"/>
      <c r="D856" s="184"/>
      <c r="E856" s="184"/>
      <c r="F856" s="184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84"/>
      <c r="V856" s="184"/>
      <c r="W856" s="184"/>
      <c r="X856" s="184"/>
      <c r="Y856" s="184"/>
      <c r="Z856" s="184"/>
      <c r="AA856" s="184"/>
    </row>
    <row r="857">
      <c r="A857" s="184"/>
      <c r="B857" s="184"/>
      <c r="C857" s="184"/>
      <c r="D857" s="184"/>
      <c r="E857" s="184"/>
      <c r="F857" s="184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  <c r="Y857" s="184"/>
      <c r="Z857" s="184"/>
      <c r="AA857" s="184"/>
    </row>
    <row r="858">
      <c r="A858" s="184"/>
      <c r="B858" s="184"/>
      <c r="C858" s="184"/>
      <c r="D858" s="184"/>
      <c r="E858" s="184"/>
      <c r="F858" s="184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  <c r="Y858" s="184"/>
      <c r="Z858" s="184"/>
      <c r="AA858" s="184"/>
    </row>
    <row r="859">
      <c r="A859" s="184"/>
      <c r="B859" s="184"/>
      <c r="C859" s="184"/>
      <c r="D859" s="184"/>
      <c r="E859" s="184"/>
      <c r="F859" s="184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4"/>
      <c r="V859" s="184"/>
      <c r="W859" s="184"/>
      <c r="X859" s="184"/>
      <c r="Y859" s="184"/>
      <c r="Z859" s="184"/>
      <c r="AA859" s="184"/>
    </row>
    <row r="860">
      <c r="A860" s="184"/>
      <c r="B860" s="184"/>
      <c r="C860" s="184"/>
      <c r="D860" s="184"/>
      <c r="E860" s="184"/>
      <c r="F860" s="184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  <c r="Y860" s="184"/>
      <c r="Z860" s="184"/>
      <c r="AA860" s="184"/>
    </row>
    <row r="861">
      <c r="A861" s="184"/>
      <c r="B861" s="184"/>
      <c r="C861" s="184"/>
      <c r="D861" s="184"/>
      <c r="E861" s="184"/>
      <c r="F861" s="184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84"/>
      <c r="V861" s="184"/>
      <c r="W861" s="184"/>
      <c r="X861" s="184"/>
      <c r="Y861" s="184"/>
      <c r="Z861" s="184"/>
      <c r="AA861" s="184"/>
    </row>
    <row r="862">
      <c r="A862" s="184"/>
      <c r="B862" s="184"/>
      <c r="C862" s="184"/>
      <c r="D862" s="184"/>
      <c r="E862" s="184"/>
      <c r="F862" s="184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84"/>
      <c r="V862" s="184"/>
      <c r="W862" s="184"/>
      <c r="X862" s="184"/>
      <c r="Y862" s="184"/>
      <c r="Z862" s="184"/>
      <c r="AA862" s="184"/>
    </row>
    <row r="863">
      <c r="A863" s="184"/>
      <c r="B863" s="184"/>
      <c r="C863" s="184"/>
      <c r="D863" s="184"/>
      <c r="E863" s="184"/>
      <c r="F863" s="184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  <c r="Y863" s="184"/>
      <c r="Z863" s="184"/>
      <c r="AA863" s="184"/>
    </row>
    <row r="864">
      <c r="A864" s="184"/>
      <c r="B864" s="184"/>
      <c r="C864" s="184"/>
      <c r="D864" s="184"/>
      <c r="E864" s="184"/>
      <c r="F864" s="184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  <c r="Y864" s="184"/>
      <c r="Z864" s="184"/>
      <c r="AA864" s="184"/>
    </row>
    <row r="865">
      <c r="A865" s="184"/>
      <c r="B865" s="184"/>
      <c r="C865" s="184"/>
      <c r="D865" s="184"/>
      <c r="E865" s="184"/>
      <c r="F865" s="184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84"/>
      <c r="V865" s="184"/>
      <c r="W865" s="184"/>
      <c r="X865" s="184"/>
      <c r="Y865" s="184"/>
      <c r="Z865" s="184"/>
      <c r="AA865" s="184"/>
    </row>
    <row r="866">
      <c r="A866" s="184"/>
      <c r="B866" s="184"/>
      <c r="C866" s="184"/>
      <c r="D866" s="184"/>
      <c r="E866" s="184"/>
      <c r="F866" s="184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  <c r="Y866" s="184"/>
      <c r="Z866" s="184"/>
      <c r="AA866" s="184"/>
    </row>
    <row r="867">
      <c r="A867" s="184"/>
      <c r="B867" s="184"/>
      <c r="C867" s="184"/>
      <c r="D867" s="184"/>
      <c r="E867" s="184"/>
      <c r="F867" s="184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84"/>
      <c r="V867" s="184"/>
      <c r="W867" s="184"/>
      <c r="X867" s="184"/>
      <c r="Y867" s="184"/>
      <c r="Z867" s="184"/>
      <c r="AA867" s="184"/>
    </row>
    <row r="868">
      <c r="A868" s="184"/>
      <c r="B868" s="184"/>
      <c r="C868" s="184"/>
      <c r="D868" s="184"/>
      <c r="E868" s="184"/>
      <c r="F868" s="184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84"/>
      <c r="V868" s="184"/>
      <c r="W868" s="184"/>
      <c r="X868" s="184"/>
      <c r="Y868" s="184"/>
      <c r="Z868" s="184"/>
      <c r="AA868" s="184"/>
    </row>
    <row r="869">
      <c r="A869" s="184"/>
      <c r="B869" s="184"/>
      <c r="C869" s="184"/>
      <c r="D869" s="184"/>
      <c r="E869" s="184"/>
      <c r="F869" s="184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  <c r="Y869" s="184"/>
      <c r="Z869" s="184"/>
      <c r="AA869" s="184"/>
    </row>
    <row r="870">
      <c r="A870" s="184"/>
      <c r="B870" s="184"/>
      <c r="C870" s="184"/>
      <c r="D870" s="184"/>
      <c r="E870" s="184"/>
      <c r="F870" s="184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  <c r="Y870" s="184"/>
      <c r="Z870" s="184"/>
      <c r="AA870" s="184"/>
    </row>
    <row r="871">
      <c r="A871" s="184"/>
      <c r="B871" s="184"/>
      <c r="C871" s="184"/>
      <c r="D871" s="184"/>
      <c r="E871" s="184"/>
      <c r="F871" s="184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  <c r="Y871" s="184"/>
      <c r="Z871" s="184"/>
      <c r="AA871" s="184"/>
    </row>
    <row r="872">
      <c r="A872" s="184"/>
      <c r="B872" s="184"/>
      <c r="C872" s="184"/>
      <c r="D872" s="184"/>
      <c r="E872" s="184"/>
      <c r="F872" s="184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  <c r="Y872" s="184"/>
      <c r="Z872" s="184"/>
      <c r="AA872" s="184"/>
    </row>
    <row r="873">
      <c r="A873" s="184"/>
      <c r="B873" s="184"/>
      <c r="C873" s="184"/>
      <c r="D873" s="184"/>
      <c r="E873" s="184"/>
      <c r="F873" s="184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  <c r="Y873" s="184"/>
      <c r="Z873" s="184"/>
      <c r="AA873" s="184"/>
    </row>
    <row r="874">
      <c r="A874" s="184"/>
      <c r="B874" s="184"/>
      <c r="C874" s="184"/>
      <c r="D874" s="184"/>
      <c r="E874" s="184"/>
      <c r="F874" s="184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  <c r="Y874" s="184"/>
      <c r="Z874" s="184"/>
      <c r="AA874" s="184"/>
    </row>
    <row r="875">
      <c r="A875" s="184"/>
      <c r="B875" s="184"/>
      <c r="C875" s="184"/>
      <c r="D875" s="184"/>
      <c r="E875" s="184"/>
      <c r="F875" s="184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  <c r="Y875" s="184"/>
      <c r="Z875" s="184"/>
      <c r="AA875" s="184"/>
    </row>
    <row r="876">
      <c r="A876" s="184"/>
      <c r="B876" s="184"/>
      <c r="C876" s="184"/>
      <c r="D876" s="184"/>
      <c r="E876" s="184"/>
      <c r="F876" s="184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  <c r="Y876" s="184"/>
      <c r="Z876" s="184"/>
      <c r="AA876" s="184"/>
    </row>
    <row r="877">
      <c r="A877" s="184"/>
      <c r="B877" s="184"/>
      <c r="C877" s="184"/>
      <c r="D877" s="184"/>
      <c r="E877" s="184"/>
      <c r="F877" s="184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  <c r="Y877" s="184"/>
      <c r="Z877" s="184"/>
      <c r="AA877" s="184"/>
    </row>
    <row r="878">
      <c r="A878" s="184"/>
      <c r="B878" s="184"/>
      <c r="C878" s="184"/>
      <c r="D878" s="184"/>
      <c r="E878" s="184"/>
      <c r="F878" s="184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  <c r="Y878" s="184"/>
      <c r="Z878" s="184"/>
      <c r="AA878" s="184"/>
    </row>
    <row r="879">
      <c r="A879" s="184"/>
      <c r="B879" s="184"/>
      <c r="C879" s="184"/>
      <c r="D879" s="184"/>
      <c r="E879" s="184"/>
      <c r="F879" s="184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  <c r="Y879" s="184"/>
      <c r="Z879" s="184"/>
      <c r="AA879" s="184"/>
    </row>
    <row r="880">
      <c r="A880" s="184"/>
      <c r="B880" s="184"/>
      <c r="C880" s="184"/>
      <c r="D880" s="184"/>
      <c r="E880" s="184"/>
      <c r="F880" s="184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  <c r="Y880" s="184"/>
      <c r="Z880" s="184"/>
      <c r="AA880" s="184"/>
    </row>
    <row r="881">
      <c r="A881" s="184"/>
      <c r="B881" s="184"/>
      <c r="C881" s="184"/>
      <c r="D881" s="184"/>
      <c r="E881" s="184"/>
      <c r="F881" s="184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  <c r="Y881" s="184"/>
      <c r="Z881" s="184"/>
      <c r="AA881" s="184"/>
    </row>
    <row r="882">
      <c r="A882" s="184"/>
      <c r="B882" s="184"/>
      <c r="C882" s="184"/>
      <c r="D882" s="184"/>
      <c r="E882" s="184"/>
      <c r="F882" s="184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84"/>
      <c r="V882" s="184"/>
      <c r="W882" s="184"/>
      <c r="X882" s="184"/>
      <c r="Y882" s="184"/>
      <c r="Z882" s="184"/>
      <c r="AA882" s="184"/>
    </row>
    <row r="883">
      <c r="A883" s="184"/>
      <c r="B883" s="184"/>
      <c r="C883" s="184"/>
      <c r="D883" s="184"/>
      <c r="E883" s="184"/>
      <c r="F883" s="184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84"/>
      <c r="V883" s="184"/>
      <c r="W883" s="184"/>
      <c r="X883" s="184"/>
      <c r="Y883" s="184"/>
      <c r="Z883" s="184"/>
      <c r="AA883" s="184"/>
    </row>
    <row r="884">
      <c r="A884" s="184"/>
      <c r="B884" s="184"/>
      <c r="C884" s="184"/>
      <c r="D884" s="184"/>
      <c r="E884" s="184"/>
      <c r="F884" s="184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84"/>
      <c r="V884" s="184"/>
      <c r="W884" s="184"/>
      <c r="X884" s="184"/>
      <c r="Y884" s="184"/>
      <c r="Z884" s="184"/>
      <c r="AA884" s="184"/>
    </row>
    <row r="885">
      <c r="A885" s="184"/>
      <c r="B885" s="184"/>
      <c r="C885" s="184"/>
      <c r="D885" s="184"/>
      <c r="E885" s="184"/>
      <c r="F885" s="184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84"/>
      <c r="V885" s="184"/>
      <c r="W885" s="184"/>
      <c r="X885" s="184"/>
      <c r="Y885" s="184"/>
      <c r="Z885" s="184"/>
      <c r="AA885" s="184"/>
    </row>
    <row r="886">
      <c r="A886" s="184"/>
      <c r="B886" s="184"/>
      <c r="C886" s="184"/>
      <c r="D886" s="184"/>
      <c r="E886" s="184"/>
      <c r="F886" s="184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84"/>
      <c r="V886" s="184"/>
      <c r="W886" s="184"/>
      <c r="X886" s="184"/>
      <c r="Y886" s="184"/>
      <c r="Z886" s="184"/>
      <c r="AA886" s="184"/>
    </row>
    <row r="887">
      <c r="A887" s="184"/>
      <c r="B887" s="184"/>
      <c r="C887" s="184"/>
      <c r="D887" s="184"/>
      <c r="E887" s="184"/>
      <c r="F887" s="184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84"/>
      <c r="V887" s="184"/>
      <c r="W887" s="184"/>
      <c r="X887" s="184"/>
      <c r="Y887" s="184"/>
      <c r="Z887" s="184"/>
      <c r="AA887" s="184"/>
    </row>
    <row r="888">
      <c r="A888" s="184"/>
      <c r="B888" s="184"/>
      <c r="C888" s="184"/>
      <c r="D888" s="184"/>
      <c r="E888" s="184"/>
      <c r="F888" s="184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84"/>
      <c r="V888" s="184"/>
      <c r="W888" s="184"/>
      <c r="X888" s="184"/>
      <c r="Y888" s="184"/>
      <c r="Z888" s="184"/>
      <c r="AA888" s="184"/>
    </row>
    <row r="889">
      <c r="A889" s="184"/>
      <c r="B889" s="184"/>
      <c r="C889" s="184"/>
      <c r="D889" s="184"/>
      <c r="E889" s="184"/>
      <c r="F889" s="184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84"/>
      <c r="V889" s="184"/>
      <c r="W889" s="184"/>
      <c r="X889" s="184"/>
      <c r="Y889" s="184"/>
      <c r="Z889" s="184"/>
      <c r="AA889" s="184"/>
    </row>
    <row r="890">
      <c r="A890" s="184"/>
      <c r="B890" s="184"/>
      <c r="C890" s="184"/>
      <c r="D890" s="184"/>
      <c r="E890" s="184"/>
      <c r="F890" s="184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84"/>
      <c r="V890" s="184"/>
      <c r="W890" s="184"/>
      <c r="X890" s="184"/>
      <c r="Y890" s="184"/>
      <c r="Z890" s="184"/>
      <c r="AA890" s="184"/>
    </row>
    <row r="891">
      <c r="A891" s="184"/>
      <c r="B891" s="184"/>
      <c r="C891" s="184"/>
      <c r="D891" s="184"/>
      <c r="E891" s="184"/>
      <c r="F891" s="184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84"/>
      <c r="V891" s="184"/>
      <c r="W891" s="184"/>
      <c r="X891" s="184"/>
      <c r="Y891" s="184"/>
      <c r="Z891" s="184"/>
      <c r="AA891" s="184"/>
    </row>
    <row r="892">
      <c r="A892" s="184"/>
      <c r="B892" s="184"/>
      <c r="C892" s="184"/>
      <c r="D892" s="184"/>
      <c r="E892" s="184"/>
      <c r="F892" s="184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84"/>
      <c r="V892" s="184"/>
      <c r="W892" s="184"/>
      <c r="X892" s="184"/>
      <c r="Y892" s="184"/>
      <c r="Z892" s="184"/>
      <c r="AA892" s="184"/>
    </row>
    <row r="893">
      <c r="A893" s="184"/>
      <c r="B893" s="184"/>
      <c r="C893" s="184"/>
      <c r="D893" s="184"/>
      <c r="E893" s="184"/>
      <c r="F893" s="184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84"/>
      <c r="V893" s="184"/>
      <c r="W893" s="184"/>
      <c r="X893" s="184"/>
      <c r="Y893" s="184"/>
      <c r="Z893" s="184"/>
      <c r="AA893" s="184"/>
    </row>
    <row r="894">
      <c r="A894" s="184"/>
      <c r="B894" s="184"/>
      <c r="C894" s="184"/>
      <c r="D894" s="184"/>
      <c r="E894" s="184"/>
      <c r="F894" s="184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84"/>
      <c r="V894" s="184"/>
      <c r="W894" s="184"/>
      <c r="X894" s="184"/>
      <c r="Y894" s="184"/>
      <c r="Z894" s="184"/>
      <c r="AA894" s="184"/>
    </row>
    <row r="895">
      <c r="A895" s="184"/>
      <c r="B895" s="184"/>
      <c r="C895" s="184"/>
      <c r="D895" s="184"/>
      <c r="E895" s="184"/>
      <c r="F895" s="184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84"/>
      <c r="V895" s="184"/>
      <c r="W895" s="184"/>
      <c r="X895" s="184"/>
      <c r="Y895" s="184"/>
      <c r="Z895" s="184"/>
      <c r="AA895" s="184"/>
    </row>
    <row r="896">
      <c r="A896" s="184"/>
      <c r="B896" s="184"/>
      <c r="C896" s="184"/>
      <c r="D896" s="184"/>
      <c r="E896" s="184"/>
      <c r="F896" s="184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84"/>
      <c r="V896" s="184"/>
      <c r="W896" s="184"/>
      <c r="X896" s="184"/>
      <c r="Y896" s="184"/>
      <c r="Z896" s="184"/>
      <c r="AA896" s="184"/>
    </row>
    <row r="897">
      <c r="A897" s="184"/>
      <c r="B897" s="184"/>
      <c r="C897" s="184"/>
      <c r="D897" s="184"/>
      <c r="E897" s="184"/>
      <c r="F897" s="184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84"/>
      <c r="V897" s="184"/>
      <c r="W897" s="184"/>
      <c r="X897" s="184"/>
      <c r="Y897" s="184"/>
      <c r="Z897" s="184"/>
      <c r="AA897" s="184"/>
    </row>
    <row r="898">
      <c r="A898" s="184"/>
      <c r="B898" s="184"/>
      <c r="C898" s="184"/>
      <c r="D898" s="184"/>
      <c r="E898" s="184"/>
      <c r="F898" s="184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84"/>
      <c r="V898" s="184"/>
      <c r="W898" s="184"/>
      <c r="X898" s="184"/>
      <c r="Y898" s="184"/>
      <c r="Z898" s="184"/>
      <c r="AA898" s="184"/>
    </row>
    <row r="899">
      <c r="A899" s="184"/>
      <c r="B899" s="184"/>
      <c r="C899" s="184"/>
      <c r="D899" s="184"/>
      <c r="E899" s="184"/>
      <c r="F899" s="184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84"/>
      <c r="V899" s="184"/>
      <c r="W899" s="184"/>
      <c r="X899" s="184"/>
      <c r="Y899" s="184"/>
      <c r="Z899" s="184"/>
      <c r="AA899" s="184"/>
    </row>
    <row r="900">
      <c r="A900" s="184"/>
      <c r="B900" s="184"/>
      <c r="C900" s="184"/>
      <c r="D900" s="184"/>
      <c r="E900" s="184"/>
      <c r="F900" s="184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84"/>
      <c r="V900" s="184"/>
      <c r="W900" s="184"/>
      <c r="X900" s="184"/>
      <c r="Y900" s="184"/>
      <c r="Z900" s="184"/>
      <c r="AA900" s="184"/>
    </row>
    <row r="901">
      <c r="A901" s="184"/>
      <c r="B901" s="184"/>
      <c r="C901" s="184"/>
      <c r="D901" s="184"/>
      <c r="E901" s="184"/>
      <c r="F901" s="184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84"/>
      <c r="V901" s="184"/>
      <c r="W901" s="184"/>
      <c r="X901" s="184"/>
      <c r="Y901" s="184"/>
      <c r="Z901" s="184"/>
      <c r="AA901" s="184"/>
    </row>
    <row r="902">
      <c r="A902" s="184"/>
      <c r="B902" s="184"/>
      <c r="C902" s="184"/>
      <c r="D902" s="184"/>
      <c r="E902" s="184"/>
      <c r="F902" s="184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84"/>
      <c r="V902" s="184"/>
      <c r="W902" s="184"/>
      <c r="X902" s="184"/>
      <c r="Y902" s="184"/>
      <c r="Z902" s="184"/>
      <c r="AA902" s="184"/>
    </row>
    <row r="903">
      <c r="A903" s="184"/>
      <c r="B903" s="184"/>
      <c r="C903" s="184"/>
      <c r="D903" s="184"/>
      <c r="E903" s="184"/>
      <c r="F903" s="184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84"/>
      <c r="V903" s="184"/>
      <c r="W903" s="184"/>
      <c r="X903" s="184"/>
      <c r="Y903" s="184"/>
      <c r="Z903" s="184"/>
      <c r="AA903" s="184"/>
    </row>
    <row r="904">
      <c r="A904" s="184"/>
      <c r="B904" s="184"/>
      <c r="C904" s="184"/>
      <c r="D904" s="184"/>
      <c r="E904" s="184"/>
      <c r="F904" s="184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84"/>
      <c r="V904" s="184"/>
      <c r="W904" s="184"/>
      <c r="X904" s="184"/>
      <c r="Y904" s="184"/>
      <c r="Z904" s="184"/>
      <c r="AA904" s="184"/>
    </row>
    <row r="905">
      <c r="A905" s="184"/>
      <c r="B905" s="184"/>
      <c r="C905" s="184"/>
      <c r="D905" s="184"/>
      <c r="E905" s="184"/>
      <c r="F905" s="184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84"/>
      <c r="V905" s="184"/>
      <c r="W905" s="184"/>
      <c r="X905" s="184"/>
      <c r="Y905" s="184"/>
      <c r="Z905" s="184"/>
      <c r="AA905" s="184"/>
    </row>
    <row r="906">
      <c r="A906" s="184"/>
      <c r="B906" s="184"/>
      <c r="C906" s="184"/>
      <c r="D906" s="184"/>
      <c r="E906" s="184"/>
      <c r="F906" s="184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84"/>
      <c r="V906" s="184"/>
      <c r="W906" s="184"/>
      <c r="X906" s="184"/>
      <c r="Y906" s="184"/>
      <c r="Z906" s="184"/>
      <c r="AA906" s="184"/>
    </row>
    <row r="907">
      <c r="A907" s="184"/>
      <c r="B907" s="184"/>
      <c r="C907" s="184"/>
      <c r="D907" s="184"/>
      <c r="E907" s="184"/>
      <c r="F907" s="184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84"/>
      <c r="V907" s="184"/>
      <c r="W907" s="184"/>
      <c r="X907" s="184"/>
      <c r="Y907" s="184"/>
      <c r="Z907" s="184"/>
      <c r="AA907" s="184"/>
    </row>
    <row r="908">
      <c r="A908" s="184"/>
      <c r="B908" s="184"/>
      <c r="C908" s="184"/>
      <c r="D908" s="184"/>
      <c r="E908" s="184"/>
      <c r="F908" s="184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84"/>
      <c r="V908" s="184"/>
      <c r="W908" s="184"/>
      <c r="X908" s="184"/>
      <c r="Y908" s="184"/>
      <c r="Z908" s="184"/>
      <c r="AA908" s="184"/>
    </row>
    <row r="909">
      <c r="A909" s="184"/>
      <c r="B909" s="184"/>
      <c r="C909" s="184"/>
      <c r="D909" s="184"/>
      <c r="E909" s="184"/>
      <c r="F909" s="184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84"/>
      <c r="V909" s="184"/>
      <c r="W909" s="184"/>
      <c r="X909" s="184"/>
      <c r="Y909" s="184"/>
      <c r="Z909" s="184"/>
      <c r="AA909" s="184"/>
    </row>
    <row r="910">
      <c r="A910" s="184"/>
      <c r="B910" s="184"/>
      <c r="C910" s="184"/>
      <c r="D910" s="184"/>
      <c r="E910" s="184"/>
      <c r="F910" s="184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84"/>
      <c r="V910" s="184"/>
      <c r="W910" s="184"/>
      <c r="X910" s="184"/>
      <c r="Y910" s="184"/>
      <c r="Z910" s="184"/>
      <c r="AA910" s="184"/>
    </row>
    <row r="911">
      <c r="A911" s="184"/>
      <c r="B911" s="184"/>
      <c r="C911" s="184"/>
      <c r="D911" s="184"/>
      <c r="E911" s="184"/>
      <c r="F911" s="184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84"/>
      <c r="V911" s="184"/>
      <c r="W911" s="184"/>
      <c r="X911" s="184"/>
      <c r="Y911" s="184"/>
      <c r="Z911" s="184"/>
      <c r="AA911" s="184"/>
    </row>
    <row r="912">
      <c r="A912" s="184"/>
      <c r="B912" s="184"/>
      <c r="C912" s="184"/>
      <c r="D912" s="184"/>
      <c r="E912" s="184"/>
      <c r="F912" s="184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84"/>
      <c r="V912" s="184"/>
      <c r="W912" s="184"/>
      <c r="X912" s="184"/>
      <c r="Y912" s="184"/>
      <c r="Z912" s="184"/>
      <c r="AA912" s="184"/>
    </row>
    <row r="913">
      <c r="A913" s="184"/>
      <c r="B913" s="184"/>
      <c r="C913" s="184"/>
      <c r="D913" s="184"/>
      <c r="E913" s="184"/>
      <c r="F913" s="184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84"/>
      <c r="V913" s="184"/>
      <c r="W913" s="184"/>
      <c r="X913" s="184"/>
      <c r="Y913" s="184"/>
      <c r="Z913" s="184"/>
      <c r="AA913" s="184"/>
    </row>
    <row r="914">
      <c r="A914" s="184"/>
      <c r="B914" s="184"/>
      <c r="C914" s="184"/>
      <c r="D914" s="184"/>
      <c r="E914" s="184"/>
      <c r="F914" s="184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84"/>
      <c r="V914" s="184"/>
      <c r="W914" s="184"/>
      <c r="X914" s="184"/>
      <c r="Y914" s="184"/>
      <c r="Z914" s="184"/>
      <c r="AA914" s="184"/>
    </row>
    <row r="915">
      <c r="A915" s="184"/>
      <c r="B915" s="184"/>
      <c r="C915" s="184"/>
      <c r="D915" s="184"/>
      <c r="E915" s="184"/>
      <c r="F915" s="184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84"/>
      <c r="V915" s="184"/>
      <c r="W915" s="184"/>
      <c r="X915" s="184"/>
      <c r="Y915" s="184"/>
      <c r="Z915" s="184"/>
      <c r="AA915" s="184"/>
    </row>
    <row r="916">
      <c r="A916" s="184"/>
      <c r="B916" s="184"/>
      <c r="C916" s="184"/>
      <c r="D916" s="184"/>
      <c r="E916" s="184"/>
      <c r="F916" s="184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84"/>
      <c r="V916" s="184"/>
      <c r="W916" s="184"/>
      <c r="X916" s="184"/>
      <c r="Y916" s="184"/>
      <c r="Z916" s="184"/>
      <c r="AA916" s="184"/>
    </row>
    <row r="917">
      <c r="A917" s="184"/>
      <c r="B917" s="184"/>
      <c r="C917" s="184"/>
      <c r="D917" s="184"/>
      <c r="E917" s="184"/>
      <c r="F917" s="184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84"/>
      <c r="V917" s="184"/>
      <c r="W917" s="184"/>
      <c r="X917" s="184"/>
      <c r="Y917" s="184"/>
      <c r="Z917" s="184"/>
      <c r="AA917" s="184"/>
    </row>
    <row r="918">
      <c r="A918" s="184"/>
      <c r="B918" s="184"/>
      <c r="C918" s="184"/>
      <c r="D918" s="184"/>
      <c r="E918" s="184"/>
      <c r="F918" s="184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84"/>
      <c r="V918" s="184"/>
      <c r="W918" s="184"/>
      <c r="X918" s="184"/>
      <c r="Y918" s="184"/>
      <c r="Z918" s="184"/>
      <c r="AA918" s="184"/>
    </row>
    <row r="919">
      <c r="A919" s="184"/>
      <c r="B919" s="184"/>
      <c r="C919" s="184"/>
      <c r="D919" s="184"/>
      <c r="E919" s="184"/>
      <c r="F919" s="184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84"/>
      <c r="V919" s="184"/>
      <c r="W919" s="184"/>
      <c r="X919" s="184"/>
      <c r="Y919" s="184"/>
      <c r="Z919" s="184"/>
      <c r="AA919" s="184"/>
    </row>
    <row r="920">
      <c r="A920" s="184"/>
      <c r="B920" s="184"/>
      <c r="C920" s="184"/>
      <c r="D920" s="184"/>
      <c r="E920" s="184"/>
      <c r="F920" s="184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84"/>
      <c r="V920" s="184"/>
      <c r="W920" s="184"/>
      <c r="X920" s="184"/>
      <c r="Y920" s="184"/>
      <c r="Z920" s="184"/>
      <c r="AA920" s="184"/>
    </row>
    <row r="921">
      <c r="A921" s="184"/>
      <c r="B921" s="184"/>
      <c r="C921" s="184"/>
      <c r="D921" s="184"/>
      <c r="E921" s="184"/>
      <c r="F921" s="184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84"/>
      <c r="V921" s="184"/>
      <c r="W921" s="184"/>
      <c r="X921" s="184"/>
      <c r="Y921" s="184"/>
      <c r="Z921" s="184"/>
      <c r="AA921" s="184"/>
    </row>
    <row r="922">
      <c r="A922" s="184"/>
      <c r="B922" s="184"/>
      <c r="C922" s="184"/>
      <c r="D922" s="184"/>
      <c r="E922" s="184"/>
      <c r="F922" s="184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84"/>
      <c r="V922" s="184"/>
      <c r="W922" s="184"/>
      <c r="X922" s="184"/>
      <c r="Y922" s="184"/>
      <c r="Z922" s="184"/>
      <c r="AA922" s="184"/>
    </row>
    <row r="923">
      <c r="A923" s="184"/>
      <c r="B923" s="184"/>
      <c r="C923" s="184"/>
      <c r="D923" s="184"/>
      <c r="E923" s="184"/>
      <c r="F923" s="184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84"/>
      <c r="V923" s="184"/>
      <c r="W923" s="184"/>
      <c r="X923" s="184"/>
      <c r="Y923" s="184"/>
      <c r="Z923" s="184"/>
      <c r="AA923" s="184"/>
    </row>
    <row r="924">
      <c r="A924" s="184"/>
      <c r="B924" s="184"/>
      <c r="C924" s="184"/>
      <c r="D924" s="184"/>
      <c r="E924" s="184"/>
      <c r="F924" s="184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84"/>
      <c r="V924" s="184"/>
      <c r="W924" s="184"/>
      <c r="X924" s="184"/>
      <c r="Y924" s="184"/>
      <c r="Z924" s="184"/>
      <c r="AA924" s="184"/>
    </row>
    <row r="925">
      <c r="A925" s="184"/>
      <c r="B925" s="184"/>
      <c r="C925" s="184"/>
      <c r="D925" s="184"/>
      <c r="E925" s="184"/>
      <c r="F925" s="184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84"/>
      <c r="V925" s="184"/>
      <c r="W925" s="184"/>
      <c r="X925" s="184"/>
      <c r="Y925" s="184"/>
      <c r="Z925" s="184"/>
      <c r="AA925" s="184"/>
    </row>
    <row r="926">
      <c r="A926" s="184"/>
      <c r="B926" s="184"/>
      <c r="C926" s="184"/>
      <c r="D926" s="184"/>
      <c r="E926" s="184"/>
      <c r="F926" s="184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84"/>
      <c r="V926" s="184"/>
      <c r="W926" s="184"/>
      <c r="X926" s="184"/>
      <c r="Y926" s="184"/>
      <c r="Z926" s="184"/>
      <c r="AA926" s="184"/>
    </row>
    <row r="927">
      <c r="A927" s="184"/>
      <c r="B927" s="184"/>
      <c r="C927" s="184"/>
      <c r="D927" s="184"/>
      <c r="E927" s="184"/>
      <c r="F927" s="184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84"/>
      <c r="V927" s="184"/>
      <c r="W927" s="184"/>
      <c r="X927" s="184"/>
      <c r="Y927" s="184"/>
      <c r="Z927" s="184"/>
      <c r="AA927" s="184"/>
    </row>
    <row r="928">
      <c r="A928" s="184"/>
      <c r="B928" s="184"/>
      <c r="C928" s="184"/>
      <c r="D928" s="184"/>
      <c r="E928" s="184"/>
      <c r="F928" s="184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84"/>
      <c r="V928" s="184"/>
      <c r="W928" s="184"/>
      <c r="X928" s="184"/>
      <c r="Y928" s="184"/>
      <c r="Z928" s="184"/>
      <c r="AA928" s="184"/>
    </row>
    <row r="929">
      <c r="A929" s="184"/>
      <c r="B929" s="184"/>
      <c r="C929" s="184"/>
      <c r="D929" s="184"/>
      <c r="E929" s="184"/>
      <c r="F929" s="184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84"/>
      <c r="V929" s="184"/>
      <c r="W929" s="184"/>
      <c r="X929" s="184"/>
      <c r="Y929" s="184"/>
      <c r="Z929" s="184"/>
      <c r="AA929" s="184"/>
    </row>
    <row r="930">
      <c r="A930" s="184"/>
      <c r="B930" s="184"/>
      <c r="C930" s="184"/>
      <c r="D930" s="184"/>
      <c r="E930" s="184"/>
      <c r="F930" s="184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84"/>
      <c r="V930" s="184"/>
      <c r="W930" s="184"/>
      <c r="X930" s="184"/>
      <c r="Y930" s="184"/>
      <c r="Z930" s="184"/>
      <c r="AA930" s="184"/>
    </row>
    <row r="931">
      <c r="A931" s="184"/>
      <c r="B931" s="184"/>
      <c r="C931" s="184"/>
      <c r="D931" s="184"/>
      <c r="E931" s="184"/>
      <c r="F931" s="184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84"/>
      <c r="V931" s="184"/>
      <c r="W931" s="184"/>
      <c r="X931" s="184"/>
      <c r="Y931" s="184"/>
      <c r="Z931" s="184"/>
      <c r="AA931" s="184"/>
    </row>
    <row r="932">
      <c r="A932" s="184"/>
      <c r="B932" s="184"/>
      <c r="C932" s="184"/>
      <c r="D932" s="184"/>
      <c r="E932" s="184"/>
      <c r="F932" s="184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84"/>
      <c r="V932" s="184"/>
      <c r="W932" s="184"/>
      <c r="X932" s="184"/>
      <c r="Y932" s="184"/>
      <c r="Z932" s="184"/>
      <c r="AA932" s="184"/>
    </row>
    <row r="933">
      <c r="A933" s="184"/>
      <c r="B933" s="184"/>
      <c r="C933" s="184"/>
      <c r="D933" s="184"/>
      <c r="E933" s="184"/>
      <c r="F933" s="184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84"/>
      <c r="V933" s="184"/>
      <c r="W933" s="184"/>
      <c r="X933" s="184"/>
      <c r="Y933" s="184"/>
      <c r="Z933" s="184"/>
      <c r="AA933" s="184"/>
    </row>
    <row r="934">
      <c r="A934" s="184"/>
      <c r="B934" s="184"/>
      <c r="C934" s="184"/>
      <c r="D934" s="184"/>
      <c r="E934" s="184"/>
      <c r="F934" s="184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84"/>
      <c r="V934" s="184"/>
      <c r="W934" s="184"/>
      <c r="X934" s="184"/>
      <c r="Y934" s="184"/>
      <c r="Z934" s="184"/>
      <c r="AA934" s="184"/>
    </row>
    <row r="935">
      <c r="A935" s="184"/>
      <c r="B935" s="184"/>
      <c r="C935" s="184"/>
      <c r="D935" s="184"/>
      <c r="E935" s="184"/>
      <c r="F935" s="184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84"/>
      <c r="V935" s="184"/>
      <c r="W935" s="184"/>
      <c r="X935" s="184"/>
      <c r="Y935" s="184"/>
      <c r="Z935" s="184"/>
      <c r="AA935" s="184"/>
    </row>
    <row r="936">
      <c r="A936" s="184"/>
      <c r="B936" s="184"/>
      <c r="C936" s="184"/>
      <c r="D936" s="184"/>
      <c r="E936" s="184"/>
      <c r="F936" s="184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84"/>
      <c r="V936" s="184"/>
      <c r="W936" s="184"/>
      <c r="X936" s="184"/>
      <c r="Y936" s="184"/>
      <c r="Z936" s="184"/>
      <c r="AA936" s="184"/>
    </row>
    <row r="937">
      <c r="A937" s="184"/>
      <c r="B937" s="184"/>
      <c r="C937" s="184"/>
      <c r="D937" s="184"/>
      <c r="E937" s="184"/>
      <c r="F937" s="184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84"/>
      <c r="V937" s="184"/>
      <c r="W937" s="184"/>
      <c r="X937" s="184"/>
      <c r="Y937" s="184"/>
      <c r="Z937" s="184"/>
      <c r="AA937" s="184"/>
    </row>
    <row r="938">
      <c r="A938" s="184"/>
      <c r="B938" s="184"/>
      <c r="C938" s="184"/>
      <c r="D938" s="184"/>
      <c r="E938" s="184"/>
      <c r="F938" s="184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84"/>
      <c r="V938" s="184"/>
      <c r="W938" s="184"/>
      <c r="X938" s="184"/>
      <c r="Y938" s="184"/>
      <c r="Z938" s="184"/>
      <c r="AA938" s="184"/>
    </row>
    <row r="939">
      <c r="A939" s="184"/>
      <c r="B939" s="184"/>
      <c r="C939" s="184"/>
      <c r="D939" s="184"/>
      <c r="E939" s="184"/>
      <c r="F939" s="184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84"/>
      <c r="V939" s="184"/>
      <c r="W939" s="184"/>
      <c r="X939" s="184"/>
      <c r="Y939" s="184"/>
      <c r="Z939" s="184"/>
      <c r="AA939" s="184"/>
    </row>
    <row r="940">
      <c r="A940" s="184"/>
      <c r="B940" s="184"/>
      <c r="C940" s="184"/>
      <c r="D940" s="184"/>
      <c r="E940" s="184"/>
      <c r="F940" s="184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84"/>
      <c r="V940" s="184"/>
      <c r="W940" s="184"/>
      <c r="X940" s="184"/>
      <c r="Y940" s="184"/>
      <c r="Z940" s="184"/>
      <c r="AA940" s="184"/>
    </row>
    <row r="941">
      <c r="A941" s="184"/>
      <c r="B941" s="184"/>
      <c r="C941" s="184"/>
      <c r="D941" s="184"/>
      <c r="E941" s="184"/>
      <c r="F941" s="184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84"/>
      <c r="V941" s="184"/>
      <c r="W941" s="184"/>
      <c r="X941" s="184"/>
      <c r="Y941" s="184"/>
      <c r="Z941" s="184"/>
      <c r="AA941" s="184"/>
    </row>
    <row r="942">
      <c r="A942" s="184"/>
      <c r="B942" s="184"/>
      <c r="C942" s="184"/>
      <c r="D942" s="184"/>
      <c r="E942" s="184"/>
      <c r="F942" s="184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84"/>
      <c r="V942" s="184"/>
      <c r="W942" s="184"/>
      <c r="X942" s="184"/>
      <c r="Y942" s="184"/>
      <c r="Z942" s="184"/>
      <c r="AA942" s="184"/>
    </row>
    <row r="943">
      <c r="A943" s="184"/>
      <c r="B943" s="184"/>
      <c r="C943" s="184"/>
      <c r="D943" s="184"/>
      <c r="E943" s="184"/>
      <c r="F943" s="184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84"/>
      <c r="V943" s="184"/>
      <c r="W943" s="184"/>
      <c r="X943" s="184"/>
      <c r="Y943" s="184"/>
      <c r="Z943" s="184"/>
      <c r="AA943" s="184"/>
    </row>
    <row r="944">
      <c r="A944" s="184"/>
      <c r="B944" s="184"/>
      <c r="C944" s="184"/>
      <c r="D944" s="184"/>
      <c r="E944" s="184"/>
      <c r="F944" s="184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84"/>
      <c r="V944" s="184"/>
      <c r="W944" s="184"/>
      <c r="X944" s="184"/>
      <c r="Y944" s="184"/>
      <c r="Z944" s="184"/>
      <c r="AA944" s="184"/>
    </row>
    <row r="945">
      <c r="A945" s="184"/>
      <c r="B945" s="184"/>
      <c r="C945" s="184"/>
      <c r="D945" s="184"/>
      <c r="E945" s="184"/>
      <c r="F945" s="184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84"/>
      <c r="V945" s="184"/>
      <c r="W945" s="184"/>
      <c r="X945" s="184"/>
      <c r="Y945" s="184"/>
      <c r="Z945" s="184"/>
      <c r="AA945" s="184"/>
    </row>
    <row r="946">
      <c r="A946" s="184"/>
      <c r="B946" s="184"/>
      <c r="C946" s="184"/>
      <c r="D946" s="184"/>
      <c r="E946" s="184"/>
      <c r="F946" s="184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84"/>
      <c r="V946" s="184"/>
      <c r="W946" s="184"/>
      <c r="X946" s="184"/>
      <c r="Y946" s="184"/>
      <c r="Z946" s="184"/>
      <c r="AA946" s="184"/>
    </row>
    <row r="947">
      <c r="A947" s="184"/>
      <c r="B947" s="184"/>
      <c r="C947" s="184"/>
      <c r="D947" s="184"/>
      <c r="E947" s="184"/>
      <c r="F947" s="184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84"/>
      <c r="V947" s="184"/>
      <c r="W947" s="184"/>
      <c r="X947" s="184"/>
      <c r="Y947" s="184"/>
      <c r="Z947" s="184"/>
      <c r="AA947" s="184"/>
    </row>
    <row r="948">
      <c r="A948" s="184"/>
      <c r="B948" s="184"/>
      <c r="C948" s="184"/>
      <c r="D948" s="184"/>
      <c r="E948" s="184"/>
      <c r="F948" s="184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84"/>
      <c r="V948" s="184"/>
      <c r="W948" s="184"/>
      <c r="X948" s="184"/>
      <c r="Y948" s="184"/>
      <c r="Z948" s="184"/>
      <c r="AA948" s="184"/>
    </row>
    <row r="949">
      <c r="A949" s="184"/>
      <c r="B949" s="184"/>
      <c r="C949" s="184"/>
      <c r="D949" s="184"/>
      <c r="E949" s="184"/>
      <c r="F949" s="184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84"/>
      <c r="V949" s="184"/>
      <c r="W949" s="184"/>
      <c r="X949" s="184"/>
      <c r="Y949" s="184"/>
      <c r="Z949" s="184"/>
      <c r="AA949" s="184"/>
    </row>
    <row r="950">
      <c r="A950" s="184"/>
      <c r="B950" s="184"/>
      <c r="C950" s="184"/>
      <c r="D950" s="184"/>
      <c r="E950" s="184"/>
      <c r="F950" s="184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84"/>
      <c r="V950" s="184"/>
      <c r="W950" s="184"/>
      <c r="X950" s="184"/>
      <c r="Y950" s="184"/>
      <c r="Z950" s="184"/>
      <c r="AA950" s="184"/>
    </row>
    <row r="951">
      <c r="A951" s="184"/>
      <c r="B951" s="184"/>
      <c r="C951" s="184"/>
      <c r="D951" s="184"/>
      <c r="E951" s="184"/>
      <c r="F951" s="184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84"/>
      <c r="V951" s="184"/>
      <c r="W951" s="184"/>
      <c r="X951" s="184"/>
      <c r="Y951" s="184"/>
      <c r="Z951" s="184"/>
      <c r="AA951" s="184"/>
    </row>
    <row r="952">
      <c r="A952" s="184"/>
      <c r="B952" s="184"/>
      <c r="C952" s="184"/>
      <c r="D952" s="184"/>
      <c r="E952" s="184"/>
      <c r="F952" s="184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84"/>
      <c r="V952" s="184"/>
      <c r="W952" s="184"/>
      <c r="X952" s="184"/>
      <c r="Y952" s="184"/>
      <c r="Z952" s="184"/>
      <c r="AA952" s="184"/>
    </row>
    <row r="953">
      <c r="A953" s="184"/>
      <c r="B953" s="184"/>
      <c r="C953" s="184"/>
      <c r="D953" s="184"/>
      <c r="E953" s="184"/>
      <c r="F953" s="184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84"/>
      <c r="V953" s="184"/>
      <c r="W953" s="184"/>
      <c r="X953" s="184"/>
      <c r="Y953" s="184"/>
      <c r="Z953" s="184"/>
      <c r="AA953" s="184"/>
    </row>
    <row r="954">
      <c r="A954" s="184"/>
      <c r="B954" s="184"/>
      <c r="C954" s="184"/>
      <c r="D954" s="184"/>
      <c r="E954" s="184"/>
      <c r="F954" s="184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84"/>
      <c r="V954" s="184"/>
      <c r="W954" s="184"/>
      <c r="X954" s="184"/>
      <c r="Y954" s="184"/>
      <c r="Z954" s="184"/>
      <c r="AA954" s="184"/>
    </row>
    <row r="955">
      <c r="A955" s="184"/>
      <c r="B955" s="184"/>
      <c r="C955" s="184"/>
      <c r="D955" s="184"/>
      <c r="E955" s="184"/>
      <c r="F955" s="184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84"/>
      <c r="V955" s="184"/>
      <c r="W955" s="184"/>
      <c r="X955" s="184"/>
      <c r="Y955" s="184"/>
      <c r="Z955" s="184"/>
      <c r="AA955" s="184"/>
    </row>
    <row r="956">
      <c r="A956" s="184"/>
      <c r="B956" s="184"/>
      <c r="C956" s="184"/>
      <c r="D956" s="184"/>
      <c r="E956" s="184"/>
      <c r="F956" s="184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84"/>
      <c r="V956" s="184"/>
      <c r="W956" s="184"/>
      <c r="X956" s="184"/>
      <c r="Y956" s="184"/>
      <c r="Z956" s="184"/>
      <c r="AA956" s="184"/>
    </row>
    <row r="957">
      <c r="A957" s="184"/>
      <c r="B957" s="184"/>
      <c r="C957" s="184"/>
      <c r="D957" s="184"/>
      <c r="E957" s="184"/>
      <c r="F957" s="184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84"/>
      <c r="V957" s="184"/>
      <c r="W957" s="184"/>
      <c r="X957" s="184"/>
      <c r="Y957" s="184"/>
      <c r="Z957" s="184"/>
      <c r="AA957" s="184"/>
    </row>
    <row r="958">
      <c r="A958" s="184"/>
      <c r="B958" s="184"/>
      <c r="C958" s="184"/>
      <c r="D958" s="184"/>
      <c r="E958" s="184"/>
      <c r="F958" s="184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84"/>
      <c r="V958" s="184"/>
      <c r="W958" s="184"/>
      <c r="X958" s="184"/>
      <c r="Y958" s="184"/>
      <c r="Z958" s="184"/>
      <c r="AA958" s="184"/>
    </row>
    <row r="959">
      <c r="A959" s="184"/>
      <c r="B959" s="184"/>
      <c r="C959" s="184"/>
      <c r="D959" s="184"/>
      <c r="E959" s="184"/>
      <c r="F959" s="184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84"/>
      <c r="V959" s="184"/>
      <c r="W959" s="184"/>
      <c r="X959" s="184"/>
      <c r="Y959" s="184"/>
      <c r="Z959" s="184"/>
      <c r="AA959" s="184"/>
    </row>
    <row r="960">
      <c r="A960" s="184"/>
      <c r="B960" s="184"/>
      <c r="C960" s="184"/>
      <c r="D960" s="184"/>
      <c r="E960" s="184"/>
      <c r="F960" s="184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84"/>
      <c r="V960" s="184"/>
      <c r="W960" s="184"/>
      <c r="X960" s="184"/>
      <c r="Y960" s="184"/>
      <c r="Z960" s="184"/>
      <c r="AA960" s="184"/>
    </row>
    <row r="961">
      <c r="A961" s="184"/>
      <c r="B961" s="184"/>
      <c r="C961" s="184"/>
      <c r="D961" s="184"/>
      <c r="E961" s="184"/>
      <c r="F961" s="184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84"/>
      <c r="V961" s="184"/>
      <c r="W961" s="184"/>
      <c r="X961" s="184"/>
      <c r="Y961" s="184"/>
      <c r="Z961" s="184"/>
      <c r="AA961" s="184"/>
    </row>
    <row r="962">
      <c r="A962" s="184"/>
      <c r="B962" s="184"/>
      <c r="C962" s="184"/>
      <c r="D962" s="184"/>
      <c r="E962" s="184"/>
      <c r="F962" s="184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84"/>
      <c r="V962" s="184"/>
      <c r="W962" s="184"/>
      <c r="X962" s="184"/>
      <c r="Y962" s="184"/>
      <c r="Z962" s="184"/>
      <c r="AA962" s="184"/>
    </row>
    <row r="963">
      <c r="A963" s="184"/>
      <c r="B963" s="184"/>
      <c r="C963" s="184"/>
      <c r="D963" s="184"/>
      <c r="E963" s="184"/>
      <c r="F963" s="184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84"/>
      <c r="V963" s="184"/>
      <c r="W963" s="184"/>
      <c r="X963" s="184"/>
      <c r="Y963" s="184"/>
      <c r="Z963" s="184"/>
      <c r="AA963" s="184"/>
    </row>
    <row r="964">
      <c r="A964" s="184"/>
      <c r="B964" s="184"/>
      <c r="C964" s="184"/>
      <c r="D964" s="184"/>
      <c r="E964" s="184"/>
      <c r="F964" s="184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84"/>
      <c r="V964" s="184"/>
      <c r="W964" s="184"/>
      <c r="X964" s="184"/>
      <c r="Y964" s="184"/>
      <c r="Z964" s="184"/>
      <c r="AA964" s="184"/>
    </row>
    <row r="965">
      <c r="A965" s="184"/>
      <c r="B965" s="184"/>
      <c r="C965" s="184"/>
      <c r="D965" s="184"/>
      <c r="E965" s="184"/>
      <c r="F965" s="184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84"/>
      <c r="V965" s="184"/>
      <c r="W965" s="184"/>
      <c r="X965" s="184"/>
      <c r="Y965" s="184"/>
      <c r="Z965" s="184"/>
      <c r="AA965" s="184"/>
    </row>
    <row r="966">
      <c r="A966" s="184"/>
      <c r="B966" s="184"/>
      <c r="C966" s="184"/>
      <c r="D966" s="184"/>
      <c r="E966" s="184"/>
      <c r="F966" s="184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84"/>
      <c r="V966" s="184"/>
      <c r="W966" s="184"/>
      <c r="X966" s="184"/>
      <c r="Y966" s="184"/>
      <c r="Z966" s="184"/>
      <c r="AA966" s="184"/>
    </row>
    <row r="967">
      <c r="A967" s="184"/>
      <c r="B967" s="184"/>
      <c r="C967" s="184"/>
      <c r="D967" s="184"/>
      <c r="E967" s="184"/>
      <c r="F967" s="184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84"/>
      <c r="V967" s="184"/>
      <c r="W967" s="184"/>
      <c r="X967" s="184"/>
      <c r="Y967" s="184"/>
      <c r="Z967" s="184"/>
      <c r="AA967" s="184"/>
    </row>
    <row r="968">
      <c r="A968" s="184"/>
      <c r="B968" s="184"/>
      <c r="C968" s="184"/>
      <c r="D968" s="184"/>
      <c r="E968" s="184"/>
      <c r="F968" s="184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84"/>
      <c r="V968" s="184"/>
      <c r="W968" s="184"/>
      <c r="X968" s="184"/>
      <c r="Y968" s="184"/>
      <c r="Z968" s="184"/>
      <c r="AA968" s="184"/>
    </row>
    <row r="969">
      <c r="A969" s="184"/>
      <c r="B969" s="184"/>
      <c r="C969" s="184"/>
      <c r="D969" s="184"/>
      <c r="E969" s="184"/>
      <c r="F969" s="184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84"/>
      <c r="V969" s="184"/>
      <c r="W969" s="184"/>
      <c r="X969" s="184"/>
      <c r="Y969" s="184"/>
      <c r="Z969" s="184"/>
      <c r="AA969" s="184"/>
    </row>
    <row r="970">
      <c r="A970" s="184"/>
      <c r="B970" s="184"/>
      <c r="C970" s="184"/>
      <c r="D970" s="184"/>
      <c r="E970" s="184"/>
      <c r="F970" s="184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84"/>
      <c r="V970" s="184"/>
      <c r="W970" s="184"/>
      <c r="X970" s="184"/>
      <c r="Y970" s="184"/>
      <c r="Z970" s="184"/>
      <c r="AA970" s="184"/>
    </row>
    <row r="971">
      <c r="A971" s="184"/>
      <c r="B971" s="184"/>
      <c r="C971" s="184"/>
      <c r="D971" s="184"/>
      <c r="E971" s="184"/>
      <c r="F971" s="184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84"/>
      <c r="V971" s="184"/>
      <c r="W971" s="184"/>
      <c r="X971" s="184"/>
      <c r="Y971" s="184"/>
      <c r="Z971" s="184"/>
      <c r="AA971" s="184"/>
    </row>
    <row r="972">
      <c r="A972" s="184"/>
      <c r="B972" s="184"/>
      <c r="C972" s="184"/>
      <c r="D972" s="184"/>
      <c r="E972" s="184"/>
      <c r="F972" s="184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84"/>
      <c r="V972" s="184"/>
      <c r="W972" s="184"/>
      <c r="X972" s="184"/>
      <c r="Y972" s="184"/>
      <c r="Z972" s="184"/>
      <c r="AA972" s="184"/>
    </row>
    <row r="973">
      <c r="A973" s="184"/>
      <c r="B973" s="184"/>
      <c r="C973" s="184"/>
      <c r="D973" s="184"/>
      <c r="E973" s="184"/>
      <c r="F973" s="184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84"/>
      <c r="V973" s="184"/>
      <c r="W973" s="184"/>
      <c r="X973" s="184"/>
      <c r="Y973" s="184"/>
      <c r="Z973" s="184"/>
      <c r="AA973" s="184"/>
    </row>
    <row r="974">
      <c r="A974" s="184"/>
      <c r="B974" s="184"/>
      <c r="C974" s="184"/>
      <c r="D974" s="184"/>
      <c r="E974" s="184"/>
      <c r="F974" s="184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84"/>
      <c r="V974" s="184"/>
      <c r="W974" s="184"/>
      <c r="X974" s="184"/>
      <c r="Y974" s="184"/>
      <c r="Z974" s="184"/>
      <c r="AA974" s="184"/>
    </row>
    <row r="975">
      <c r="A975" s="184"/>
      <c r="B975" s="184"/>
      <c r="C975" s="184"/>
      <c r="D975" s="184"/>
      <c r="E975" s="184"/>
      <c r="F975" s="184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84"/>
      <c r="V975" s="184"/>
      <c r="W975" s="184"/>
      <c r="X975" s="184"/>
      <c r="Y975" s="184"/>
      <c r="Z975" s="184"/>
      <c r="AA975" s="184"/>
    </row>
    <row r="976">
      <c r="A976" s="184"/>
      <c r="B976" s="184"/>
      <c r="C976" s="184"/>
      <c r="D976" s="184"/>
      <c r="E976" s="184"/>
      <c r="F976" s="184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84"/>
      <c r="V976" s="184"/>
      <c r="W976" s="184"/>
      <c r="X976" s="184"/>
      <c r="Y976" s="184"/>
      <c r="Z976" s="184"/>
      <c r="AA976" s="184"/>
    </row>
    <row r="977">
      <c r="A977" s="184"/>
      <c r="B977" s="184"/>
      <c r="C977" s="184"/>
      <c r="D977" s="184"/>
      <c r="E977" s="184"/>
      <c r="F977" s="184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84"/>
      <c r="V977" s="184"/>
      <c r="W977" s="184"/>
      <c r="X977" s="184"/>
      <c r="Y977" s="184"/>
      <c r="Z977" s="184"/>
      <c r="AA977" s="184"/>
    </row>
    <row r="978">
      <c r="A978" s="184"/>
      <c r="B978" s="184"/>
      <c r="C978" s="184"/>
      <c r="D978" s="184"/>
      <c r="E978" s="184"/>
      <c r="F978" s="184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84"/>
      <c r="V978" s="184"/>
      <c r="W978" s="184"/>
      <c r="X978" s="184"/>
      <c r="Y978" s="184"/>
      <c r="Z978" s="184"/>
      <c r="AA978" s="184"/>
    </row>
    <row r="979">
      <c r="A979" s="184"/>
      <c r="B979" s="184"/>
      <c r="C979" s="184"/>
      <c r="D979" s="184"/>
      <c r="E979" s="184"/>
      <c r="F979" s="184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84"/>
      <c r="V979" s="184"/>
      <c r="W979" s="184"/>
      <c r="X979" s="184"/>
      <c r="Y979" s="184"/>
      <c r="Z979" s="184"/>
      <c r="AA979" s="184"/>
    </row>
    <row r="980">
      <c r="A980" s="184"/>
      <c r="B980" s="184"/>
      <c r="C980" s="184"/>
      <c r="D980" s="184"/>
      <c r="E980" s="184"/>
      <c r="F980" s="184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84"/>
      <c r="V980" s="184"/>
      <c r="W980" s="184"/>
      <c r="X980" s="184"/>
      <c r="Y980" s="184"/>
      <c r="Z980" s="184"/>
      <c r="AA980" s="184"/>
    </row>
    <row r="981">
      <c r="A981" s="184"/>
      <c r="B981" s="184"/>
      <c r="C981" s="184"/>
      <c r="D981" s="184"/>
      <c r="E981" s="184"/>
      <c r="F981" s="184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84"/>
      <c r="V981" s="184"/>
      <c r="W981" s="184"/>
      <c r="X981" s="184"/>
      <c r="Y981" s="184"/>
      <c r="Z981" s="184"/>
      <c r="AA981" s="184"/>
    </row>
    <row r="982">
      <c r="A982" s="184"/>
      <c r="B982" s="184"/>
      <c r="C982" s="184"/>
      <c r="D982" s="184"/>
      <c r="E982" s="184"/>
      <c r="F982" s="184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84"/>
      <c r="V982" s="184"/>
      <c r="W982" s="184"/>
      <c r="X982" s="184"/>
      <c r="Y982" s="184"/>
      <c r="Z982" s="184"/>
      <c r="AA982" s="184"/>
    </row>
    <row r="983">
      <c r="A983" s="184"/>
      <c r="B983" s="184"/>
      <c r="C983" s="184"/>
      <c r="D983" s="184"/>
      <c r="E983" s="184"/>
      <c r="F983" s="184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84"/>
      <c r="V983" s="184"/>
      <c r="W983" s="184"/>
      <c r="X983" s="184"/>
      <c r="Y983" s="184"/>
      <c r="Z983" s="184"/>
      <c r="AA983" s="184"/>
    </row>
    <row r="984">
      <c r="A984" s="184"/>
      <c r="B984" s="184"/>
      <c r="C984" s="184"/>
      <c r="D984" s="184"/>
      <c r="E984" s="184"/>
      <c r="F984" s="184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84"/>
      <c r="V984" s="184"/>
      <c r="W984" s="184"/>
      <c r="X984" s="184"/>
      <c r="Y984" s="184"/>
      <c r="Z984" s="184"/>
      <c r="AA984" s="184"/>
    </row>
  </sheetData>
  <mergeCells count="3">
    <mergeCell ref="A11:A12"/>
    <mergeCell ref="A13:A14"/>
    <mergeCell ref="A15:A16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</cols>
  <sheetData>
    <row r="1">
      <c r="A1" s="463" t="s">
        <v>17</v>
      </c>
      <c r="B1" s="464" t="s">
        <v>802</v>
      </c>
      <c r="C1" s="465" t="s">
        <v>412</v>
      </c>
      <c r="D1" s="466" t="s">
        <v>413</v>
      </c>
      <c r="E1" s="466" t="s">
        <v>418</v>
      </c>
      <c r="F1" s="466" t="s">
        <v>414</v>
      </c>
      <c r="G1" s="467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 ht="17.25" customHeight="1">
      <c r="A2" s="468">
        <v>1.0</v>
      </c>
      <c r="B2" s="469"/>
      <c r="C2" s="470"/>
      <c r="D2" s="367"/>
      <c r="E2" s="367"/>
      <c r="F2" s="367"/>
      <c r="G2" s="149"/>
      <c r="H2" s="181">
        <v>7.0</v>
      </c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</row>
    <row r="3" ht="18.0" customHeight="1">
      <c r="A3" s="468">
        <v>2.0</v>
      </c>
      <c r="B3" s="469"/>
      <c r="C3" s="367"/>
      <c r="D3" s="367"/>
      <c r="E3" s="367"/>
      <c r="F3" s="149"/>
      <c r="G3" s="149"/>
      <c r="H3" s="181">
        <v>12.0</v>
      </c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</row>
    <row r="4" ht="17.25" customHeight="1">
      <c r="A4" s="468">
        <v>3.0</v>
      </c>
      <c r="B4" s="469"/>
      <c r="C4" s="367"/>
      <c r="D4" s="470"/>
      <c r="E4" s="470"/>
      <c r="F4" s="471"/>
      <c r="G4" s="149"/>
      <c r="H4" s="181">
        <v>13.0</v>
      </c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</row>
    <row r="5" ht="16.5" customHeight="1">
      <c r="A5" s="468">
        <v>4.0</v>
      </c>
      <c r="B5" s="469"/>
      <c r="C5" s="367"/>
      <c r="D5" s="146"/>
      <c r="E5" s="146"/>
      <c r="F5" s="149"/>
      <c r="G5" s="149"/>
      <c r="H5" s="181">
        <v>17.0</v>
      </c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</row>
    <row r="6" ht="19.5" customHeight="1">
      <c r="A6" s="468">
        <v>5.0</v>
      </c>
      <c r="B6" s="469"/>
      <c r="C6" s="472"/>
      <c r="D6" s="472"/>
      <c r="E6" s="472"/>
      <c r="F6" s="472"/>
      <c r="G6" s="149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</row>
    <row r="7">
      <c r="A7" s="468">
        <v>6.0</v>
      </c>
      <c r="B7" s="469"/>
      <c r="C7" s="7"/>
      <c r="D7" s="7"/>
      <c r="E7" s="7"/>
      <c r="F7" s="7"/>
      <c r="G7" s="7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9.88"/>
    <col customWidth="1" min="3" max="4" width="20.0"/>
    <col customWidth="1" min="5" max="5" width="15.38"/>
    <col customWidth="1" min="13" max="13" width="15.88"/>
    <col customWidth="1" min="14" max="14" width="20.63"/>
  </cols>
  <sheetData>
    <row r="1">
      <c r="A1" s="367" t="s">
        <v>803</v>
      </c>
      <c r="B1" s="473" t="s">
        <v>804</v>
      </c>
      <c r="C1" s="367" t="s">
        <v>805</v>
      </c>
      <c r="D1" s="470" t="s">
        <v>806</v>
      </c>
      <c r="E1" s="367"/>
      <c r="F1" s="470" t="s">
        <v>807</v>
      </c>
      <c r="G1" s="367" t="s">
        <v>808</v>
      </c>
      <c r="H1" s="474"/>
      <c r="I1" s="475"/>
      <c r="K1" s="474"/>
      <c r="M1" s="475"/>
      <c r="N1" s="476" t="s">
        <v>809</v>
      </c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>
      <c r="A2" s="468" t="s">
        <v>810</v>
      </c>
      <c r="B2" s="477"/>
      <c r="C2" s="477"/>
      <c r="D2" s="478"/>
      <c r="E2" s="479"/>
      <c r="F2" s="479"/>
      <c r="G2" s="480"/>
      <c r="H2" s="481"/>
      <c r="I2" s="482"/>
      <c r="K2" s="181"/>
      <c r="M2" s="184"/>
      <c r="N2" s="403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</row>
    <row r="3">
      <c r="A3" s="468" t="s">
        <v>811</v>
      </c>
      <c r="B3" s="483"/>
      <c r="C3" s="483"/>
      <c r="D3" s="484" t="s">
        <v>812</v>
      </c>
      <c r="E3" s="149"/>
      <c r="F3" s="149"/>
      <c r="G3" s="485"/>
      <c r="H3" s="486"/>
      <c r="I3" s="184"/>
      <c r="K3" s="475"/>
      <c r="M3" s="482"/>
      <c r="N3" s="403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</row>
    <row r="4">
      <c r="A4" s="468" t="s">
        <v>813</v>
      </c>
      <c r="B4" s="477"/>
      <c r="C4" s="477"/>
      <c r="D4" s="484" t="s">
        <v>814</v>
      </c>
      <c r="E4" s="479"/>
      <c r="F4" s="479"/>
      <c r="G4" s="487"/>
      <c r="H4" s="488"/>
      <c r="I4" s="482"/>
      <c r="K4" s="482"/>
      <c r="M4" s="184"/>
      <c r="N4" s="403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</row>
    <row r="5">
      <c r="A5" s="468" t="s">
        <v>815</v>
      </c>
      <c r="B5" s="483"/>
      <c r="C5" s="483"/>
      <c r="D5" s="484"/>
      <c r="E5" s="149"/>
      <c r="F5" s="149"/>
      <c r="G5" s="480"/>
      <c r="H5" s="481"/>
      <c r="I5" s="184"/>
      <c r="K5" s="482"/>
      <c r="M5" s="184"/>
      <c r="N5" s="403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</row>
    <row r="6">
      <c r="A6" s="468" t="s">
        <v>816</v>
      </c>
      <c r="B6" s="477"/>
      <c r="C6" s="477"/>
      <c r="D6" s="478"/>
      <c r="E6" s="146"/>
      <c r="F6" s="146"/>
      <c r="G6" s="485"/>
      <c r="H6" s="486"/>
      <c r="I6" s="482"/>
      <c r="K6" s="482"/>
      <c r="M6" s="184"/>
      <c r="N6" s="403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</row>
    <row r="7">
      <c r="A7" s="468" t="s">
        <v>817</v>
      </c>
      <c r="B7" s="483"/>
      <c r="C7" s="483"/>
      <c r="D7" s="489"/>
      <c r="E7" s="146"/>
      <c r="F7" s="146"/>
      <c r="G7" s="149"/>
      <c r="H7" s="184"/>
      <c r="I7" s="184"/>
      <c r="K7" s="482"/>
      <c r="M7" s="184"/>
      <c r="N7" s="403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</row>
    <row r="8">
      <c r="A8" s="184"/>
      <c r="B8" s="490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</row>
    <row r="9">
      <c r="A9" s="491"/>
      <c r="B9" s="492"/>
      <c r="C9" s="184"/>
      <c r="D9" s="184"/>
      <c r="E9" s="491"/>
      <c r="F9" s="491"/>
      <c r="G9" s="491"/>
      <c r="H9" s="491"/>
      <c r="I9" s="491"/>
      <c r="J9" s="491"/>
      <c r="K9" s="491"/>
      <c r="L9" s="491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</row>
    <row r="10">
      <c r="A10" s="493" t="s">
        <v>17</v>
      </c>
      <c r="B10" s="494"/>
      <c r="C10" s="466" t="s">
        <v>818</v>
      </c>
      <c r="D10" s="495" t="s">
        <v>819</v>
      </c>
      <c r="E10" s="464" t="s">
        <v>15</v>
      </c>
      <c r="F10" s="464" t="s">
        <v>25</v>
      </c>
      <c r="G10" s="464" t="s">
        <v>39</v>
      </c>
      <c r="H10" s="464" t="s">
        <v>64</v>
      </c>
      <c r="I10" s="464" t="s">
        <v>820</v>
      </c>
      <c r="J10" s="464" t="s">
        <v>821</v>
      </c>
      <c r="K10" s="464" t="s">
        <v>822</v>
      </c>
      <c r="L10" s="464" t="s">
        <v>823</v>
      </c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</row>
    <row r="11">
      <c r="A11" s="468">
        <v>1.0</v>
      </c>
      <c r="B11" s="469"/>
      <c r="C11" s="496"/>
      <c r="D11" s="497"/>
      <c r="E11" s="498">
        <v>0.25</v>
      </c>
      <c r="F11" s="498">
        <v>0.0</v>
      </c>
      <c r="G11" s="498">
        <v>0.0</v>
      </c>
      <c r="H11" s="499">
        <v>0.0</v>
      </c>
      <c r="I11" s="500"/>
      <c r="J11" s="500"/>
      <c r="K11" s="501">
        <v>0.0</v>
      </c>
      <c r="L11" s="502">
        <f t="shared" ref="L11:L16" si="1">(E11+F11+G11+H11+K11)/5</f>
        <v>0.05</v>
      </c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</row>
    <row r="12">
      <c r="A12" s="468">
        <v>2.0</v>
      </c>
      <c r="B12" s="469"/>
      <c r="C12" s="496"/>
      <c r="D12" s="497"/>
      <c r="E12" s="498">
        <v>0.25</v>
      </c>
      <c r="F12" s="498">
        <v>0.0</v>
      </c>
      <c r="G12" s="498">
        <v>0.0</v>
      </c>
      <c r="H12" s="499">
        <v>0.0</v>
      </c>
      <c r="I12" s="500"/>
      <c r="J12" s="500"/>
      <c r="K12" s="501">
        <v>0.0</v>
      </c>
      <c r="L12" s="502">
        <f t="shared" si="1"/>
        <v>0.05</v>
      </c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</row>
    <row r="13">
      <c r="A13" s="468">
        <v>3.0</v>
      </c>
      <c r="B13" s="469"/>
      <c r="C13" s="496"/>
      <c r="D13" s="497"/>
      <c r="E13" s="498">
        <v>0.25</v>
      </c>
      <c r="F13" s="498">
        <v>0.0</v>
      </c>
      <c r="G13" s="498">
        <v>0.0</v>
      </c>
      <c r="H13" s="499">
        <v>0.0</v>
      </c>
      <c r="I13" s="500"/>
      <c r="J13" s="500"/>
      <c r="K13" s="501">
        <v>0.0</v>
      </c>
      <c r="L13" s="502">
        <f t="shared" si="1"/>
        <v>0.05</v>
      </c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</row>
    <row r="14">
      <c r="A14" s="468">
        <v>4.0</v>
      </c>
      <c r="B14" s="469"/>
      <c r="C14" s="496"/>
      <c r="D14" s="497"/>
      <c r="E14" s="498">
        <v>0.25</v>
      </c>
      <c r="F14" s="498">
        <v>0.0</v>
      </c>
      <c r="G14" s="498">
        <v>0.0</v>
      </c>
      <c r="H14" s="499">
        <v>0.0</v>
      </c>
      <c r="I14" s="500"/>
      <c r="J14" s="500"/>
      <c r="K14" s="501">
        <v>0.0</v>
      </c>
      <c r="L14" s="502">
        <f t="shared" si="1"/>
        <v>0.05</v>
      </c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</row>
    <row r="15">
      <c r="A15" s="468">
        <v>5.0</v>
      </c>
      <c r="B15" s="469"/>
      <c r="C15" s="496"/>
      <c r="D15" s="497"/>
      <c r="E15" s="498">
        <v>0.25</v>
      </c>
      <c r="F15" s="498">
        <v>0.0</v>
      </c>
      <c r="G15" s="498">
        <v>0.0</v>
      </c>
      <c r="H15" s="499">
        <v>0.0</v>
      </c>
      <c r="I15" s="500"/>
      <c r="J15" s="500"/>
      <c r="K15" s="501">
        <v>0.0</v>
      </c>
      <c r="L15" s="502">
        <f t="shared" si="1"/>
        <v>0.05</v>
      </c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</row>
    <row r="16">
      <c r="A16" s="468">
        <v>6.0</v>
      </c>
      <c r="B16" s="469"/>
      <c r="C16" s="496"/>
      <c r="D16" s="497"/>
      <c r="E16" s="498">
        <v>0.25</v>
      </c>
      <c r="F16" s="498">
        <v>0.0</v>
      </c>
      <c r="G16" s="498">
        <v>0.0</v>
      </c>
      <c r="H16" s="499">
        <v>0.0</v>
      </c>
      <c r="I16" s="499"/>
      <c r="J16" s="499"/>
      <c r="K16" s="501">
        <v>0.0</v>
      </c>
      <c r="L16" s="502">
        <f t="shared" si="1"/>
        <v>0.05</v>
      </c>
      <c r="M16" s="184"/>
      <c r="N16" s="184"/>
      <c r="O16" s="184" t="s">
        <v>466</v>
      </c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</row>
    <row r="17">
      <c r="A17" s="491"/>
      <c r="B17" s="492"/>
      <c r="C17" s="503"/>
      <c r="D17" s="503"/>
      <c r="E17" s="491"/>
      <c r="F17" s="491"/>
      <c r="G17" s="491"/>
      <c r="H17" s="491"/>
      <c r="I17" s="491"/>
      <c r="J17" s="491"/>
      <c r="K17" s="491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</row>
    <row r="18">
      <c r="A18" s="493" t="s">
        <v>17</v>
      </c>
      <c r="B18" s="494"/>
      <c r="C18" s="495" t="s">
        <v>825</v>
      </c>
      <c r="D18" s="495" t="s">
        <v>827</v>
      </c>
      <c r="E18" s="464" t="s">
        <v>15</v>
      </c>
      <c r="F18" s="464" t="s">
        <v>25</v>
      </c>
      <c r="G18" s="464" t="s">
        <v>39</v>
      </c>
      <c r="H18" s="464" t="s">
        <v>64</v>
      </c>
      <c r="I18" s="464" t="s">
        <v>820</v>
      </c>
      <c r="J18" s="464" t="s">
        <v>821</v>
      </c>
      <c r="K18" s="464" t="s">
        <v>822</v>
      </c>
      <c r="L18" s="464" t="s">
        <v>823</v>
      </c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</row>
    <row r="19">
      <c r="A19" s="468">
        <v>1.0</v>
      </c>
      <c r="B19" s="469"/>
      <c r="C19" s="505"/>
      <c r="D19" s="506"/>
      <c r="E19" s="498">
        <v>0.0</v>
      </c>
      <c r="F19" s="498">
        <v>0.0</v>
      </c>
      <c r="G19" s="498">
        <v>0.0</v>
      </c>
      <c r="H19" s="499">
        <v>0.0</v>
      </c>
      <c r="I19" s="500"/>
      <c r="J19" s="500"/>
      <c r="K19" s="501">
        <v>0.0</v>
      </c>
      <c r="L19" s="502">
        <f t="shared" ref="L19:L24" si="2">(E19+F19+G19+H19+K19)/5</f>
        <v>0</v>
      </c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</row>
    <row r="20">
      <c r="A20" s="468">
        <v>2.0</v>
      </c>
      <c r="B20" s="469"/>
      <c r="C20" s="505"/>
      <c r="D20" s="507"/>
      <c r="E20" s="498">
        <v>0.0</v>
      </c>
      <c r="F20" s="498">
        <v>0.0</v>
      </c>
      <c r="G20" s="498">
        <v>0.0</v>
      </c>
      <c r="H20" s="499">
        <v>0.0</v>
      </c>
      <c r="I20" s="500"/>
      <c r="J20" s="500"/>
      <c r="K20" s="501">
        <v>0.0</v>
      </c>
      <c r="L20" s="502">
        <f t="shared" si="2"/>
        <v>0</v>
      </c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</row>
    <row r="21">
      <c r="A21" s="468">
        <v>3.0</v>
      </c>
      <c r="B21" s="469"/>
      <c r="C21" s="505"/>
      <c r="D21" s="507"/>
      <c r="E21" s="498">
        <v>0.0</v>
      </c>
      <c r="F21" s="498">
        <v>0.0</v>
      </c>
      <c r="G21" s="498">
        <v>0.0</v>
      </c>
      <c r="H21" s="499">
        <v>0.0</v>
      </c>
      <c r="I21" s="500"/>
      <c r="J21" s="500"/>
      <c r="K21" s="501">
        <v>0.0</v>
      </c>
      <c r="L21" s="502">
        <f t="shared" si="2"/>
        <v>0</v>
      </c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</row>
    <row r="22">
      <c r="A22" s="468">
        <v>4.0</v>
      </c>
      <c r="B22" s="469"/>
      <c r="C22" s="505"/>
      <c r="D22" s="510"/>
      <c r="E22" s="498">
        <v>0.0</v>
      </c>
      <c r="F22" s="498">
        <v>0.0</v>
      </c>
      <c r="G22" s="498">
        <v>0.0</v>
      </c>
      <c r="H22" s="499">
        <v>0.0</v>
      </c>
      <c r="I22" s="500"/>
      <c r="J22" s="500"/>
      <c r="K22" s="501">
        <v>0.0</v>
      </c>
      <c r="L22" s="502">
        <f t="shared" si="2"/>
        <v>0</v>
      </c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</row>
    <row r="23">
      <c r="A23" s="468">
        <v>5.0</v>
      </c>
      <c r="B23" s="469"/>
      <c r="C23" s="505"/>
      <c r="D23" s="403"/>
      <c r="E23" s="498">
        <v>0.0</v>
      </c>
      <c r="F23" s="498">
        <v>0.0</v>
      </c>
      <c r="G23" s="498">
        <v>0.0</v>
      </c>
      <c r="H23" s="499">
        <v>0.0</v>
      </c>
      <c r="I23" s="500"/>
      <c r="J23" s="500"/>
      <c r="K23" s="501">
        <v>0.0</v>
      </c>
      <c r="L23" s="502">
        <f t="shared" si="2"/>
        <v>0</v>
      </c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</row>
    <row r="24">
      <c r="A24" s="468">
        <v>6.0</v>
      </c>
      <c r="B24" s="469"/>
      <c r="C24" s="505"/>
      <c r="D24" s="403"/>
      <c r="E24" s="498">
        <v>0.0</v>
      </c>
      <c r="F24" s="498">
        <v>0.0</v>
      </c>
      <c r="G24" s="498">
        <v>0.0</v>
      </c>
      <c r="H24" s="499">
        <v>0.0</v>
      </c>
      <c r="I24" s="499"/>
      <c r="J24" s="499"/>
      <c r="K24" s="501">
        <v>0.0</v>
      </c>
      <c r="L24" s="502">
        <f t="shared" si="2"/>
        <v>0</v>
      </c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</row>
    <row r="25">
      <c r="A25" s="512"/>
      <c r="B25" s="513"/>
      <c r="C25" s="514"/>
      <c r="D25" s="514"/>
      <c r="E25" s="514"/>
      <c r="F25" s="514"/>
      <c r="G25" s="514"/>
      <c r="H25" s="514"/>
      <c r="I25" s="514"/>
      <c r="J25" s="514"/>
      <c r="K25" s="514"/>
      <c r="L25" s="51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</row>
    <row r="26">
      <c r="A26" s="493" t="s">
        <v>17</v>
      </c>
      <c r="B26" s="494"/>
      <c r="C26" s="495" t="s">
        <v>841</v>
      </c>
      <c r="D26" s="495" t="s">
        <v>827</v>
      </c>
      <c r="E26" s="464" t="s">
        <v>15</v>
      </c>
      <c r="F26" s="464" t="s">
        <v>25</v>
      </c>
      <c r="G26" s="464" t="s">
        <v>39</v>
      </c>
      <c r="H26" s="464" t="s">
        <v>64</v>
      </c>
      <c r="I26" s="464" t="s">
        <v>820</v>
      </c>
      <c r="J26" s="464" t="s">
        <v>821</v>
      </c>
      <c r="K26" s="464" t="s">
        <v>822</v>
      </c>
      <c r="L26" s="464" t="s">
        <v>823</v>
      </c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</row>
    <row r="27">
      <c r="A27" s="468">
        <v>1.0</v>
      </c>
      <c r="B27" s="469"/>
      <c r="C27" s="515"/>
      <c r="D27" s="506"/>
      <c r="E27" s="498">
        <v>0.0</v>
      </c>
      <c r="F27" s="498">
        <v>0.0</v>
      </c>
      <c r="G27" s="498">
        <v>0.0</v>
      </c>
      <c r="H27" s="499">
        <v>0.0</v>
      </c>
      <c r="I27" s="500"/>
      <c r="J27" s="500"/>
      <c r="K27" s="501">
        <v>0.0</v>
      </c>
      <c r="L27" s="502">
        <f t="shared" ref="L27:L32" si="3">(E27+F27+G27+H27+K27)/5</f>
        <v>0</v>
      </c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</row>
    <row r="28">
      <c r="A28" s="468">
        <v>2.0</v>
      </c>
      <c r="B28" s="469"/>
      <c r="C28" s="515"/>
      <c r="D28" s="507"/>
      <c r="E28" s="498">
        <v>0.0</v>
      </c>
      <c r="F28" s="498">
        <v>0.0</v>
      </c>
      <c r="G28" s="498">
        <v>0.0</v>
      </c>
      <c r="H28" s="499">
        <v>0.0</v>
      </c>
      <c r="I28" s="500"/>
      <c r="J28" s="500"/>
      <c r="K28" s="501">
        <v>0.0</v>
      </c>
      <c r="L28" s="502">
        <f t="shared" si="3"/>
        <v>0</v>
      </c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</row>
    <row r="29">
      <c r="A29" s="468">
        <v>3.0</v>
      </c>
      <c r="B29" s="469"/>
      <c r="C29" s="515"/>
      <c r="D29" s="507"/>
      <c r="E29" s="498">
        <v>0.0</v>
      </c>
      <c r="F29" s="498">
        <v>0.0</v>
      </c>
      <c r="G29" s="498">
        <v>0.0</v>
      </c>
      <c r="H29" s="499">
        <v>0.0</v>
      </c>
      <c r="I29" s="500"/>
      <c r="J29" s="500"/>
      <c r="K29" s="501">
        <v>0.0</v>
      </c>
      <c r="L29" s="502">
        <f t="shared" si="3"/>
        <v>0</v>
      </c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</row>
    <row r="30">
      <c r="A30" s="468">
        <v>4.0</v>
      </c>
      <c r="B30" s="469"/>
      <c r="C30" s="515"/>
      <c r="D30" s="510"/>
      <c r="E30" s="498">
        <v>0.0</v>
      </c>
      <c r="F30" s="498">
        <v>0.0</v>
      </c>
      <c r="G30" s="498">
        <v>0.0</v>
      </c>
      <c r="H30" s="499">
        <v>0.0</v>
      </c>
      <c r="I30" s="500"/>
      <c r="J30" s="500"/>
      <c r="K30" s="501">
        <v>0.0</v>
      </c>
      <c r="L30" s="502">
        <f t="shared" si="3"/>
        <v>0</v>
      </c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</row>
    <row r="31">
      <c r="A31" s="468">
        <v>5.0</v>
      </c>
      <c r="B31" s="469"/>
      <c r="C31" s="515"/>
      <c r="D31" s="403"/>
      <c r="E31" s="498">
        <v>0.0</v>
      </c>
      <c r="F31" s="498">
        <v>0.0</v>
      </c>
      <c r="G31" s="498">
        <v>0.0</v>
      </c>
      <c r="H31" s="499">
        <v>0.0</v>
      </c>
      <c r="I31" s="500"/>
      <c r="J31" s="500"/>
      <c r="K31" s="501">
        <v>0.0</v>
      </c>
      <c r="L31" s="502">
        <f t="shared" si="3"/>
        <v>0</v>
      </c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</row>
    <row r="32">
      <c r="A32" s="468">
        <v>6.0</v>
      </c>
      <c r="B32" s="469"/>
      <c r="C32" s="515"/>
      <c r="D32" s="403"/>
      <c r="E32" s="498">
        <v>0.0</v>
      </c>
      <c r="F32" s="498">
        <v>0.0</v>
      </c>
      <c r="G32" s="498">
        <v>0.0</v>
      </c>
      <c r="H32" s="499">
        <v>0.0</v>
      </c>
      <c r="I32" s="499"/>
      <c r="J32" s="499"/>
      <c r="K32" s="501">
        <v>0.0</v>
      </c>
      <c r="L32" s="502">
        <f t="shared" si="3"/>
        <v>0</v>
      </c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</row>
    <row r="33">
      <c r="A33" s="512"/>
      <c r="B33" s="477"/>
      <c r="C33" s="514"/>
      <c r="D33" s="514"/>
      <c r="E33" s="514"/>
      <c r="F33" s="514"/>
      <c r="G33" s="514"/>
      <c r="H33" s="514"/>
      <c r="I33" s="514"/>
      <c r="J33" s="514"/>
      <c r="K33" s="514"/>
      <c r="L33" s="51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</row>
    <row r="34">
      <c r="A34" s="176" t="s">
        <v>17</v>
      </c>
      <c r="B34" s="523"/>
      <c r="C34" s="466" t="s">
        <v>861</v>
      </c>
      <c r="D34" s="495" t="s">
        <v>827</v>
      </c>
      <c r="E34" s="466" t="s">
        <v>15</v>
      </c>
      <c r="F34" s="466" t="s">
        <v>25</v>
      </c>
      <c r="G34" s="466" t="s">
        <v>39</v>
      </c>
      <c r="H34" s="466" t="s">
        <v>64</v>
      </c>
      <c r="I34" s="466" t="s">
        <v>820</v>
      </c>
      <c r="J34" s="466" t="s">
        <v>821</v>
      </c>
      <c r="K34" s="466" t="s">
        <v>822</v>
      </c>
      <c r="L34" s="466" t="s">
        <v>823</v>
      </c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</row>
    <row r="35">
      <c r="A35" s="468">
        <v>1.0</v>
      </c>
      <c r="B35" s="469"/>
      <c r="C35" s="524"/>
      <c r="D35" s="506"/>
      <c r="E35" s="498">
        <v>0.0</v>
      </c>
      <c r="F35" s="498">
        <v>0.0</v>
      </c>
      <c r="G35" s="498">
        <v>0.0</v>
      </c>
      <c r="H35" s="499">
        <v>0.0</v>
      </c>
      <c r="I35" s="500"/>
      <c r="J35" s="500"/>
      <c r="K35" s="501">
        <v>0.0</v>
      </c>
      <c r="L35" s="502">
        <f t="shared" ref="L35:L40" si="4">(E35+F35+G35+H35+K35)/5</f>
        <v>0</v>
      </c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</row>
    <row r="36">
      <c r="A36" s="468">
        <v>2.0</v>
      </c>
      <c r="B36" s="469"/>
      <c r="C36" s="524"/>
      <c r="D36" s="507"/>
      <c r="E36" s="498">
        <v>0.0</v>
      </c>
      <c r="F36" s="498">
        <v>0.0</v>
      </c>
      <c r="G36" s="498">
        <v>0.0</v>
      </c>
      <c r="H36" s="499">
        <v>0.0</v>
      </c>
      <c r="I36" s="500"/>
      <c r="J36" s="500"/>
      <c r="K36" s="501">
        <v>0.0</v>
      </c>
      <c r="L36" s="502">
        <f t="shared" si="4"/>
        <v>0</v>
      </c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</row>
    <row r="37">
      <c r="A37" s="468">
        <v>3.0</v>
      </c>
      <c r="B37" s="469"/>
      <c r="C37" s="524"/>
      <c r="D37" s="507"/>
      <c r="E37" s="498">
        <v>0.0</v>
      </c>
      <c r="F37" s="498">
        <v>0.0</v>
      </c>
      <c r="G37" s="498">
        <v>0.0</v>
      </c>
      <c r="H37" s="499">
        <v>0.0</v>
      </c>
      <c r="I37" s="500"/>
      <c r="J37" s="500"/>
      <c r="K37" s="501">
        <v>0.0</v>
      </c>
      <c r="L37" s="502">
        <f t="shared" si="4"/>
        <v>0</v>
      </c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</row>
    <row r="38">
      <c r="A38" s="468">
        <v>4.0</v>
      </c>
      <c r="B38" s="469"/>
      <c r="C38" s="524"/>
      <c r="D38" s="510"/>
      <c r="E38" s="498">
        <v>0.0</v>
      </c>
      <c r="F38" s="498">
        <v>0.0</v>
      </c>
      <c r="G38" s="498">
        <v>0.0</v>
      </c>
      <c r="H38" s="499">
        <v>0.0</v>
      </c>
      <c r="I38" s="500"/>
      <c r="J38" s="500"/>
      <c r="K38" s="501">
        <v>0.0</v>
      </c>
      <c r="L38" s="502">
        <f t="shared" si="4"/>
        <v>0</v>
      </c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</row>
    <row r="39">
      <c r="A39" s="468">
        <v>5.0</v>
      </c>
      <c r="B39" s="469"/>
      <c r="C39" s="524"/>
      <c r="D39" s="403"/>
      <c r="E39" s="498">
        <v>0.0</v>
      </c>
      <c r="F39" s="498">
        <v>0.0</v>
      </c>
      <c r="G39" s="498">
        <v>0.0</v>
      </c>
      <c r="H39" s="499">
        <v>0.0</v>
      </c>
      <c r="I39" s="500"/>
      <c r="J39" s="500"/>
      <c r="K39" s="501">
        <v>0.0</v>
      </c>
      <c r="L39" s="502">
        <f t="shared" si="4"/>
        <v>0</v>
      </c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</row>
    <row r="40">
      <c r="A40" s="468">
        <v>6.0</v>
      </c>
      <c r="B40" s="469"/>
      <c r="C40" s="524"/>
      <c r="D40" s="403"/>
      <c r="E40" s="498">
        <v>0.0</v>
      </c>
      <c r="F40" s="498">
        <v>0.0</v>
      </c>
      <c r="G40" s="498">
        <v>0.0</v>
      </c>
      <c r="H40" s="499">
        <v>0.0</v>
      </c>
      <c r="I40" s="499"/>
      <c r="J40" s="499"/>
      <c r="K40" s="501">
        <v>0.0</v>
      </c>
      <c r="L40" s="502">
        <f t="shared" si="4"/>
        <v>0</v>
      </c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</row>
    <row r="41">
      <c r="A41" s="184"/>
      <c r="B41" s="490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</row>
    <row r="42">
      <c r="A42" s="466" t="s">
        <v>874</v>
      </c>
      <c r="B42" s="526">
        <v>1.0</v>
      </c>
      <c r="C42" s="527">
        <v>2.0</v>
      </c>
      <c r="D42" s="527">
        <v>3.0</v>
      </c>
      <c r="E42" s="527">
        <v>4.0</v>
      </c>
      <c r="F42" s="528">
        <v>5.0</v>
      </c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</row>
    <row r="43">
      <c r="A43" s="466" t="s">
        <v>883</v>
      </c>
      <c r="B43" s="529"/>
      <c r="C43" s="530"/>
      <c r="D43" s="530"/>
      <c r="E43" s="530"/>
      <c r="F43" s="530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</row>
    <row r="44">
      <c r="A44" s="532" t="s">
        <v>15</v>
      </c>
      <c r="B44" s="477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</row>
    <row r="45">
      <c r="A45" s="533" t="s">
        <v>25</v>
      </c>
      <c r="B45" s="477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</row>
    <row r="46">
      <c r="A46" s="533" t="s">
        <v>25</v>
      </c>
      <c r="B46" s="477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</row>
    <row r="47">
      <c r="A47" s="534" t="s">
        <v>25</v>
      </c>
      <c r="B47" s="477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</row>
    <row r="48">
      <c r="A48" s="533" t="s">
        <v>25</v>
      </c>
      <c r="B48" s="477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</row>
    <row r="49">
      <c r="A49" s="535" t="s">
        <v>39</v>
      </c>
      <c r="B49" s="477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>
      <c r="A50" s="535" t="s">
        <v>39</v>
      </c>
      <c r="B50" s="477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>
      <c r="A51" s="535" t="s">
        <v>39</v>
      </c>
      <c r="B51" s="477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>
      <c r="A52" s="535" t="s">
        <v>39</v>
      </c>
      <c r="B52" s="477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>
      <c r="A53" s="536" t="s">
        <v>64</v>
      </c>
      <c r="B53" s="477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  <row r="54">
      <c r="A54" s="536" t="s">
        <v>64</v>
      </c>
      <c r="B54" s="477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</row>
    <row r="55">
      <c r="A55" s="536" t="s">
        <v>64</v>
      </c>
      <c r="B55" s="477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</row>
    <row r="56">
      <c r="A56" s="536" t="s">
        <v>64</v>
      </c>
      <c r="B56" s="477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</row>
    <row r="57">
      <c r="A57" s="536" t="s">
        <v>64</v>
      </c>
      <c r="B57" s="477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</row>
    <row r="58">
      <c r="A58" s="536" t="s">
        <v>64</v>
      </c>
      <c r="B58" s="477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</row>
    <row r="59">
      <c r="A59" s="537" t="s">
        <v>78</v>
      </c>
      <c r="B59" s="477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</row>
    <row r="60">
      <c r="A60" s="184"/>
      <c r="B60" s="490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</row>
    <row r="61">
      <c r="A61" s="532" t="s">
        <v>15</v>
      </c>
      <c r="B61" s="477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>
      <c r="A62" s="534" t="s">
        <v>25</v>
      </c>
      <c r="B62" s="477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</row>
    <row r="63">
      <c r="A63" s="533" t="s">
        <v>25</v>
      </c>
      <c r="B63" s="477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</row>
    <row r="64">
      <c r="A64" s="535" t="s">
        <v>39</v>
      </c>
      <c r="B64" s="477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</row>
    <row r="65">
      <c r="A65" s="535" t="s">
        <v>39</v>
      </c>
      <c r="B65" s="477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</row>
    <row r="66">
      <c r="A66" s="535" t="s">
        <v>39</v>
      </c>
      <c r="B66" s="477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</row>
    <row r="67">
      <c r="A67" s="536" t="s">
        <v>64</v>
      </c>
      <c r="B67" s="477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</row>
    <row r="68">
      <c r="A68" s="536" t="s">
        <v>64</v>
      </c>
      <c r="B68" s="477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</row>
    <row r="69">
      <c r="A69" s="536" t="s">
        <v>64</v>
      </c>
      <c r="B69" s="477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</row>
    <row r="70">
      <c r="A70" s="536" t="s">
        <v>64</v>
      </c>
      <c r="B70" s="477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</row>
    <row r="71">
      <c r="A71" s="536" t="s">
        <v>64</v>
      </c>
      <c r="B71" s="477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</row>
    <row r="72">
      <c r="A72" s="536" t="s">
        <v>64</v>
      </c>
      <c r="B72" s="477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>
      <c r="A73" s="537" t="s">
        <v>78</v>
      </c>
      <c r="B73" s="477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>
      <c r="A74" s="184"/>
      <c r="B74" s="490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>
      <c r="A75" s="532" t="s">
        <v>15</v>
      </c>
      <c r="B75" s="490"/>
      <c r="C75" s="149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>
      <c r="A76" s="533" t="s">
        <v>25</v>
      </c>
      <c r="B76" s="490"/>
      <c r="C76" s="149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>
      <c r="A77" s="533" t="s">
        <v>25</v>
      </c>
      <c r="B77" s="490"/>
      <c r="C77" s="149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>
      <c r="A78" s="533" t="s">
        <v>25</v>
      </c>
      <c r="B78" s="490"/>
      <c r="C78" s="149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>
      <c r="A79" s="533" t="s">
        <v>25</v>
      </c>
      <c r="B79" s="490"/>
      <c r="C79" s="149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>
      <c r="A80" s="533" t="s">
        <v>25</v>
      </c>
      <c r="B80" s="490"/>
      <c r="C80" s="149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>
      <c r="A81" s="535" t="s">
        <v>39</v>
      </c>
      <c r="B81" s="490"/>
      <c r="C81" s="149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>
      <c r="A82" s="535" t="s">
        <v>39</v>
      </c>
      <c r="B82" s="490"/>
      <c r="C82" s="149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>
      <c r="A83" s="535" t="s">
        <v>39</v>
      </c>
      <c r="B83" s="490"/>
      <c r="C83" s="149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>
      <c r="A84" s="535" t="s">
        <v>39</v>
      </c>
      <c r="B84" s="490"/>
      <c r="C84" s="149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>
      <c r="A85" s="535" t="s">
        <v>39</v>
      </c>
      <c r="B85" s="490"/>
      <c r="C85" s="149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>
      <c r="A86" s="536" t="s">
        <v>64</v>
      </c>
      <c r="B86" s="490"/>
      <c r="C86" s="149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>
      <c r="A87" s="536" t="s">
        <v>64</v>
      </c>
      <c r="B87" s="490"/>
      <c r="C87" s="149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>
      <c r="A88" s="536" t="s">
        <v>64</v>
      </c>
      <c r="B88" s="490"/>
      <c r="C88" s="149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>
      <c r="A89" s="536" t="s">
        <v>64</v>
      </c>
      <c r="B89" s="490"/>
      <c r="C89" s="149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>
      <c r="A90" s="536" t="s">
        <v>64</v>
      </c>
      <c r="B90" s="490"/>
      <c r="C90" s="149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>
      <c r="A91" s="538" t="s">
        <v>64</v>
      </c>
      <c r="B91" s="490"/>
      <c r="C91" s="149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>
      <c r="A92" s="538" t="s">
        <v>64</v>
      </c>
      <c r="B92" s="490"/>
      <c r="C92" s="149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>
      <c r="A93" s="537" t="s">
        <v>78</v>
      </c>
      <c r="B93" s="490"/>
      <c r="C93" s="149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>
      <c r="A94" s="184"/>
      <c r="B94" s="490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>
      <c r="A95" s="532" t="s">
        <v>15</v>
      </c>
      <c r="B95" s="490"/>
      <c r="C95" s="149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>
      <c r="A96" s="533" t="s">
        <v>25</v>
      </c>
      <c r="B96" s="490"/>
      <c r="C96" s="149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>
      <c r="A97" s="534" t="s">
        <v>25</v>
      </c>
      <c r="B97" s="490"/>
      <c r="C97" s="149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>
      <c r="A98" s="534" t="s">
        <v>25</v>
      </c>
      <c r="B98" s="490"/>
      <c r="C98" s="149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>
      <c r="A99" s="535" t="s">
        <v>39</v>
      </c>
      <c r="B99" s="490"/>
      <c r="C99" s="149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>
      <c r="A100" s="535" t="s">
        <v>39</v>
      </c>
      <c r="B100" s="490"/>
      <c r="C100" s="149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>
      <c r="A101" s="535" t="s">
        <v>39</v>
      </c>
      <c r="B101" s="490"/>
      <c r="C101" s="149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>
      <c r="A102" s="539" t="s">
        <v>820</v>
      </c>
      <c r="B102" s="490"/>
      <c r="C102" s="149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>
      <c r="A103" s="539" t="s">
        <v>820</v>
      </c>
      <c r="B103" s="490"/>
      <c r="C103" s="149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>
      <c r="A104" s="539" t="s">
        <v>820</v>
      </c>
      <c r="B104" s="490"/>
      <c r="C104" s="149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>
      <c r="A105" s="539" t="s">
        <v>820</v>
      </c>
      <c r="B105" s="490"/>
      <c r="C105" s="149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>
      <c r="A106" s="539" t="s">
        <v>820</v>
      </c>
      <c r="B106" s="490"/>
      <c r="C106" s="149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>
      <c r="A107" s="539" t="s">
        <v>820</v>
      </c>
      <c r="B107" s="490"/>
      <c r="C107" s="149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>
      <c r="A108" s="539" t="s">
        <v>820</v>
      </c>
      <c r="B108" s="490"/>
      <c r="C108" s="149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>
      <c r="A109" s="540" t="s">
        <v>821</v>
      </c>
      <c r="B109" s="490"/>
      <c r="C109" s="149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>
      <c r="A110" s="540" t="s">
        <v>821</v>
      </c>
      <c r="B110" s="490"/>
      <c r="C110" s="149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>
      <c r="A111" s="540" t="s">
        <v>821</v>
      </c>
      <c r="B111" s="490"/>
      <c r="C111" s="149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>
      <c r="A112" s="540" t="s">
        <v>821</v>
      </c>
      <c r="B112" s="490"/>
      <c r="C112" s="149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>
      <c r="A113" s="540" t="s">
        <v>821</v>
      </c>
      <c r="B113" s="490"/>
      <c r="C113" s="149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>
      <c r="A114" s="540" t="s">
        <v>821</v>
      </c>
      <c r="B114" s="490"/>
      <c r="C114" s="149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>
      <c r="A115" s="540" t="s">
        <v>821</v>
      </c>
      <c r="B115" s="490"/>
      <c r="C115" s="149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>
      <c r="A116" s="537" t="s">
        <v>78</v>
      </c>
      <c r="B116" s="490"/>
      <c r="C116" s="149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>
      <c r="A117" s="184"/>
      <c r="B117" s="490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>
      <c r="A118" s="533" t="s">
        <v>25</v>
      </c>
      <c r="B118" s="490"/>
      <c r="C118" s="184"/>
      <c r="D118" s="184"/>
      <c r="E118" s="149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>
      <c r="A119" s="533" t="s">
        <v>25</v>
      </c>
      <c r="B119" s="490"/>
      <c r="C119" s="184"/>
      <c r="D119" s="184"/>
      <c r="E119" s="149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>
      <c r="A120" s="533" t="s">
        <v>25</v>
      </c>
      <c r="B120" s="490"/>
      <c r="C120" s="184"/>
      <c r="D120" s="184"/>
      <c r="E120" s="149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>
      <c r="A121" s="535" t="s">
        <v>39</v>
      </c>
      <c r="B121" s="490"/>
      <c r="C121" s="184"/>
      <c r="D121" s="184"/>
      <c r="E121" s="149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>
      <c r="A122" s="535" t="s">
        <v>39</v>
      </c>
      <c r="B122" s="490"/>
      <c r="C122" s="184"/>
      <c r="D122" s="184"/>
      <c r="E122" s="149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>
      <c r="A123" s="535" t="s">
        <v>39</v>
      </c>
      <c r="B123" s="490"/>
      <c r="C123" s="184"/>
      <c r="D123" s="184"/>
      <c r="E123" s="149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>
      <c r="A124" s="535" t="s">
        <v>39</v>
      </c>
      <c r="B124" s="490"/>
      <c r="C124" s="184"/>
      <c r="D124" s="184"/>
      <c r="E124" s="149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>
      <c r="A125" s="536" t="s">
        <v>64</v>
      </c>
      <c r="B125" s="490"/>
      <c r="C125" s="184"/>
      <c r="D125" s="184"/>
      <c r="E125" s="149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>
      <c r="A126" s="536" t="s">
        <v>64</v>
      </c>
      <c r="B126" s="490"/>
      <c r="C126" s="184"/>
      <c r="D126" s="184"/>
      <c r="E126" s="149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>
      <c r="A127" s="536" t="s">
        <v>64</v>
      </c>
      <c r="B127" s="490"/>
      <c r="C127" s="184"/>
      <c r="D127" s="184"/>
      <c r="E127" s="149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>
      <c r="A128" s="538" t="s">
        <v>64</v>
      </c>
      <c r="B128" s="490"/>
      <c r="C128" s="184"/>
      <c r="D128" s="184"/>
      <c r="E128" s="149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>
      <c r="A129" s="536" t="s">
        <v>64</v>
      </c>
      <c r="B129" s="490"/>
      <c r="C129" s="184"/>
      <c r="D129" s="184"/>
      <c r="E129" s="149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>
      <c r="A130" s="537" t="s">
        <v>78</v>
      </c>
      <c r="B130" s="490"/>
      <c r="C130" s="184"/>
      <c r="D130" s="184"/>
      <c r="E130" s="149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>
      <c r="A131" s="184"/>
      <c r="B131" s="490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>
      <c r="A132" s="533" t="s">
        <v>25</v>
      </c>
      <c r="B132" s="490"/>
      <c r="C132" s="184"/>
      <c r="D132" s="184"/>
      <c r="E132" s="149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>
      <c r="A133" s="533" t="s">
        <v>25</v>
      </c>
      <c r="B133" s="490"/>
      <c r="C133" s="184"/>
      <c r="D133" s="184"/>
      <c r="E133" s="149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>
      <c r="A134" s="533" t="s">
        <v>25</v>
      </c>
      <c r="B134" s="490"/>
      <c r="C134" s="184"/>
      <c r="D134" s="184"/>
      <c r="E134" s="149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>
      <c r="A135" s="535" t="s">
        <v>39</v>
      </c>
      <c r="B135" s="490"/>
      <c r="C135" s="184"/>
      <c r="D135" s="184"/>
      <c r="E135" s="149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>
      <c r="A136" s="535" t="s">
        <v>39</v>
      </c>
      <c r="B136" s="490"/>
      <c r="C136" s="184"/>
      <c r="D136" s="184"/>
      <c r="E136" s="149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>
      <c r="A137" s="535" t="s">
        <v>39</v>
      </c>
      <c r="B137" s="490"/>
      <c r="C137" s="184"/>
      <c r="D137" s="184"/>
      <c r="E137" s="149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>
      <c r="A138" s="535" t="s">
        <v>39</v>
      </c>
      <c r="B138" s="490"/>
      <c r="C138" s="184"/>
      <c r="D138" s="184"/>
      <c r="E138" s="149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>
      <c r="A139" s="536" t="s">
        <v>64</v>
      </c>
      <c r="B139" s="490"/>
      <c r="C139" s="184"/>
      <c r="D139" s="184"/>
      <c r="E139" s="149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>
      <c r="A140" s="536" t="s">
        <v>64</v>
      </c>
      <c r="B140" s="490"/>
      <c r="C140" s="184"/>
      <c r="D140" s="184"/>
      <c r="E140" s="149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>
      <c r="A141" s="536" t="s">
        <v>64</v>
      </c>
      <c r="B141" s="490"/>
      <c r="C141" s="184"/>
      <c r="D141" s="184"/>
      <c r="E141" s="149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>
      <c r="A142" s="536" t="s">
        <v>64</v>
      </c>
      <c r="B142" s="490"/>
      <c r="C142" s="184"/>
      <c r="D142" s="184"/>
      <c r="E142" s="149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>
      <c r="A143" s="538" t="s">
        <v>64</v>
      </c>
      <c r="B143" s="490"/>
      <c r="C143" s="184"/>
      <c r="D143" s="184"/>
      <c r="E143" s="149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>
      <c r="A144" s="537" t="s">
        <v>78</v>
      </c>
      <c r="B144" s="490"/>
      <c r="C144" s="184"/>
      <c r="D144" s="184"/>
      <c r="E144" s="149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>
      <c r="A145" s="184"/>
      <c r="B145" s="490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>
      <c r="A146" s="184"/>
      <c r="B146" s="490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>
      <c r="A147" s="184"/>
      <c r="B147" s="490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>
      <c r="A148" s="184"/>
      <c r="B148" s="490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>
      <c r="A149" s="184"/>
      <c r="B149" s="490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>
      <c r="A150" s="184"/>
      <c r="B150" s="490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>
      <c r="A151" s="184"/>
      <c r="B151" s="490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>
      <c r="A152" s="184"/>
      <c r="B152" s="490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>
      <c r="A153" s="184"/>
      <c r="B153" s="490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>
      <c r="A154" s="184"/>
      <c r="B154" s="490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>
      <c r="A155" s="184"/>
      <c r="B155" s="490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>
      <c r="A156" s="184"/>
      <c r="B156" s="490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>
      <c r="A157" s="184"/>
      <c r="B157" s="490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>
      <c r="A158" s="184"/>
      <c r="B158" s="490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>
      <c r="A159" s="184"/>
      <c r="B159" s="490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>
      <c r="A160" s="184"/>
      <c r="B160" s="490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>
      <c r="A161" s="184"/>
      <c r="B161" s="490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>
      <c r="A162" s="184"/>
      <c r="B162" s="490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>
      <c r="A163" s="184"/>
      <c r="B163" s="490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>
      <c r="A164" s="184"/>
      <c r="B164" s="490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>
      <c r="A165" s="184"/>
      <c r="B165" s="490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>
      <c r="A166" s="184"/>
      <c r="B166" s="490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>
      <c r="A167" s="184"/>
      <c r="B167" s="490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>
      <c r="A168" s="184"/>
      <c r="B168" s="490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>
      <c r="A169" s="184"/>
      <c r="B169" s="490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>
      <c r="A170" s="184"/>
      <c r="B170" s="490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>
      <c r="A171" s="184"/>
      <c r="B171" s="490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>
      <c r="A172" s="184"/>
      <c r="B172" s="490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>
      <c r="A173" s="184"/>
      <c r="B173" s="490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>
      <c r="A174" s="184"/>
      <c r="B174" s="490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>
      <c r="A175" s="184"/>
      <c r="B175" s="490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>
      <c r="A176" s="184"/>
      <c r="B176" s="490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>
      <c r="A177" s="184"/>
      <c r="B177" s="490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>
      <c r="A178" s="184"/>
      <c r="B178" s="490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>
      <c r="A179" s="184"/>
      <c r="B179" s="490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>
      <c r="A180" s="184"/>
      <c r="B180" s="490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>
      <c r="A181" s="184"/>
      <c r="B181" s="490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>
      <c r="A182" s="184"/>
      <c r="B182" s="490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>
      <c r="A183" s="184"/>
      <c r="B183" s="490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>
      <c r="A184" s="184"/>
      <c r="B184" s="490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>
      <c r="A185" s="184"/>
      <c r="B185" s="490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>
      <c r="A186" s="184"/>
      <c r="B186" s="490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>
      <c r="A187" s="184"/>
      <c r="B187" s="490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>
      <c r="A188" s="184"/>
      <c r="B188" s="490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>
      <c r="A189" s="184"/>
      <c r="B189" s="490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>
      <c r="A190" s="184"/>
      <c r="B190" s="490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>
      <c r="A191" s="184"/>
      <c r="B191" s="490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>
      <c r="A192" s="184"/>
      <c r="B192" s="490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>
      <c r="A193" s="184"/>
      <c r="B193" s="490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>
      <c r="A194" s="184"/>
      <c r="B194" s="490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>
      <c r="A195" s="184"/>
      <c r="B195" s="490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>
      <c r="A196" s="184"/>
      <c r="B196" s="490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>
      <c r="A197" s="184"/>
      <c r="B197" s="490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>
      <c r="A198" s="184"/>
      <c r="B198" s="490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>
      <c r="A199" s="184"/>
      <c r="B199" s="490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>
      <c r="A200" s="184"/>
      <c r="B200" s="490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>
      <c r="A201" s="184"/>
      <c r="B201" s="490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>
      <c r="A202" s="184"/>
      <c r="B202" s="490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>
      <c r="A203" s="184"/>
      <c r="B203" s="490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>
      <c r="A204" s="184"/>
      <c r="B204" s="490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>
      <c r="A205" s="184"/>
      <c r="B205" s="490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>
      <c r="A206" s="184"/>
      <c r="B206" s="490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>
      <c r="A207" s="184"/>
      <c r="B207" s="490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>
      <c r="A208" s="184"/>
      <c r="B208" s="490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>
      <c r="A209" s="184"/>
      <c r="B209" s="490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>
      <c r="A210" s="184"/>
      <c r="B210" s="490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>
      <c r="A211" s="184"/>
      <c r="B211" s="490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>
      <c r="A212" s="184"/>
      <c r="B212" s="490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>
      <c r="A213" s="184"/>
      <c r="B213" s="490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>
      <c r="A214" s="184"/>
      <c r="B214" s="490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>
      <c r="A215" s="184"/>
      <c r="B215" s="490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>
      <c r="A216" s="184"/>
      <c r="B216" s="490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>
      <c r="A217" s="184"/>
      <c r="B217" s="490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>
      <c r="A218" s="184"/>
      <c r="B218" s="490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>
      <c r="A219" s="184"/>
      <c r="B219" s="490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>
      <c r="A220" s="184"/>
      <c r="B220" s="490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>
      <c r="A221" s="184"/>
      <c r="B221" s="490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>
      <c r="A222" s="184"/>
      <c r="B222" s="490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>
      <c r="A223" s="184"/>
      <c r="B223" s="490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>
      <c r="A224" s="184"/>
      <c r="B224" s="490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>
      <c r="A225" s="184"/>
      <c r="B225" s="490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>
      <c r="A226" s="184"/>
      <c r="B226" s="490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>
      <c r="A227" s="184"/>
      <c r="B227" s="490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>
      <c r="A228" s="184"/>
      <c r="B228" s="490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>
      <c r="A229" s="184"/>
      <c r="B229" s="490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>
      <c r="A230" s="184"/>
      <c r="B230" s="490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>
      <c r="A231" s="184"/>
      <c r="B231" s="490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>
      <c r="A232" s="184"/>
      <c r="B232" s="490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>
      <c r="A233" s="184"/>
      <c r="B233" s="490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>
      <c r="A234" s="184"/>
      <c r="B234" s="490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>
      <c r="A235" s="184"/>
      <c r="B235" s="490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>
      <c r="A236" s="184"/>
      <c r="B236" s="490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>
      <c r="A237" s="184"/>
      <c r="B237" s="490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>
      <c r="A238" s="184"/>
      <c r="B238" s="490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>
      <c r="A239" s="184"/>
      <c r="B239" s="490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>
      <c r="A240" s="184"/>
      <c r="B240" s="490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>
      <c r="A241" s="184"/>
      <c r="B241" s="490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>
      <c r="A242" s="184"/>
      <c r="B242" s="490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>
      <c r="A243" s="184"/>
      <c r="B243" s="490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>
      <c r="A244" s="184"/>
      <c r="B244" s="490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>
      <c r="A245" s="184"/>
      <c r="B245" s="490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>
      <c r="A246" s="184"/>
      <c r="B246" s="490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>
      <c r="A247" s="184"/>
      <c r="B247" s="490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>
      <c r="A248" s="184"/>
      <c r="B248" s="490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>
      <c r="A249" s="184"/>
      <c r="B249" s="490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>
      <c r="A250" s="184"/>
      <c r="B250" s="490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>
      <c r="A251" s="184"/>
      <c r="B251" s="490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>
      <c r="A252" s="184"/>
      <c r="B252" s="490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>
      <c r="A253" s="184"/>
      <c r="B253" s="490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>
      <c r="A254" s="184"/>
      <c r="B254" s="490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>
      <c r="A255" s="184"/>
      <c r="B255" s="490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>
      <c r="A256" s="184"/>
      <c r="B256" s="490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>
      <c r="A257" s="184"/>
      <c r="B257" s="490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>
      <c r="A258" s="184"/>
      <c r="B258" s="490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>
      <c r="A259" s="184"/>
      <c r="B259" s="490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>
      <c r="A260" s="184"/>
      <c r="B260" s="490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>
      <c r="A261" s="184"/>
      <c r="B261" s="490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>
      <c r="A262" s="184"/>
      <c r="B262" s="490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>
      <c r="A263" s="184"/>
      <c r="B263" s="490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>
      <c r="A264" s="184"/>
      <c r="B264" s="490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>
      <c r="A265" s="184"/>
      <c r="B265" s="490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>
      <c r="A266" s="184"/>
      <c r="B266" s="490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>
      <c r="A267" s="184"/>
      <c r="B267" s="490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>
      <c r="A268" s="184"/>
      <c r="B268" s="490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>
      <c r="A269" s="184"/>
      <c r="B269" s="490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>
      <c r="A270" s="184"/>
      <c r="B270" s="490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>
      <c r="A271" s="184"/>
      <c r="B271" s="490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>
      <c r="A272" s="184"/>
      <c r="B272" s="490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>
      <c r="A273" s="184"/>
      <c r="B273" s="490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>
      <c r="A274" s="184"/>
      <c r="B274" s="490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>
      <c r="A275" s="184"/>
      <c r="B275" s="490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>
      <c r="A276" s="184"/>
      <c r="B276" s="490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>
      <c r="A277" s="184"/>
      <c r="B277" s="490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</row>
    <row r="278">
      <c r="A278" s="184"/>
      <c r="B278" s="490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</row>
    <row r="279">
      <c r="A279" s="184"/>
      <c r="B279" s="490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</row>
    <row r="280">
      <c r="A280" s="184"/>
      <c r="B280" s="490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</row>
    <row r="281">
      <c r="A281" s="184"/>
      <c r="B281" s="490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</row>
    <row r="282">
      <c r="A282" s="184"/>
      <c r="B282" s="490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</row>
    <row r="283">
      <c r="A283" s="184"/>
      <c r="B283" s="490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</row>
    <row r="284">
      <c r="A284" s="184"/>
      <c r="B284" s="490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</row>
    <row r="285">
      <c r="A285" s="184"/>
      <c r="B285" s="490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</row>
    <row r="286">
      <c r="A286" s="184"/>
      <c r="B286" s="490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</row>
    <row r="287">
      <c r="A287" s="184"/>
      <c r="B287" s="490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</row>
    <row r="288">
      <c r="A288" s="184"/>
      <c r="B288" s="490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</row>
    <row r="289">
      <c r="A289" s="184"/>
      <c r="B289" s="490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</row>
    <row r="290">
      <c r="A290" s="184"/>
      <c r="B290" s="490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</row>
    <row r="291">
      <c r="A291" s="184"/>
      <c r="B291" s="490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</row>
    <row r="292">
      <c r="A292" s="184"/>
      <c r="B292" s="490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</row>
    <row r="293">
      <c r="A293" s="184"/>
      <c r="B293" s="490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</row>
    <row r="294">
      <c r="A294" s="184"/>
      <c r="B294" s="490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</row>
    <row r="295">
      <c r="A295" s="184"/>
      <c r="B295" s="490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</row>
    <row r="296">
      <c r="A296" s="184"/>
      <c r="B296" s="490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</row>
    <row r="297">
      <c r="A297" s="184"/>
      <c r="B297" s="490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</row>
    <row r="298">
      <c r="A298" s="184"/>
      <c r="B298" s="490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</row>
    <row r="299">
      <c r="A299" s="184"/>
      <c r="B299" s="490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</row>
    <row r="300">
      <c r="A300" s="184"/>
      <c r="B300" s="490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</row>
    <row r="301">
      <c r="A301" s="184"/>
      <c r="B301" s="490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</row>
    <row r="302">
      <c r="A302" s="184"/>
      <c r="B302" s="490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</row>
    <row r="303">
      <c r="A303" s="184"/>
      <c r="B303" s="490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</row>
    <row r="304">
      <c r="A304" s="184"/>
      <c r="B304" s="490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</row>
    <row r="305">
      <c r="A305" s="184"/>
      <c r="B305" s="490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</row>
    <row r="306">
      <c r="A306" s="184"/>
      <c r="B306" s="490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</row>
    <row r="307">
      <c r="A307" s="184"/>
      <c r="B307" s="490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</row>
    <row r="308">
      <c r="A308" s="184"/>
      <c r="B308" s="490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</row>
    <row r="309">
      <c r="A309" s="184"/>
      <c r="B309" s="490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</row>
    <row r="310">
      <c r="A310" s="184"/>
      <c r="B310" s="490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</row>
    <row r="311">
      <c r="A311" s="184"/>
      <c r="B311" s="490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</row>
    <row r="312">
      <c r="A312" s="184"/>
      <c r="B312" s="490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</row>
    <row r="313">
      <c r="A313" s="184"/>
      <c r="B313" s="490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</row>
    <row r="314">
      <c r="A314" s="184"/>
      <c r="B314" s="490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</row>
    <row r="315">
      <c r="A315" s="184"/>
      <c r="B315" s="490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</row>
    <row r="316">
      <c r="A316" s="184"/>
      <c r="B316" s="490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</row>
    <row r="317">
      <c r="A317" s="184"/>
      <c r="B317" s="490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</row>
    <row r="318">
      <c r="A318" s="184"/>
      <c r="B318" s="490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</row>
    <row r="319">
      <c r="A319" s="184"/>
      <c r="B319" s="490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</row>
    <row r="320">
      <c r="A320" s="184"/>
      <c r="B320" s="490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</row>
    <row r="321">
      <c r="A321" s="184"/>
      <c r="B321" s="490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</row>
    <row r="322">
      <c r="A322" s="184"/>
      <c r="B322" s="490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</row>
    <row r="323">
      <c r="A323" s="184"/>
      <c r="B323" s="490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</row>
    <row r="324">
      <c r="A324" s="184"/>
      <c r="B324" s="490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</row>
    <row r="325">
      <c r="A325" s="184"/>
      <c r="B325" s="490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</row>
    <row r="326">
      <c r="A326" s="184"/>
      <c r="B326" s="490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</row>
    <row r="327">
      <c r="A327" s="184"/>
      <c r="B327" s="490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</row>
    <row r="328">
      <c r="A328" s="184"/>
      <c r="B328" s="490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</row>
    <row r="329">
      <c r="A329" s="184"/>
      <c r="B329" s="490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</row>
    <row r="330">
      <c r="A330" s="184"/>
      <c r="B330" s="490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</row>
    <row r="331">
      <c r="A331" s="184"/>
      <c r="B331" s="490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</row>
    <row r="332">
      <c r="A332" s="184"/>
      <c r="B332" s="490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</row>
    <row r="333">
      <c r="A333" s="184"/>
      <c r="B333" s="490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</row>
    <row r="334">
      <c r="A334" s="184"/>
      <c r="B334" s="490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</row>
    <row r="335">
      <c r="A335" s="184"/>
      <c r="B335" s="490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</row>
    <row r="336">
      <c r="A336" s="184"/>
      <c r="B336" s="490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</row>
    <row r="337">
      <c r="A337" s="184"/>
      <c r="B337" s="490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</row>
    <row r="338">
      <c r="A338" s="184"/>
      <c r="B338" s="490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</row>
    <row r="339">
      <c r="A339" s="184"/>
      <c r="B339" s="490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</row>
    <row r="340">
      <c r="A340" s="184"/>
      <c r="B340" s="490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</row>
    <row r="341">
      <c r="A341" s="184"/>
      <c r="B341" s="490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</row>
    <row r="342">
      <c r="A342" s="184"/>
      <c r="B342" s="490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</row>
    <row r="343">
      <c r="A343" s="184"/>
      <c r="B343" s="490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</row>
    <row r="344">
      <c r="A344" s="184"/>
      <c r="B344" s="490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</row>
    <row r="345">
      <c r="A345" s="184"/>
      <c r="B345" s="490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</row>
    <row r="346">
      <c r="A346" s="184"/>
      <c r="B346" s="490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</row>
    <row r="347">
      <c r="A347" s="184"/>
      <c r="B347" s="490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</row>
    <row r="348">
      <c r="A348" s="184"/>
      <c r="B348" s="490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</row>
    <row r="349">
      <c r="A349" s="184"/>
      <c r="B349" s="490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</row>
    <row r="350">
      <c r="A350" s="184"/>
      <c r="B350" s="490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</row>
    <row r="351">
      <c r="A351" s="184"/>
      <c r="B351" s="490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</row>
    <row r="352">
      <c r="A352" s="184"/>
      <c r="B352" s="490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</row>
    <row r="353">
      <c r="A353" s="184"/>
      <c r="B353" s="490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</row>
    <row r="354">
      <c r="A354" s="184"/>
      <c r="B354" s="490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</row>
    <row r="355">
      <c r="A355" s="184"/>
      <c r="B355" s="490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</row>
    <row r="356">
      <c r="A356" s="184"/>
      <c r="B356" s="490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</row>
    <row r="357">
      <c r="A357" s="184"/>
      <c r="B357" s="490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</row>
    <row r="358">
      <c r="A358" s="184"/>
      <c r="B358" s="490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</row>
    <row r="359">
      <c r="A359" s="184"/>
      <c r="B359" s="490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</row>
    <row r="360">
      <c r="A360" s="184"/>
      <c r="B360" s="490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</row>
    <row r="361">
      <c r="A361" s="184"/>
      <c r="B361" s="490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</row>
    <row r="362">
      <c r="A362" s="184"/>
      <c r="B362" s="490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</row>
    <row r="363">
      <c r="A363" s="184"/>
      <c r="B363" s="490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</row>
    <row r="364">
      <c r="A364" s="184"/>
      <c r="B364" s="490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</row>
    <row r="365">
      <c r="A365" s="184"/>
      <c r="B365" s="490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</row>
    <row r="366">
      <c r="A366" s="184"/>
      <c r="B366" s="490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</row>
    <row r="367">
      <c r="A367" s="184"/>
      <c r="B367" s="490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</row>
    <row r="368">
      <c r="A368" s="184"/>
      <c r="B368" s="490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</row>
    <row r="369">
      <c r="A369" s="184"/>
      <c r="B369" s="490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</row>
    <row r="370">
      <c r="A370" s="184"/>
      <c r="B370" s="490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</row>
    <row r="371">
      <c r="A371" s="184"/>
      <c r="B371" s="490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</row>
    <row r="372">
      <c r="A372" s="184"/>
      <c r="B372" s="490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</row>
    <row r="373">
      <c r="A373" s="184"/>
      <c r="B373" s="490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</row>
    <row r="374">
      <c r="A374" s="184"/>
      <c r="B374" s="490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</row>
    <row r="375">
      <c r="A375" s="184"/>
      <c r="B375" s="490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</row>
    <row r="376">
      <c r="A376" s="184"/>
      <c r="B376" s="490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</row>
    <row r="377">
      <c r="A377" s="184"/>
      <c r="B377" s="490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</row>
    <row r="378">
      <c r="A378" s="184"/>
      <c r="B378" s="490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</row>
    <row r="379">
      <c r="A379" s="184"/>
      <c r="B379" s="490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</row>
    <row r="380">
      <c r="A380" s="184"/>
      <c r="B380" s="490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</row>
    <row r="381">
      <c r="A381" s="184"/>
      <c r="B381" s="490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</row>
    <row r="382">
      <c r="A382" s="184"/>
      <c r="B382" s="490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</row>
    <row r="383">
      <c r="A383" s="184"/>
      <c r="B383" s="490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</row>
    <row r="384">
      <c r="A384" s="184"/>
      <c r="B384" s="490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</row>
    <row r="385">
      <c r="A385" s="184"/>
      <c r="B385" s="490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</row>
    <row r="386">
      <c r="A386" s="184"/>
      <c r="B386" s="490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</row>
    <row r="387">
      <c r="A387" s="184"/>
      <c r="B387" s="490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</row>
    <row r="388">
      <c r="A388" s="184"/>
      <c r="B388" s="490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</row>
    <row r="389">
      <c r="A389" s="184"/>
      <c r="B389" s="490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</row>
    <row r="390">
      <c r="A390" s="184"/>
      <c r="B390" s="490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</row>
    <row r="391">
      <c r="A391" s="184"/>
      <c r="B391" s="490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</row>
    <row r="392">
      <c r="A392" s="184"/>
      <c r="B392" s="490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</row>
    <row r="393">
      <c r="A393" s="184"/>
      <c r="B393" s="490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</row>
    <row r="394">
      <c r="A394" s="184"/>
      <c r="B394" s="490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</row>
    <row r="395">
      <c r="A395" s="184"/>
      <c r="B395" s="490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</row>
    <row r="396">
      <c r="A396" s="184"/>
      <c r="B396" s="490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</row>
    <row r="397">
      <c r="A397" s="184"/>
      <c r="B397" s="490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</row>
    <row r="398">
      <c r="A398" s="184"/>
      <c r="B398" s="490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</row>
    <row r="399">
      <c r="A399" s="184"/>
      <c r="B399" s="490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</row>
    <row r="400">
      <c r="A400" s="184"/>
      <c r="B400" s="490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</row>
    <row r="401">
      <c r="A401" s="184"/>
      <c r="B401" s="490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</row>
    <row r="402">
      <c r="A402" s="184"/>
      <c r="B402" s="490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</row>
    <row r="403">
      <c r="A403" s="184"/>
      <c r="B403" s="490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</row>
    <row r="404">
      <c r="A404" s="184"/>
      <c r="B404" s="490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</row>
    <row r="405">
      <c r="A405" s="184"/>
      <c r="B405" s="490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</row>
    <row r="406">
      <c r="A406" s="184"/>
      <c r="B406" s="490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</row>
    <row r="407">
      <c r="A407" s="184"/>
      <c r="B407" s="490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</row>
    <row r="408">
      <c r="A408" s="184"/>
      <c r="B408" s="490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</row>
    <row r="409">
      <c r="A409" s="184"/>
      <c r="B409" s="490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</row>
    <row r="410">
      <c r="A410" s="184"/>
      <c r="B410" s="490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</row>
    <row r="411">
      <c r="A411" s="184"/>
      <c r="B411" s="490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</row>
    <row r="412">
      <c r="A412" s="184"/>
      <c r="B412" s="490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</row>
    <row r="413">
      <c r="A413" s="184"/>
      <c r="B413" s="490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</row>
    <row r="414">
      <c r="A414" s="184"/>
      <c r="B414" s="490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</row>
    <row r="415">
      <c r="A415" s="184"/>
      <c r="B415" s="490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</row>
    <row r="416">
      <c r="A416" s="184"/>
      <c r="B416" s="490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</row>
    <row r="417">
      <c r="A417" s="184"/>
      <c r="B417" s="490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</row>
    <row r="418">
      <c r="A418" s="184"/>
      <c r="B418" s="490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</row>
    <row r="419">
      <c r="A419" s="184"/>
      <c r="B419" s="490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</row>
    <row r="420">
      <c r="A420" s="184"/>
      <c r="B420" s="490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</row>
    <row r="421">
      <c r="A421" s="184"/>
      <c r="B421" s="490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</row>
    <row r="422">
      <c r="A422" s="184"/>
      <c r="B422" s="490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</row>
    <row r="423">
      <c r="A423" s="184"/>
      <c r="B423" s="490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</row>
    <row r="424">
      <c r="A424" s="184"/>
      <c r="B424" s="490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</row>
    <row r="425">
      <c r="A425" s="184"/>
      <c r="B425" s="490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</row>
    <row r="426">
      <c r="A426" s="184"/>
      <c r="B426" s="490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</row>
    <row r="427">
      <c r="A427" s="184"/>
      <c r="B427" s="490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</row>
    <row r="428">
      <c r="A428" s="184"/>
      <c r="B428" s="490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</row>
    <row r="429">
      <c r="A429" s="184"/>
      <c r="B429" s="490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</row>
    <row r="430">
      <c r="A430" s="184"/>
      <c r="B430" s="490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</row>
    <row r="431">
      <c r="A431" s="184"/>
      <c r="B431" s="490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</row>
    <row r="432">
      <c r="A432" s="184"/>
      <c r="B432" s="490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</row>
    <row r="433">
      <c r="A433" s="184"/>
      <c r="B433" s="490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</row>
    <row r="434">
      <c r="A434" s="184"/>
      <c r="B434" s="490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</row>
    <row r="435">
      <c r="A435" s="184"/>
      <c r="B435" s="490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</row>
    <row r="436">
      <c r="A436" s="184"/>
      <c r="B436" s="490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</row>
    <row r="437">
      <c r="A437" s="184"/>
      <c r="B437" s="490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</row>
    <row r="438">
      <c r="A438" s="184"/>
      <c r="B438" s="490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</row>
    <row r="439">
      <c r="A439" s="184"/>
      <c r="B439" s="490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</row>
    <row r="440">
      <c r="A440" s="184"/>
      <c r="B440" s="490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</row>
    <row r="441">
      <c r="A441" s="184"/>
      <c r="B441" s="490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</row>
    <row r="442">
      <c r="A442" s="184"/>
      <c r="B442" s="490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</row>
    <row r="443">
      <c r="A443" s="184"/>
      <c r="B443" s="490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</row>
    <row r="444">
      <c r="A444" s="184"/>
      <c r="B444" s="490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</row>
    <row r="445">
      <c r="A445" s="184"/>
      <c r="B445" s="490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</row>
    <row r="446">
      <c r="A446" s="184"/>
      <c r="B446" s="490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</row>
    <row r="447">
      <c r="A447" s="184"/>
      <c r="B447" s="490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</row>
    <row r="448">
      <c r="A448" s="184"/>
      <c r="B448" s="490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</row>
    <row r="449">
      <c r="A449" s="184"/>
      <c r="B449" s="490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</row>
    <row r="450">
      <c r="A450" s="184"/>
      <c r="B450" s="490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</row>
    <row r="451">
      <c r="A451" s="184"/>
      <c r="B451" s="490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</row>
    <row r="452">
      <c r="A452" s="184"/>
      <c r="B452" s="490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</row>
    <row r="453">
      <c r="A453" s="184"/>
      <c r="B453" s="490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</row>
    <row r="454">
      <c r="A454" s="184"/>
      <c r="B454" s="490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</row>
    <row r="455">
      <c r="A455" s="184"/>
      <c r="B455" s="490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</row>
    <row r="456">
      <c r="A456" s="184"/>
      <c r="B456" s="490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</row>
    <row r="457">
      <c r="A457" s="184"/>
      <c r="B457" s="490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</row>
    <row r="458">
      <c r="A458" s="184"/>
      <c r="B458" s="490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</row>
    <row r="459">
      <c r="A459" s="184"/>
      <c r="B459" s="490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</row>
    <row r="460">
      <c r="A460" s="184"/>
      <c r="B460" s="490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</row>
    <row r="461">
      <c r="A461" s="184"/>
      <c r="B461" s="490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</row>
    <row r="462">
      <c r="A462" s="184"/>
      <c r="B462" s="490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</row>
    <row r="463">
      <c r="A463" s="184"/>
      <c r="B463" s="490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</row>
    <row r="464">
      <c r="A464" s="184"/>
      <c r="B464" s="490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</row>
    <row r="465">
      <c r="A465" s="184"/>
      <c r="B465" s="490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</row>
    <row r="466">
      <c r="A466" s="184"/>
      <c r="B466" s="490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</row>
    <row r="467">
      <c r="A467" s="184"/>
      <c r="B467" s="490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</row>
    <row r="468">
      <c r="A468" s="184"/>
      <c r="B468" s="490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</row>
    <row r="469">
      <c r="A469" s="184"/>
      <c r="B469" s="490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</row>
    <row r="470">
      <c r="A470" s="184"/>
      <c r="B470" s="490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</row>
    <row r="471">
      <c r="A471" s="184"/>
      <c r="B471" s="490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</row>
    <row r="472">
      <c r="A472" s="184"/>
      <c r="B472" s="490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</row>
    <row r="473">
      <c r="A473" s="184"/>
      <c r="B473" s="490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</row>
    <row r="474">
      <c r="A474" s="184"/>
      <c r="B474" s="490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</row>
    <row r="475">
      <c r="A475" s="184"/>
      <c r="B475" s="490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</row>
    <row r="476">
      <c r="A476" s="184"/>
      <c r="B476" s="490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</row>
    <row r="477">
      <c r="A477" s="184"/>
      <c r="B477" s="490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</row>
    <row r="478">
      <c r="A478" s="184"/>
      <c r="B478" s="490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</row>
    <row r="479">
      <c r="A479" s="184"/>
      <c r="B479" s="490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</row>
    <row r="480">
      <c r="A480" s="184"/>
      <c r="B480" s="490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</row>
    <row r="481">
      <c r="A481" s="184"/>
      <c r="B481" s="490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</row>
    <row r="482">
      <c r="A482" s="184"/>
      <c r="B482" s="490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</row>
    <row r="483">
      <c r="A483" s="184"/>
      <c r="B483" s="490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</row>
    <row r="484">
      <c r="A484" s="184"/>
      <c r="B484" s="490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</row>
    <row r="485">
      <c r="A485" s="184"/>
      <c r="B485" s="490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  <c r="Y485" s="184"/>
      <c r="Z485" s="184"/>
    </row>
    <row r="486">
      <c r="A486" s="184"/>
      <c r="B486" s="490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  <c r="Y486" s="184"/>
      <c r="Z486" s="184"/>
    </row>
    <row r="487">
      <c r="A487" s="184"/>
      <c r="B487" s="490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  <c r="Y487" s="184"/>
      <c r="Z487" s="184"/>
    </row>
    <row r="488">
      <c r="A488" s="184"/>
      <c r="B488" s="490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  <c r="Y488" s="184"/>
      <c r="Z488" s="184"/>
    </row>
    <row r="489">
      <c r="A489" s="184"/>
      <c r="B489" s="490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  <c r="Y489" s="184"/>
      <c r="Z489" s="184"/>
    </row>
    <row r="490">
      <c r="A490" s="184"/>
      <c r="B490" s="490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  <c r="Y490" s="184"/>
      <c r="Z490" s="184"/>
    </row>
    <row r="491">
      <c r="A491" s="184"/>
      <c r="B491" s="490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  <c r="Y491" s="184"/>
      <c r="Z491" s="184"/>
    </row>
    <row r="492">
      <c r="A492" s="184"/>
      <c r="B492" s="490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  <c r="Y492" s="184"/>
      <c r="Z492" s="184"/>
    </row>
    <row r="493">
      <c r="A493" s="184"/>
      <c r="B493" s="490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  <c r="Y493" s="184"/>
      <c r="Z493" s="184"/>
    </row>
    <row r="494">
      <c r="A494" s="184"/>
      <c r="B494" s="490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  <c r="Y494" s="184"/>
      <c r="Z494" s="184"/>
    </row>
    <row r="495">
      <c r="A495" s="184"/>
      <c r="B495" s="490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  <c r="Y495" s="184"/>
      <c r="Z495" s="184"/>
    </row>
    <row r="496">
      <c r="A496" s="184"/>
      <c r="B496" s="490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  <c r="Y496" s="184"/>
      <c r="Z496" s="184"/>
    </row>
    <row r="497">
      <c r="A497" s="184"/>
      <c r="B497" s="490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  <c r="Y497" s="184"/>
      <c r="Z497" s="184"/>
    </row>
    <row r="498">
      <c r="A498" s="184"/>
      <c r="B498" s="490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  <c r="Y498" s="184"/>
      <c r="Z498" s="184"/>
    </row>
    <row r="499">
      <c r="A499" s="184"/>
      <c r="B499" s="490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  <c r="Y499" s="184"/>
      <c r="Z499" s="184"/>
    </row>
    <row r="500">
      <c r="A500" s="184"/>
      <c r="B500" s="490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  <c r="Y500" s="184"/>
      <c r="Z500" s="184"/>
    </row>
    <row r="501">
      <c r="A501" s="184"/>
      <c r="B501" s="490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  <c r="Y501" s="184"/>
      <c r="Z501" s="184"/>
    </row>
    <row r="502">
      <c r="A502" s="184"/>
      <c r="B502" s="490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</row>
    <row r="503">
      <c r="A503" s="184"/>
      <c r="B503" s="490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  <c r="Y503" s="184"/>
      <c r="Z503" s="184"/>
    </row>
    <row r="504">
      <c r="A504" s="184"/>
      <c r="B504" s="490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  <c r="Y504" s="184"/>
      <c r="Z504" s="184"/>
    </row>
    <row r="505">
      <c r="A505" s="184"/>
      <c r="B505" s="490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  <c r="Y505" s="184"/>
      <c r="Z505" s="184"/>
    </row>
    <row r="506">
      <c r="A506" s="184"/>
      <c r="B506" s="490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  <c r="Y506" s="184"/>
      <c r="Z506" s="184"/>
    </row>
    <row r="507">
      <c r="A507" s="184"/>
      <c r="B507" s="490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  <c r="Y507" s="184"/>
      <c r="Z507" s="184"/>
    </row>
    <row r="508">
      <c r="A508" s="184"/>
      <c r="B508" s="490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  <c r="Y508" s="184"/>
      <c r="Z508" s="184"/>
    </row>
    <row r="509">
      <c r="A509" s="184"/>
      <c r="B509" s="490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  <c r="Y509" s="184"/>
      <c r="Z509" s="184"/>
    </row>
    <row r="510">
      <c r="A510" s="184"/>
      <c r="B510" s="490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  <c r="Y510" s="184"/>
      <c r="Z510" s="184"/>
    </row>
    <row r="511">
      <c r="A511" s="184"/>
      <c r="B511" s="490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  <c r="Y511" s="184"/>
      <c r="Z511" s="184"/>
    </row>
    <row r="512">
      <c r="A512" s="184"/>
      <c r="B512" s="490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  <c r="Y512" s="184"/>
      <c r="Z512" s="184"/>
    </row>
    <row r="513">
      <c r="A513" s="184"/>
      <c r="B513" s="490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  <c r="Y513" s="184"/>
      <c r="Z513" s="184"/>
    </row>
    <row r="514">
      <c r="A514" s="184"/>
      <c r="B514" s="490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  <c r="Y514" s="184"/>
      <c r="Z514" s="184"/>
    </row>
    <row r="515">
      <c r="A515" s="184"/>
      <c r="B515" s="490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  <c r="Y515" s="184"/>
      <c r="Z515" s="184"/>
    </row>
    <row r="516">
      <c r="A516" s="184"/>
      <c r="B516" s="490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  <c r="Y516" s="184"/>
      <c r="Z516" s="184"/>
    </row>
    <row r="517">
      <c r="A517" s="184"/>
      <c r="B517" s="490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</row>
    <row r="518">
      <c r="A518" s="184"/>
      <c r="B518" s="490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  <c r="Y518" s="184"/>
      <c r="Z518" s="184"/>
    </row>
    <row r="519">
      <c r="A519" s="184"/>
      <c r="B519" s="490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</row>
    <row r="520">
      <c r="A520" s="184"/>
      <c r="B520" s="490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  <c r="Y520" s="184"/>
      <c r="Z520" s="184"/>
    </row>
    <row r="521">
      <c r="A521" s="184"/>
      <c r="B521" s="490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  <c r="Y521" s="184"/>
      <c r="Z521" s="184"/>
    </row>
    <row r="522">
      <c r="A522" s="184"/>
      <c r="B522" s="490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</row>
    <row r="523">
      <c r="A523" s="184"/>
      <c r="B523" s="490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</row>
    <row r="524">
      <c r="A524" s="184"/>
      <c r="B524" s="490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</row>
    <row r="525">
      <c r="A525" s="184"/>
      <c r="B525" s="490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</row>
    <row r="526">
      <c r="A526" s="184"/>
      <c r="B526" s="490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  <c r="Y526" s="184"/>
      <c r="Z526" s="184"/>
    </row>
    <row r="527">
      <c r="A527" s="184"/>
      <c r="B527" s="490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  <c r="Y527" s="184"/>
      <c r="Z527" s="184"/>
    </row>
    <row r="528">
      <c r="A528" s="184"/>
      <c r="B528" s="490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  <c r="Y528" s="184"/>
      <c r="Z528" s="184"/>
    </row>
    <row r="529">
      <c r="A529" s="184"/>
      <c r="B529" s="490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</row>
    <row r="530">
      <c r="A530" s="184"/>
      <c r="B530" s="490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  <c r="Y530" s="184"/>
      <c r="Z530" s="184"/>
    </row>
    <row r="531">
      <c r="A531" s="184"/>
      <c r="B531" s="490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</row>
    <row r="532">
      <c r="A532" s="184"/>
      <c r="B532" s="490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</row>
    <row r="533">
      <c r="A533" s="184"/>
      <c r="B533" s="490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</row>
    <row r="534">
      <c r="A534" s="184"/>
      <c r="B534" s="490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  <c r="Y534" s="184"/>
      <c r="Z534" s="184"/>
    </row>
    <row r="535">
      <c r="A535" s="184"/>
      <c r="B535" s="490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</row>
    <row r="536">
      <c r="A536" s="184"/>
      <c r="B536" s="490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  <c r="Y536" s="184"/>
      <c r="Z536" s="184"/>
    </row>
    <row r="537">
      <c r="A537" s="184"/>
      <c r="B537" s="490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  <c r="Y537" s="184"/>
      <c r="Z537" s="184"/>
    </row>
    <row r="538">
      <c r="A538" s="184"/>
      <c r="B538" s="490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</row>
    <row r="539">
      <c r="A539" s="184"/>
      <c r="B539" s="490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</row>
    <row r="540">
      <c r="A540" s="184"/>
      <c r="B540" s="490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</row>
    <row r="541">
      <c r="A541" s="184"/>
      <c r="B541" s="490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  <c r="Y541" s="184"/>
      <c r="Z541" s="184"/>
    </row>
    <row r="542">
      <c r="A542" s="184"/>
      <c r="B542" s="490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</row>
    <row r="543">
      <c r="A543" s="184"/>
      <c r="B543" s="490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  <c r="Y543" s="184"/>
      <c r="Z543" s="184"/>
    </row>
    <row r="544">
      <c r="A544" s="184"/>
      <c r="B544" s="490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  <c r="Y544" s="184"/>
      <c r="Z544" s="184"/>
    </row>
    <row r="545">
      <c r="A545" s="184"/>
      <c r="B545" s="490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</row>
    <row r="546">
      <c r="A546" s="184"/>
      <c r="B546" s="490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</row>
    <row r="547">
      <c r="A547" s="184"/>
      <c r="B547" s="490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</row>
    <row r="548">
      <c r="A548" s="184"/>
      <c r="B548" s="490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  <c r="Y548" s="184"/>
      <c r="Z548" s="184"/>
    </row>
    <row r="549">
      <c r="A549" s="184"/>
      <c r="B549" s="490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  <c r="Y549" s="184"/>
      <c r="Z549" s="184"/>
    </row>
    <row r="550">
      <c r="A550" s="184"/>
      <c r="B550" s="490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</row>
    <row r="551">
      <c r="A551" s="184"/>
      <c r="B551" s="490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  <c r="Y551" s="184"/>
      <c r="Z551" s="184"/>
    </row>
    <row r="552">
      <c r="A552" s="184"/>
      <c r="B552" s="490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</row>
    <row r="553">
      <c r="A553" s="184"/>
      <c r="B553" s="490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  <c r="Y553" s="184"/>
      <c r="Z553" s="184"/>
    </row>
    <row r="554">
      <c r="A554" s="184"/>
      <c r="B554" s="490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</row>
    <row r="555">
      <c r="A555" s="184"/>
      <c r="B555" s="490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</row>
    <row r="556">
      <c r="A556" s="184"/>
      <c r="B556" s="490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</row>
    <row r="557">
      <c r="A557" s="184"/>
      <c r="B557" s="490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  <c r="Y557" s="184"/>
      <c r="Z557" s="184"/>
    </row>
    <row r="558">
      <c r="A558" s="184"/>
      <c r="B558" s="490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  <c r="Y558" s="184"/>
      <c r="Z558" s="184"/>
    </row>
    <row r="559">
      <c r="A559" s="184"/>
      <c r="B559" s="490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</row>
    <row r="560">
      <c r="A560" s="184"/>
      <c r="B560" s="490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</row>
    <row r="561">
      <c r="A561" s="184"/>
      <c r="B561" s="490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  <c r="Y561" s="184"/>
      <c r="Z561" s="184"/>
    </row>
    <row r="562">
      <c r="A562" s="184"/>
      <c r="B562" s="490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</row>
    <row r="563">
      <c r="A563" s="184"/>
      <c r="B563" s="490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</row>
    <row r="564">
      <c r="A564" s="184"/>
      <c r="B564" s="490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</row>
    <row r="565">
      <c r="A565" s="184"/>
      <c r="B565" s="490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</row>
    <row r="566">
      <c r="A566" s="184"/>
      <c r="B566" s="490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</row>
    <row r="567">
      <c r="A567" s="184"/>
      <c r="B567" s="490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</row>
    <row r="568">
      <c r="A568" s="184"/>
      <c r="B568" s="490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</row>
    <row r="569">
      <c r="A569" s="184"/>
      <c r="B569" s="490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</row>
    <row r="570">
      <c r="A570" s="184"/>
      <c r="B570" s="490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</row>
    <row r="571">
      <c r="A571" s="184"/>
      <c r="B571" s="490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</row>
    <row r="572">
      <c r="A572" s="184"/>
      <c r="B572" s="490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</row>
    <row r="573">
      <c r="A573" s="184"/>
      <c r="B573" s="490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</row>
    <row r="574">
      <c r="A574" s="184"/>
      <c r="B574" s="490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</row>
    <row r="575">
      <c r="A575" s="184"/>
      <c r="B575" s="490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</row>
    <row r="576">
      <c r="A576" s="184"/>
      <c r="B576" s="490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</row>
    <row r="577">
      <c r="A577" s="184"/>
      <c r="B577" s="490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  <c r="Y577" s="184"/>
      <c r="Z577" s="184"/>
    </row>
    <row r="578">
      <c r="A578" s="184"/>
      <c r="B578" s="490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</row>
    <row r="579">
      <c r="A579" s="184"/>
      <c r="B579" s="490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</row>
    <row r="580">
      <c r="A580" s="184"/>
      <c r="B580" s="490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</row>
    <row r="581">
      <c r="A581" s="184"/>
      <c r="B581" s="490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</row>
    <row r="582">
      <c r="A582" s="184"/>
      <c r="B582" s="490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</row>
    <row r="583">
      <c r="A583" s="184"/>
      <c r="B583" s="490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</row>
    <row r="584">
      <c r="A584" s="184"/>
      <c r="B584" s="490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</row>
    <row r="585">
      <c r="A585" s="184"/>
      <c r="B585" s="490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</row>
    <row r="586">
      <c r="A586" s="184"/>
      <c r="B586" s="490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</row>
    <row r="587">
      <c r="A587" s="184"/>
      <c r="B587" s="490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  <c r="Y587" s="184"/>
      <c r="Z587" s="184"/>
    </row>
    <row r="588">
      <c r="A588" s="184"/>
      <c r="B588" s="490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</row>
    <row r="589">
      <c r="A589" s="184"/>
      <c r="B589" s="490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</row>
    <row r="590">
      <c r="A590" s="184"/>
      <c r="B590" s="490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  <c r="Y590" s="184"/>
      <c r="Z590" s="184"/>
    </row>
    <row r="591">
      <c r="A591" s="184"/>
      <c r="B591" s="490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</row>
    <row r="592">
      <c r="A592" s="184"/>
      <c r="B592" s="490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</row>
    <row r="593">
      <c r="A593" s="184"/>
      <c r="B593" s="490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</row>
    <row r="594">
      <c r="A594" s="184"/>
      <c r="B594" s="490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  <c r="Y594" s="184"/>
      <c r="Z594" s="184"/>
    </row>
    <row r="595">
      <c r="A595" s="184"/>
      <c r="B595" s="490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  <c r="Y595" s="184"/>
      <c r="Z595" s="184"/>
    </row>
    <row r="596">
      <c r="A596" s="184"/>
      <c r="B596" s="490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  <c r="Y596" s="184"/>
      <c r="Z596" s="184"/>
    </row>
    <row r="597">
      <c r="A597" s="184"/>
      <c r="B597" s="490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  <c r="Y597" s="184"/>
      <c r="Z597" s="184"/>
    </row>
    <row r="598">
      <c r="A598" s="184"/>
      <c r="B598" s="490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  <c r="Y598" s="184"/>
      <c r="Z598" s="184"/>
    </row>
    <row r="599">
      <c r="A599" s="184"/>
      <c r="B599" s="490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</row>
    <row r="600">
      <c r="A600" s="184"/>
      <c r="B600" s="490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</row>
    <row r="601">
      <c r="A601" s="184"/>
      <c r="B601" s="490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</row>
    <row r="602">
      <c r="A602" s="184"/>
      <c r="B602" s="490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  <c r="Y602" s="184"/>
      <c r="Z602" s="184"/>
    </row>
    <row r="603">
      <c r="A603" s="184"/>
      <c r="B603" s="490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</row>
    <row r="604">
      <c r="A604" s="184"/>
      <c r="B604" s="490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</row>
    <row r="605">
      <c r="A605" s="184"/>
      <c r="B605" s="490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</row>
    <row r="606">
      <c r="A606" s="184"/>
      <c r="B606" s="490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</row>
    <row r="607">
      <c r="A607" s="184"/>
      <c r="B607" s="490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</row>
    <row r="608">
      <c r="A608" s="184"/>
      <c r="B608" s="490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  <c r="Y608" s="184"/>
      <c r="Z608" s="184"/>
    </row>
    <row r="609">
      <c r="A609" s="184"/>
      <c r="B609" s="490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</row>
    <row r="610">
      <c r="A610" s="184"/>
      <c r="B610" s="490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</row>
    <row r="611">
      <c r="A611" s="184"/>
      <c r="B611" s="490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  <c r="Y611" s="184"/>
      <c r="Z611" s="184"/>
    </row>
    <row r="612">
      <c r="A612" s="184"/>
      <c r="B612" s="490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</row>
    <row r="613">
      <c r="A613" s="184"/>
      <c r="B613" s="490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</row>
    <row r="614">
      <c r="A614" s="184"/>
      <c r="B614" s="490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</row>
    <row r="615">
      <c r="A615" s="184"/>
      <c r="B615" s="490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</row>
    <row r="616">
      <c r="A616" s="184"/>
      <c r="B616" s="490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</row>
    <row r="617">
      <c r="A617" s="184"/>
      <c r="B617" s="490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</row>
    <row r="618">
      <c r="A618" s="184"/>
      <c r="B618" s="490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</row>
    <row r="619">
      <c r="A619" s="184"/>
      <c r="B619" s="490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</row>
    <row r="620">
      <c r="A620" s="184"/>
      <c r="B620" s="490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</row>
    <row r="621">
      <c r="A621" s="184"/>
      <c r="B621" s="490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</row>
    <row r="622">
      <c r="A622" s="184"/>
      <c r="B622" s="490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</row>
    <row r="623">
      <c r="A623" s="184"/>
      <c r="B623" s="490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</row>
    <row r="624">
      <c r="A624" s="184"/>
      <c r="B624" s="490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</row>
    <row r="625">
      <c r="A625" s="184"/>
      <c r="B625" s="490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</row>
    <row r="626">
      <c r="A626" s="184"/>
      <c r="B626" s="490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</row>
    <row r="627">
      <c r="A627" s="184"/>
      <c r="B627" s="490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</row>
    <row r="628">
      <c r="A628" s="184"/>
      <c r="B628" s="490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</row>
    <row r="629">
      <c r="A629" s="184"/>
      <c r="B629" s="490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</row>
    <row r="630">
      <c r="A630" s="184"/>
      <c r="B630" s="490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  <c r="Y630" s="184"/>
      <c r="Z630" s="184"/>
    </row>
    <row r="631">
      <c r="A631" s="184"/>
      <c r="B631" s="490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  <c r="Y631" s="184"/>
      <c r="Z631" s="184"/>
    </row>
    <row r="632">
      <c r="A632" s="184"/>
      <c r="B632" s="490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</row>
    <row r="633">
      <c r="A633" s="184"/>
      <c r="B633" s="490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  <c r="Y633" s="184"/>
      <c r="Z633" s="184"/>
    </row>
    <row r="634">
      <c r="A634" s="184"/>
      <c r="B634" s="490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  <c r="Y634" s="184"/>
      <c r="Z634" s="184"/>
    </row>
    <row r="635">
      <c r="A635" s="184"/>
      <c r="B635" s="490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  <c r="Y635" s="184"/>
      <c r="Z635" s="184"/>
    </row>
    <row r="636">
      <c r="A636" s="184"/>
      <c r="B636" s="490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  <c r="Y636" s="184"/>
      <c r="Z636" s="184"/>
    </row>
    <row r="637">
      <c r="A637" s="184"/>
      <c r="B637" s="490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  <c r="Y637" s="184"/>
      <c r="Z637" s="184"/>
    </row>
    <row r="638">
      <c r="A638" s="184"/>
      <c r="B638" s="490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  <c r="Y638" s="184"/>
      <c r="Z638" s="184"/>
    </row>
    <row r="639">
      <c r="A639" s="184"/>
      <c r="B639" s="490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  <c r="Y639" s="184"/>
      <c r="Z639" s="184"/>
    </row>
    <row r="640">
      <c r="A640" s="184"/>
      <c r="B640" s="490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  <c r="Y640" s="184"/>
      <c r="Z640" s="184"/>
    </row>
    <row r="641">
      <c r="A641" s="184"/>
      <c r="B641" s="490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  <c r="Y641" s="184"/>
      <c r="Z641" s="184"/>
    </row>
    <row r="642">
      <c r="A642" s="184"/>
      <c r="B642" s="490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  <c r="Y642" s="184"/>
      <c r="Z642" s="184"/>
    </row>
    <row r="643">
      <c r="A643" s="184"/>
      <c r="B643" s="490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  <c r="Y643" s="184"/>
      <c r="Z643" s="184"/>
    </row>
    <row r="644">
      <c r="A644" s="184"/>
      <c r="B644" s="490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</row>
    <row r="645">
      <c r="A645" s="184"/>
      <c r="B645" s="490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</row>
    <row r="646">
      <c r="A646" s="184"/>
      <c r="B646" s="490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</row>
    <row r="647">
      <c r="A647" s="184"/>
      <c r="B647" s="490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</row>
    <row r="648">
      <c r="A648" s="184"/>
      <c r="B648" s="490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</row>
    <row r="649">
      <c r="A649" s="184"/>
      <c r="B649" s="490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</row>
    <row r="650">
      <c r="A650" s="184"/>
      <c r="B650" s="490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</row>
    <row r="651">
      <c r="A651" s="184"/>
      <c r="B651" s="490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</row>
    <row r="652">
      <c r="A652" s="184"/>
      <c r="B652" s="490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</row>
    <row r="653">
      <c r="A653" s="184"/>
      <c r="B653" s="490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</row>
    <row r="654">
      <c r="A654" s="184"/>
      <c r="B654" s="490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</row>
    <row r="655">
      <c r="A655" s="184"/>
      <c r="B655" s="490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</row>
    <row r="656">
      <c r="A656" s="184"/>
      <c r="B656" s="490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</row>
    <row r="657">
      <c r="A657" s="184"/>
      <c r="B657" s="490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</row>
    <row r="658">
      <c r="A658" s="184"/>
      <c r="B658" s="490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</row>
    <row r="659">
      <c r="A659" s="184"/>
      <c r="B659" s="490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</row>
    <row r="660">
      <c r="A660" s="184"/>
      <c r="B660" s="490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</row>
    <row r="661">
      <c r="A661" s="184"/>
      <c r="B661" s="490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</row>
    <row r="662">
      <c r="A662" s="184"/>
      <c r="B662" s="490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</row>
    <row r="663">
      <c r="A663" s="184"/>
      <c r="B663" s="490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</row>
    <row r="664">
      <c r="A664" s="184"/>
      <c r="B664" s="490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</row>
    <row r="665">
      <c r="A665" s="184"/>
      <c r="B665" s="490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</row>
    <row r="666">
      <c r="A666" s="184"/>
      <c r="B666" s="490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</row>
    <row r="667">
      <c r="A667" s="184"/>
      <c r="B667" s="490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</row>
    <row r="668">
      <c r="A668" s="184"/>
      <c r="B668" s="490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</row>
    <row r="669">
      <c r="A669" s="184"/>
      <c r="B669" s="490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</row>
    <row r="670">
      <c r="A670" s="184"/>
      <c r="B670" s="490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</row>
    <row r="671">
      <c r="A671" s="184"/>
      <c r="B671" s="490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</row>
    <row r="672">
      <c r="A672" s="184"/>
      <c r="B672" s="490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</row>
    <row r="673">
      <c r="A673" s="184"/>
      <c r="B673" s="490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</row>
    <row r="674">
      <c r="A674" s="184"/>
      <c r="B674" s="490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</row>
    <row r="675">
      <c r="A675" s="184"/>
      <c r="B675" s="490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</row>
    <row r="676">
      <c r="A676" s="184"/>
      <c r="B676" s="490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</row>
    <row r="677">
      <c r="A677" s="184"/>
      <c r="B677" s="490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</row>
    <row r="678">
      <c r="A678" s="184"/>
      <c r="B678" s="490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</row>
    <row r="679">
      <c r="A679" s="184"/>
      <c r="B679" s="490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</row>
    <row r="680">
      <c r="A680" s="184"/>
      <c r="B680" s="490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</row>
    <row r="681">
      <c r="A681" s="184"/>
      <c r="B681" s="490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</row>
    <row r="682">
      <c r="A682" s="184"/>
      <c r="B682" s="490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</row>
    <row r="683">
      <c r="A683" s="184"/>
      <c r="B683" s="490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</row>
    <row r="684">
      <c r="A684" s="184"/>
      <c r="B684" s="490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</row>
    <row r="685">
      <c r="A685" s="184"/>
      <c r="B685" s="490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</row>
    <row r="686">
      <c r="A686" s="184"/>
      <c r="B686" s="490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</row>
    <row r="687">
      <c r="A687" s="184"/>
      <c r="B687" s="490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</row>
    <row r="688">
      <c r="A688" s="184"/>
      <c r="B688" s="490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</row>
    <row r="689">
      <c r="A689" s="184"/>
      <c r="B689" s="490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</row>
    <row r="690">
      <c r="A690" s="184"/>
      <c r="B690" s="490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</row>
    <row r="691">
      <c r="A691" s="184"/>
      <c r="B691" s="490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</row>
    <row r="692">
      <c r="A692" s="184"/>
      <c r="B692" s="490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</row>
    <row r="693">
      <c r="A693" s="184"/>
      <c r="B693" s="490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</row>
    <row r="694">
      <c r="A694" s="184"/>
      <c r="B694" s="490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</row>
    <row r="695">
      <c r="A695" s="184"/>
      <c r="B695" s="490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</row>
    <row r="696">
      <c r="A696" s="184"/>
      <c r="B696" s="490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</row>
    <row r="697">
      <c r="A697" s="184"/>
      <c r="B697" s="490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</row>
    <row r="698">
      <c r="A698" s="184"/>
      <c r="B698" s="490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</row>
    <row r="699">
      <c r="A699" s="184"/>
      <c r="B699" s="490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</row>
    <row r="700">
      <c r="A700" s="184"/>
      <c r="B700" s="490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</row>
    <row r="701">
      <c r="A701" s="184"/>
      <c r="B701" s="490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</row>
    <row r="702">
      <c r="A702" s="184"/>
      <c r="B702" s="490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</row>
    <row r="703">
      <c r="A703" s="184"/>
      <c r="B703" s="490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</row>
    <row r="704">
      <c r="A704" s="184"/>
      <c r="B704" s="490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</row>
    <row r="705">
      <c r="A705" s="184"/>
      <c r="B705" s="490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</row>
    <row r="706">
      <c r="A706" s="184"/>
      <c r="B706" s="490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</row>
    <row r="707">
      <c r="A707" s="184"/>
      <c r="B707" s="490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</row>
    <row r="708">
      <c r="A708" s="184"/>
      <c r="B708" s="490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</row>
    <row r="709">
      <c r="A709" s="184"/>
      <c r="B709" s="490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</row>
    <row r="710">
      <c r="A710" s="184"/>
      <c r="B710" s="490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</row>
    <row r="711">
      <c r="A711" s="184"/>
      <c r="B711" s="490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</row>
    <row r="712">
      <c r="A712" s="184"/>
      <c r="B712" s="490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</row>
    <row r="713">
      <c r="A713" s="184"/>
      <c r="B713" s="490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</row>
    <row r="714">
      <c r="A714" s="184"/>
      <c r="B714" s="490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</row>
    <row r="715">
      <c r="A715" s="184"/>
      <c r="B715" s="490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</row>
    <row r="716">
      <c r="A716" s="184"/>
      <c r="B716" s="490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</row>
    <row r="717">
      <c r="A717" s="184"/>
      <c r="B717" s="490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</row>
    <row r="718">
      <c r="A718" s="184"/>
      <c r="B718" s="490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</row>
    <row r="719">
      <c r="A719" s="184"/>
      <c r="B719" s="490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</row>
    <row r="720">
      <c r="A720" s="184"/>
      <c r="B720" s="490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</row>
    <row r="721">
      <c r="A721" s="184"/>
      <c r="B721" s="490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</row>
    <row r="722">
      <c r="A722" s="184"/>
      <c r="B722" s="490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</row>
    <row r="723">
      <c r="A723" s="184"/>
      <c r="B723" s="490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</row>
    <row r="724">
      <c r="A724" s="184"/>
      <c r="B724" s="490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</row>
    <row r="725">
      <c r="A725" s="184"/>
      <c r="B725" s="490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</row>
    <row r="726">
      <c r="A726" s="184"/>
      <c r="B726" s="490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</row>
    <row r="727">
      <c r="A727" s="184"/>
      <c r="B727" s="490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</row>
    <row r="728">
      <c r="A728" s="184"/>
      <c r="B728" s="490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</row>
    <row r="729">
      <c r="A729" s="184"/>
      <c r="B729" s="490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</row>
    <row r="730">
      <c r="A730" s="184"/>
      <c r="B730" s="490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</row>
    <row r="731">
      <c r="A731" s="184"/>
      <c r="B731" s="490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</row>
    <row r="732">
      <c r="A732" s="184"/>
      <c r="B732" s="490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</row>
    <row r="733">
      <c r="A733" s="184"/>
      <c r="B733" s="490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</row>
    <row r="734">
      <c r="A734" s="184"/>
      <c r="B734" s="490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</row>
    <row r="735">
      <c r="A735" s="184"/>
      <c r="B735" s="490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</row>
    <row r="736">
      <c r="A736" s="184"/>
      <c r="B736" s="490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</row>
    <row r="737">
      <c r="A737" s="184"/>
      <c r="B737" s="490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</row>
    <row r="738">
      <c r="A738" s="184"/>
      <c r="B738" s="490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</row>
    <row r="739">
      <c r="A739" s="184"/>
      <c r="B739" s="490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</row>
    <row r="740">
      <c r="A740" s="184"/>
      <c r="B740" s="490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</row>
    <row r="741">
      <c r="A741" s="184"/>
      <c r="B741" s="490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</row>
    <row r="742">
      <c r="A742" s="184"/>
      <c r="B742" s="490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</row>
    <row r="743">
      <c r="A743" s="184"/>
      <c r="B743" s="490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</row>
    <row r="744">
      <c r="A744" s="184"/>
      <c r="B744" s="490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</row>
    <row r="745">
      <c r="A745" s="184"/>
      <c r="B745" s="490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</row>
    <row r="746">
      <c r="A746" s="184"/>
      <c r="B746" s="490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</row>
    <row r="747">
      <c r="A747" s="184"/>
      <c r="B747" s="490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</row>
    <row r="748">
      <c r="A748" s="184"/>
      <c r="B748" s="490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</row>
    <row r="749">
      <c r="A749" s="184"/>
      <c r="B749" s="490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</row>
    <row r="750">
      <c r="A750" s="184"/>
      <c r="B750" s="490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</row>
    <row r="751">
      <c r="A751" s="184"/>
      <c r="B751" s="490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</row>
    <row r="752">
      <c r="A752" s="184"/>
      <c r="B752" s="490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</row>
    <row r="753">
      <c r="A753" s="184"/>
      <c r="B753" s="490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</row>
    <row r="754">
      <c r="A754" s="184"/>
      <c r="B754" s="490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</row>
    <row r="755">
      <c r="A755" s="184"/>
      <c r="B755" s="490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</row>
    <row r="756">
      <c r="A756" s="184"/>
      <c r="B756" s="490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</row>
    <row r="757">
      <c r="A757" s="184"/>
      <c r="B757" s="490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</row>
    <row r="758">
      <c r="A758" s="184"/>
      <c r="B758" s="490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  <c r="Y758" s="184"/>
      <c r="Z758" s="184"/>
    </row>
    <row r="759">
      <c r="A759" s="184"/>
      <c r="B759" s="490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  <c r="Y759" s="184"/>
      <c r="Z759" s="184"/>
    </row>
    <row r="760">
      <c r="A760" s="184"/>
      <c r="B760" s="490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  <c r="Y760" s="184"/>
      <c r="Z760" s="184"/>
    </row>
    <row r="761">
      <c r="A761" s="184"/>
      <c r="B761" s="490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  <c r="Y761" s="184"/>
      <c r="Z761" s="184"/>
    </row>
    <row r="762">
      <c r="A762" s="184"/>
      <c r="B762" s="490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  <c r="Y762" s="184"/>
      <c r="Z762" s="184"/>
    </row>
    <row r="763">
      <c r="A763" s="184"/>
      <c r="B763" s="490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  <c r="Y763" s="184"/>
      <c r="Z763" s="184"/>
    </row>
    <row r="764">
      <c r="A764" s="184"/>
      <c r="B764" s="490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  <c r="Y764" s="184"/>
      <c r="Z764" s="184"/>
    </row>
    <row r="765">
      <c r="A765" s="184"/>
      <c r="B765" s="490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  <c r="Y765" s="184"/>
      <c r="Z765" s="184"/>
    </row>
    <row r="766">
      <c r="A766" s="184"/>
      <c r="B766" s="490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  <c r="Y766" s="184"/>
      <c r="Z766" s="184"/>
    </row>
    <row r="767">
      <c r="A767" s="184"/>
      <c r="B767" s="490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  <c r="Y767" s="184"/>
      <c r="Z767" s="184"/>
    </row>
    <row r="768">
      <c r="A768" s="184"/>
      <c r="B768" s="490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  <c r="Y768" s="184"/>
      <c r="Z768" s="184"/>
    </row>
    <row r="769">
      <c r="A769" s="184"/>
      <c r="B769" s="490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  <c r="Y769" s="184"/>
      <c r="Z769" s="184"/>
    </row>
    <row r="770">
      <c r="A770" s="184"/>
      <c r="B770" s="490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</row>
    <row r="771">
      <c r="A771" s="184"/>
      <c r="B771" s="490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</row>
    <row r="772">
      <c r="A772" s="184"/>
      <c r="B772" s="490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</row>
    <row r="773">
      <c r="A773" s="184"/>
      <c r="B773" s="490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</row>
    <row r="774">
      <c r="A774" s="184"/>
      <c r="B774" s="490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</row>
    <row r="775">
      <c r="A775" s="184"/>
      <c r="B775" s="490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</row>
    <row r="776">
      <c r="A776" s="184"/>
      <c r="B776" s="490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</row>
    <row r="777">
      <c r="A777" s="184"/>
      <c r="B777" s="490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</row>
    <row r="778">
      <c r="A778" s="184"/>
      <c r="B778" s="490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</row>
    <row r="779">
      <c r="A779" s="184"/>
      <c r="B779" s="490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</row>
    <row r="780">
      <c r="A780" s="184"/>
      <c r="B780" s="490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</row>
    <row r="781">
      <c r="A781" s="184"/>
      <c r="B781" s="490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</row>
    <row r="782">
      <c r="A782" s="184"/>
      <c r="B782" s="490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</row>
    <row r="783">
      <c r="A783" s="184"/>
      <c r="B783" s="490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</row>
    <row r="784">
      <c r="A784" s="184"/>
      <c r="B784" s="490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</row>
    <row r="785">
      <c r="A785" s="184"/>
      <c r="B785" s="490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</row>
    <row r="786">
      <c r="A786" s="184"/>
      <c r="B786" s="490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</row>
    <row r="787">
      <c r="A787" s="184"/>
      <c r="B787" s="490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</row>
    <row r="788">
      <c r="A788" s="184"/>
      <c r="B788" s="490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</row>
    <row r="789">
      <c r="A789" s="184"/>
      <c r="B789" s="490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</row>
    <row r="790">
      <c r="A790" s="184"/>
      <c r="B790" s="490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</row>
    <row r="791">
      <c r="A791" s="184"/>
      <c r="B791" s="490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</row>
    <row r="792">
      <c r="A792" s="184"/>
      <c r="B792" s="490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</row>
    <row r="793">
      <c r="A793" s="184"/>
      <c r="B793" s="490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</row>
    <row r="794">
      <c r="A794" s="184"/>
      <c r="B794" s="490"/>
      <c r="C794" s="184"/>
      <c r="D794" s="184"/>
      <c r="E794" s="184"/>
      <c r="F794" s="184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  <c r="Y794" s="184"/>
      <c r="Z794" s="184"/>
    </row>
    <row r="795">
      <c r="A795" s="184"/>
      <c r="B795" s="490"/>
      <c r="C795" s="184"/>
      <c r="D795" s="184"/>
      <c r="E795" s="184"/>
      <c r="F795" s="184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  <c r="W795" s="184"/>
      <c r="X795" s="184"/>
      <c r="Y795" s="184"/>
      <c r="Z795" s="184"/>
    </row>
    <row r="796">
      <c r="A796" s="184"/>
      <c r="B796" s="490"/>
      <c r="C796" s="184"/>
      <c r="D796" s="184"/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  <c r="Y796" s="184"/>
      <c r="Z796" s="184"/>
    </row>
    <row r="797">
      <c r="A797" s="184"/>
      <c r="B797" s="490"/>
      <c r="C797" s="184"/>
      <c r="D797" s="184"/>
      <c r="E797" s="184"/>
      <c r="F797" s="184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  <c r="W797" s="184"/>
      <c r="X797" s="184"/>
      <c r="Y797" s="184"/>
      <c r="Z797" s="184"/>
    </row>
    <row r="798">
      <c r="A798" s="184"/>
      <c r="B798" s="490"/>
      <c r="C798" s="184"/>
      <c r="D798" s="184"/>
      <c r="E798" s="184"/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  <c r="Y798" s="184"/>
      <c r="Z798" s="184"/>
    </row>
    <row r="799">
      <c r="A799" s="184"/>
      <c r="B799" s="490"/>
      <c r="C799" s="184"/>
      <c r="D799" s="184"/>
      <c r="E799" s="184"/>
      <c r="F799" s="184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  <c r="W799" s="184"/>
      <c r="X799" s="184"/>
      <c r="Y799" s="184"/>
      <c r="Z799" s="184"/>
    </row>
    <row r="800">
      <c r="A800" s="184"/>
      <c r="B800" s="490"/>
      <c r="C800" s="184"/>
      <c r="D800" s="184"/>
      <c r="E800" s="184"/>
      <c r="F800" s="184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  <c r="W800" s="184"/>
      <c r="X800" s="184"/>
      <c r="Y800" s="184"/>
      <c r="Z800" s="184"/>
    </row>
    <row r="801">
      <c r="A801" s="184"/>
      <c r="B801" s="490"/>
      <c r="C801" s="184"/>
      <c r="D801" s="184"/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  <c r="W801" s="184"/>
      <c r="X801" s="184"/>
      <c r="Y801" s="184"/>
      <c r="Z801" s="184"/>
    </row>
    <row r="802">
      <c r="A802" s="184"/>
      <c r="B802" s="490"/>
      <c r="C802" s="184"/>
      <c r="D802" s="184"/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  <c r="Y802" s="184"/>
      <c r="Z802" s="184"/>
    </row>
    <row r="803">
      <c r="A803" s="184"/>
      <c r="B803" s="490"/>
      <c r="C803" s="184"/>
      <c r="D803" s="184"/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  <c r="Y803" s="184"/>
      <c r="Z803" s="184"/>
    </row>
    <row r="804">
      <c r="A804" s="184"/>
      <c r="B804" s="490"/>
      <c r="C804" s="184"/>
      <c r="D804" s="184"/>
      <c r="E804" s="184"/>
      <c r="F804" s="184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  <c r="W804" s="184"/>
      <c r="X804" s="184"/>
      <c r="Y804" s="184"/>
      <c r="Z804" s="184"/>
    </row>
    <row r="805">
      <c r="A805" s="184"/>
      <c r="B805" s="490"/>
      <c r="C805" s="184"/>
      <c r="D805" s="184"/>
      <c r="E805" s="184"/>
      <c r="F805" s="184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  <c r="W805" s="184"/>
      <c r="X805" s="184"/>
      <c r="Y805" s="184"/>
      <c r="Z805" s="184"/>
    </row>
    <row r="806">
      <c r="A806" s="184"/>
      <c r="B806" s="490"/>
      <c r="C806" s="184"/>
      <c r="D806" s="184"/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  <c r="Y806" s="184"/>
      <c r="Z806" s="184"/>
    </row>
    <row r="807">
      <c r="A807" s="184"/>
      <c r="B807" s="490"/>
      <c r="C807" s="184"/>
      <c r="D807" s="184"/>
      <c r="E807" s="184"/>
      <c r="F807" s="184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  <c r="W807" s="184"/>
      <c r="X807" s="184"/>
      <c r="Y807" s="184"/>
      <c r="Z807" s="184"/>
    </row>
    <row r="808">
      <c r="A808" s="184"/>
      <c r="B808" s="490"/>
      <c r="C808" s="184"/>
      <c r="D808" s="184"/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  <c r="Y808" s="184"/>
      <c r="Z808" s="184"/>
    </row>
    <row r="809">
      <c r="A809" s="184"/>
      <c r="B809" s="490"/>
      <c r="C809" s="184"/>
      <c r="D809" s="184"/>
      <c r="E809" s="184"/>
      <c r="F809" s="184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  <c r="W809" s="184"/>
      <c r="X809" s="184"/>
      <c r="Y809" s="184"/>
      <c r="Z809" s="184"/>
    </row>
    <row r="810">
      <c r="A810" s="184"/>
      <c r="B810" s="490"/>
      <c r="C810" s="184"/>
      <c r="D810" s="184"/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  <c r="Y810" s="184"/>
      <c r="Z810" s="184"/>
    </row>
    <row r="811">
      <c r="A811" s="184"/>
      <c r="B811" s="490"/>
      <c r="C811" s="184"/>
      <c r="D811" s="184"/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  <c r="Y811" s="184"/>
      <c r="Z811" s="184"/>
    </row>
    <row r="812">
      <c r="A812" s="184"/>
      <c r="B812" s="490"/>
      <c r="C812" s="184"/>
      <c r="D812" s="184"/>
      <c r="E812" s="184"/>
      <c r="F812" s="184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  <c r="Y812" s="184"/>
      <c r="Z812" s="184"/>
    </row>
    <row r="813">
      <c r="A813" s="184"/>
      <c r="B813" s="490"/>
      <c r="C813" s="184"/>
      <c r="D813" s="184"/>
      <c r="E813" s="184"/>
      <c r="F813" s="184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  <c r="W813" s="184"/>
      <c r="X813" s="184"/>
      <c r="Y813" s="184"/>
      <c r="Z813" s="184"/>
    </row>
    <row r="814">
      <c r="A814" s="184"/>
      <c r="B814" s="490"/>
      <c r="C814" s="184"/>
      <c r="D814" s="184"/>
      <c r="E814" s="184"/>
      <c r="F814" s="184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  <c r="W814" s="184"/>
      <c r="X814" s="184"/>
      <c r="Y814" s="184"/>
      <c r="Z814" s="184"/>
    </row>
    <row r="815">
      <c r="A815" s="184"/>
      <c r="B815" s="490"/>
      <c r="C815" s="184"/>
      <c r="D815" s="184"/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  <c r="Y815" s="184"/>
      <c r="Z815" s="184"/>
    </row>
    <row r="816">
      <c r="A816" s="184"/>
      <c r="B816" s="490"/>
      <c r="C816" s="184"/>
      <c r="D816" s="184"/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  <c r="Y816" s="184"/>
      <c r="Z816" s="184"/>
    </row>
    <row r="817">
      <c r="A817" s="184"/>
      <c r="B817" s="490"/>
      <c r="C817" s="184"/>
      <c r="D817" s="184"/>
      <c r="E817" s="184"/>
      <c r="F817" s="184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  <c r="W817" s="184"/>
      <c r="X817" s="184"/>
      <c r="Y817" s="184"/>
      <c r="Z817" s="184"/>
    </row>
    <row r="818">
      <c r="A818" s="184"/>
      <c r="B818" s="490"/>
      <c r="C818" s="184"/>
      <c r="D818" s="184"/>
      <c r="E818" s="184"/>
      <c r="F818" s="184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  <c r="Y818" s="184"/>
      <c r="Z818" s="184"/>
    </row>
    <row r="819">
      <c r="A819" s="184"/>
      <c r="B819" s="490"/>
      <c r="C819" s="184"/>
      <c r="D819" s="184"/>
      <c r="E819" s="184"/>
      <c r="F819" s="184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4"/>
      <c r="V819" s="184"/>
      <c r="W819" s="184"/>
      <c r="X819" s="184"/>
      <c r="Y819" s="184"/>
      <c r="Z819" s="184"/>
    </row>
    <row r="820">
      <c r="A820" s="184"/>
      <c r="B820" s="490"/>
      <c r="C820" s="184"/>
      <c r="D820" s="184"/>
      <c r="E820" s="184"/>
      <c r="F820" s="184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  <c r="Y820" s="184"/>
      <c r="Z820" s="184"/>
    </row>
    <row r="821">
      <c r="A821" s="184"/>
      <c r="B821" s="490"/>
      <c r="C821" s="184"/>
      <c r="D821" s="184"/>
      <c r="E821" s="184"/>
      <c r="F821" s="184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  <c r="Y821" s="184"/>
      <c r="Z821" s="184"/>
    </row>
    <row r="822">
      <c r="A822" s="184"/>
      <c r="B822" s="490"/>
      <c r="C822" s="184"/>
      <c r="D822" s="184"/>
      <c r="E822" s="184"/>
      <c r="F822" s="184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  <c r="Y822" s="184"/>
      <c r="Z822" s="184"/>
    </row>
    <row r="823">
      <c r="A823" s="184"/>
      <c r="B823" s="490"/>
      <c r="C823" s="184"/>
      <c r="D823" s="184"/>
      <c r="E823" s="184"/>
      <c r="F823" s="184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  <c r="Y823" s="184"/>
      <c r="Z823" s="184"/>
    </row>
    <row r="824">
      <c r="A824" s="184"/>
      <c r="B824" s="490"/>
      <c r="C824" s="184"/>
      <c r="D824" s="184"/>
      <c r="E824" s="184"/>
      <c r="F824" s="184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  <c r="Y824" s="184"/>
      <c r="Z824" s="184"/>
    </row>
    <row r="825">
      <c r="A825" s="184"/>
      <c r="B825" s="490"/>
      <c r="C825" s="184"/>
      <c r="D825" s="184"/>
      <c r="E825" s="184"/>
      <c r="F825" s="184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  <c r="Y825" s="184"/>
      <c r="Z825" s="184"/>
    </row>
    <row r="826">
      <c r="A826" s="184"/>
      <c r="B826" s="490"/>
      <c r="C826" s="184"/>
      <c r="D826" s="184"/>
      <c r="E826" s="184"/>
      <c r="F826" s="184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  <c r="Y826" s="184"/>
      <c r="Z826" s="184"/>
    </row>
    <row r="827">
      <c r="A827" s="184"/>
      <c r="B827" s="490"/>
      <c r="C827" s="184"/>
      <c r="D827" s="184"/>
      <c r="E827" s="184"/>
      <c r="F827" s="184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  <c r="Y827" s="184"/>
      <c r="Z827" s="184"/>
    </row>
    <row r="828">
      <c r="A828" s="184"/>
      <c r="B828" s="490"/>
      <c r="C828" s="184"/>
      <c r="D828" s="184"/>
      <c r="E828" s="184"/>
      <c r="F828" s="184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  <c r="Y828" s="184"/>
      <c r="Z828" s="184"/>
    </row>
    <row r="829">
      <c r="A829" s="184"/>
      <c r="B829" s="490"/>
      <c r="C829" s="184"/>
      <c r="D829" s="184"/>
      <c r="E829" s="184"/>
      <c r="F829" s="184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  <c r="Y829" s="184"/>
      <c r="Z829" s="184"/>
    </row>
    <row r="830">
      <c r="A830" s="184"/>
      <c r="B830" s="490"/>
      <c r="C830" s="184"/>
      <c r="D830" s="184"/>
      <c r="E830" s="184"/>
      <c r="F830" s="184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  <c r="Y830" s="184"/>
      <c r="Z830" s="184"/>
    </row>
    <row r="831">
      <c r="A831" s="184"/>
      <c r="B831" s="490"/>
      <c r="C831" s="184"/>
      <c r="D831" s="184"/>
      <c r="E831" s="184"/>
      <c r="F831" s="184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  <c r="Y831" s="184"/>
      <c r="Z831" s="184"/>
    </row>
    <row r="832">
      <c r="A832" s="184"/>
      <c r="B832" s="490"/>
      <c r="C832" s="184"/>
      <c r="D832" s="184"/>
      <c r="E832" s="184"/>
      <c r="F832" s="184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  <c r="Y832" s="184"/>
      <c r="Z832" s="184"/>
    </row>
    <row r="833">
      <c r="A833" s="184"/>
      <c r="B833" s="490"/>
      <c r="C833" s="184"/>
      <c r="D833" s="184"/>
      <c r="E833" s="184"/>
      <c r="F833" s="184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  <c r="Y833" s="184"/>
      <c r="Z833" s="184"/>
    </row>
    <row r="834">
      <c r="A834" s="184"/>
      <c r="B834" s="490"/>
      <c r="C834" s="184"/>
      <c r="D834" s="184"/>
      <c r="E834" s="184"/>
      <c r="F834" s="184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84"/>
      <c r="V834" s="184"/>
      <c r="W834" s="184"/>
      <c r="X834" s="184"/>
      <c r="Y834" s="184"/>
      <c r="Z834" s="184"/>
    </row>
    <row r="835">
      <c r="A835" s="184"/>
      <c r="B835" s="490"/>
      <c r="C835" s="184"/>
      <c r="D835" s="184"/>
      <c r="E835" s="184"/>
      <c r="F835" s="184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  <c r="Y835" s="184"/>
      <c r="Z835" s="184"/>
    </row>
    <row r="836">
      <c r="A836" s="184"/>
      <c r="B836" s="490"/>
      <c r="C836" s="184"/>
      <c r="D836" s="184"/>
      <c r="E836" s="184"/>
      <c r="F836" s="184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  <c r="Y836" s="184"/>
      <c r="Z836" s="184"/>
    </row>
    <row r="837">
      <c r="A837" s="184"/>
      <c r="B837" s="490"/>
      <c r="C837" s="184"/>
      <c r="D837" s="184"/>
      <c r="E837" s="184"/>
      <c r="F837" s="184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  <c r="Y837" s="184"/>
      <c r="Z837" s="184"/>
    </row>
    <row r="838">
      <c r="A838" s="184"/>
      <c r="B838" s="490"/>
      <c r="C838" s="184"/>
      <c r="D838" s="184"/>
      <c r="E838" s="184"/>
      <c r="F838" s="184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84"/>
      <c r="V838" s="184"/>
      <c r="W838" s="184"/>
      <c r="X838" s="184"/>
      <c r="Y838" s="184"/>
      <c r="Z838" s="184"/>
    </row>
    <row r="839">
      <c r="A839" s="184"/>
      <c r="B839" s="490"/>
      <c r="C839" s="184"/>
      <c r="D839" s="184"/>
      <c r="E839" s="184"/>
      <c r="F839" s="184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84"/>
      <c r="V839" s="184"/>
      <c r="W839" s="184"/>
      <c r="X839" s="184"/>
      <c r="Y839" s="184"/>
      <c r="Z839" s="184"/>
    </row>
    <row r="840">
      <c r="A840" s="184"/>
      <c r="B840" s="490"/>
      <c r="C840" s="184"/>
      <c r="D840" s="184"/>
      <c r="E840" s="184"/>
      <c r="F840" s="184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  <c r="Y840" s="184"/>
      <c r="Z840" s="184"/>
    </row>
    <row r="841">
      <c r="A841" s="184"/>
      <c r="B841" s="490"/>
      <c r="C841" s="184"/>
      <c r="D841" s="184"/>
      <c r="E841" s="184"/>
      <c r="F841" s="184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84"/>
      <c r="V841" s="184"/>
      <c r="W841" s="184"/>
      <c r="X841" s="184"/>
      <c r="Y841" s="184"/>
      <c r="Z841" s="184"/>
    </row>
    <row r="842">
      <c r="A842" s="184"/>
      <c r="B842" s="490"/>
      <c r="C842" s="184"/>
      <c r="D842" s="184"/>
      <c r="E842" s="184"/>
      <c r="F842" s="184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  <c r="Y842" s="184"/>
      <c r="Z842" s="184"/>
    </row>
    <row r="843">
      <c r="A843" s="184"/>
      <c r="B843" s="490"/>
      <c r="C843" s="184"/>
      <c r="D843" s="184"/>
      <c r="E843" s="184"/>
      <c r="F843" s="184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  <c r="Y843" s="184"/>
      <c r="Z843" s="184"/>
    </row>
    <row r="844">
      <c r="A844" s="184"/>
      <c r="B844" s="490"/>
      <c r="C844" s="184"/>
      <c r="D844" s="184"/>
      <c r="E844" s="184"/>
      <c r="F844" s="184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84"/>
      <c r="V844" s="184"/>
      <c r="W844" s="184"/>
      <c r="X844" s="184"/>
      <c r="Y844" s="184"/>
      <c r="Z844" s="184"/>
    </row>
    <row r="845">
      <c r="A845" s="184"/>
      <c r="B845" s="490"/>
      <c r="C845" s="184"/>
      <c r="D845" s="184"/>
      <c r="E845" s="184"/>
      <c r="F845" s="184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  <c r="Y845" s="184"/>
      <c r="Z845" s="184"/>
    </row>
    <row r="846">
      <c r="A846" s="184"/>
      <c r="B846" s="490"/>
      <c r="C846" s="184"/>
      <c r="D846" s="184"/>
      <c r="E846" s="184"/>
      <c r="F846" s="184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84"/>
      <c r="V846" s="184"/>
      <c r="W846" s="184"/>
      <c r="X846" s="184"/>
      <c r="Y846" s="184"/>
      <c r="Z846" s="184"/>
    </row>
    <row r="847">
      <c r="A847" s="184"/>
      <c r="B847" s="490"/>
      <c r="C847" s="184"/>
      <c r="D847" s="184"/>
      <c r="E847" s="184"/>
      <c r="F847" s="184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84"/>
      <c r="V847" s="184"/>
      <c r="W847" s="184"/>
      <c r="X847" s="184"/>
      <c r="Y847" s="184"/>
      <c r="Z847" s="184"/>
    </row>
    <row r="848">
      <c r="A848" s="184"/>
      <c r="B848" s="490"/>
      <c r="C848" s="184"/>
      <c r="D848" s="184"/>
      <c r="E848" s="184"/>
      <c r="F848" s="184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84"/>
      <c r="V848" s="184"/>
      <c r="W848" s="184"/>
      <c r="X848" s="184"/>
      <c r="Y848" s="184"/>
      <c r="Z848" s="184"/>
    </row>
    <row r="849">
      <c r="A849" s="184"/>
      <c r="B849" s="490"/>
      <c r="C849" s="184"/>
      <c r="D849" s="184"/>
      <c r="E849" s="184"/>
      <c r="F849" s="184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  <c r="Y849" s="184"/>
      <c r="Z849" s="184"/>
    </row>
    <row r="850">
      <c r="A850" s="184"/>
      <c r="B850" s="490"/>
      <c r="C850" s="184"/>
      <c r="D850" s="184"/>
      <c r="E850" s="184"/>
      <c r="F850" s="184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  <c r="Y850" s="184"/>
      <c r="Z850" s="184"/>
    </row>
    <row r="851">
      <c r="A851" s="184"/>
      <c r="B851" s="490"/>
      <c r="C851" s="184"/>
      <c r="D851" s="184"/>
      <c r="E851" s="184"/>
      <c r="F851" s="184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4"/>
      <c r="V851" s="184"/>
      <c r="W851" s="184"/>
      <c r="X851" s="184"/>
      <c r="Y851" s="184"/>
      <c r="Z851" s="184"/>
    </row>
    <row r="852">
      <c r="A852" s="184"/>
      <c r="B852" s="490"/>
      <c r="C852" s="184"/>
      <c r="D852" s="184"/>
      <c r="E852" s="184"/>
      <c r="F852" s="184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84"/>
      <c r="V852" s="184"/>
      <c r="W852" s="184"/>
      <c r="X852" s="184"/>
      <c r="Y852" s="184"/>
      <c r="Z852" s="184"/>
    </row>
    <row r="853">
      <c r="A853" s="184"/>
      <c r="B853" s="490"/>
      <c r="C853" s="184"/>
      <c r="D853" s="184"/>
      <c r="E853" s="184"/>
      <c r="F853" s="184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84"/>
      <c r="V853" s="184"/>
      <c r="W853" s="184"/>
      <c r="X853" s="184"/>
      <c r="Y853" s="184"/>
      <c r="Z853" s="184"/>
    </row>
    <row r="854">
      <c r="A854" s="184"/>
      <c r="B854" s="490"/>
      <c r="C854" s="184"/>
      <c r="D854" s="184"/>
      <c r="E854" s="184"/>
      <c r="F854" s="184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84"/>
      <c r="V854" s="184"/>
      <c r="W854" s="184"/>
      <c r="X854" s="184"/>
      <c r="Y854" s="184"/>
      <c r="Z854" s="184"/>
    </row>
    <row r="855">
      <c r="A855" s="184"/>
      <c r="B855" s="490"/>
      <c r="C855" s="184"/>
      <c r="D855" s="184"/>
      <c r="E855" s="184"/>
      <c r="F855" s="184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84"/>
      <c r="V855" s="184"/>
      <c r="W855" s="184"/>
      <c r="X855" s="184"/>
      <c r="Y855" s="184"/>
      <c r="Z855" s="184"/>
    </row>
    <row r="856">
      <c r="A856" s="184"/>
      <c r="B856" s="490"/>
      <c r="C856" s="184"/>
      <c r="D856" s="184"/>
      <c r="E856" s="184"/>
      <c r="F856" s="184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84"/>
      <c r="V856" s="184"/>
      <c r="W856" s="184"/>
      <c r="X856" s="184"/>
      <c r="Y856" s="184"/>
      <c r="Z856" s="184"/>
    </row>
    <row r="857">
      <c r="A857" s="184"/>
      <c r="B857" s="490"/>
      <c r="C857" s="184"/>
      <c r="D857" s="184"/>
      <c r="E857" s="184"/>
      <c r="F857" s="184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  <c r="Y857" s="184"/>
      <c r="Z857" s="184"/>
    </row>
    <row r="858">
      <c r="A858" s="184"/>
      <c r="B858" s="490"/>
      <c r="C858" s="184"/>
      <c r="D858" s="184"/>
      <c r="E858" s="184"/>
      <c r="F858" s="184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  <c r="Y858" s="184"/>
      <c r="Z858" s="184"/>
    </row>
    <row r="859">
      <c r="A859" s="184"/>
      <c r="B859" s="490"/>
      <c r="C859" s="184"/>
      <c r="D859" s="184"/>
      <c r="E859" s="184"/>
      <c r="F859" s="184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4"/>
      <c r="V859" s="184"/>
      <c r="W859" s="184"/>
      <c r="X859" s="184"/>
      <c r="Y859" s="184"/>
      <c r="Z859" s="184"/>
    </row>
    <row r="860">
      <c r="A860" s="184"/>
      <c r="B860" s="490"/>
      <c r="C860" s="184"/>
      <c r="D860" s="184"/>
      <c r="E860" s="184"/>
      <c r="F860" s="184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  <c r="Y860" s="184"/>
      <c r="Z860" s="184"/>
    </row>
    <row r="861">
      <c r="A861" s="184"/>
      <c r="B861" s="490"/>
      <c r="C861" s="184"/>
      <c r="D861" s="184"/>
      <c r="E861" s="184"/>
      <c r="F861" s="184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84"/>
      <c r="V861" s="184"/>
      <c r="W861" s="184"/>
      <c r="X861" s="184"/>
      <c r="Y861" s="184"/>
      <c r="Z861" s="184"/>
    </row>
    <row r="862">
      <c r="A862" s="184"/>
      <c r="B862" s="490"/>
      <c r="C862" s="184"/>
      <c r="D862" s="184"/>
      <c r="E862" s="184"/>
      <c r="F862" s="184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84"/>
      <c r="V862" s="184"/>
      <c r="W862" s="184"/>
      <c r="X862" s="184"/>
      <c r="Y862" s="184"/>
      <c r="Z862" s="184"/>
    </row>
    <row r="863">
      <c r="A863" s="184"/>
      <c r="B863" s="490"/>
      <c r="C863" s="184"/>
      <c r="D863" s="184"/>
      <c r="E863" s="184"/>
      <c r="F863" s="184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  <c r="Y863" s="184"/>
      <c r="Z863" s="184"/>
    </row>
    <row r="864">
      <c r="A864" s="184"/>
      <c r="B864" s="490"/>
      <c r="C864" s="184"/>
      <c r="D864" s="184"/>
      <c r="E864" s="184"/>
      <c r="F864" s="184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  <c r="Y864" s="184"/>
      <c r="Z864" s="184"/>
    </row>
    <row r="865">
      <c r="A865" s="184"/>
      <c r="B865" s="490"/>
      <c r="C865" s="184"/>
      <c r="D865" s="184"/>
      <c r="E865" s="184"/>
      <c r="F865" s="184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84"/>
      <c r="V865" s="184"/>
      <c r="W865" s="184"/>
      <c r="X865" s="184"/>
      <c r="Y865" s="184"/>
      <c r="Z865" s="184"/>
    </row>
    <row r="866">
      <c r="A866" s="184"/>
      <c r="B866" s="490"/>
      <c r="C866" s="184"/>
      <c r="D866" s="184"/>
      <c r="E866" s="184"/>
      <c r="F866" s="184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  <c r="Y866" s="184"/>
      <c r="Z866" s="184"/>
    </row>
    <row r="867">
      <c r="A867" s="184"/>
      <c r="B867" s="490"/>
      <c r="C867" s="184"/>
      <c r="D867" s="184"/>
      <c r="E867" s="184"/>
      <c r="F867" s="184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84"/>
      <c r="V867" s="184"/>
      <c r="W867" s="184"/>
      <c r="X867" s="184"/>
      <c r="Y867" s="184"/>
      <c r="Z867" s="184"/>
    </row>
    <row r="868">
      <c r="A868" s="184"/>
      <c r="B868" s="490"/>
      <c r="C868" s="184"/>
      <c r="D868" s="184"/>
      <c r="E868" s="184"/>
      <c r="F868" s="184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84"/>
      <c r="V868" s="184"/>
      <c r="W868" s="184"/>
      <c r="X868" s="184"/>
      <c r="Y868" s="184"/>
      <c r="Z868" s="184"/>
    </row>
    <row r="869">
      <c r="A869" s="184"/>
      <c r="B869" s="490"/>
      <c r="C869" s="184"/>
      <c r="D869" s="184"/>
      <c r="E869" s="184"/>
      <c r="F869" s="184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  <c r="Y869" s="184"/>
      <c r="Z869" s="184"/>
    </row>
    <row r="870">
      <c r="A870" s="184"/>
      <c r="B870" s="490"/>
      <c r="C870" s="184"/>
      <c r="D870" s="184"/>
      <c r="E870" s="184"/>
      <c r="F870" s="184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  <c r="Y870" s="184"/>
      <c r="Z870" s="184"/>
    </row>
    <row r="871">
      <c r="A871" s="184"/>
      <c r="B871" s="490"/>
      <c r="C871" s="184"/>
      <c r="D871" s="184"/>
      <c r="E871" s="184"/>
      <c r="F871" s="184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  <c r="Y871" s="184"/>
      <c r="Z871" s="184"/>
    </row>
    <row r="872">
      <c r="A872" s="184"/>
      <c r="B872" s="490"/>
      <c r="C872" s="184"/>
      <c r="D872" s="184"/>
      <c r="E872" s="184"/>
      <c r="F872" s="184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  <c r="Y872" s="184"/>
      <c r="Z872" s="184"/>
    </row>
    <row r="873">
      <c r="A873" s="184"/>
      <c r="B873" s="490"/>
      <c r="C873" s="184"/>
      <c r="D873" s="184"/>
      <c r="E873" s="184"/>
      <c r="F873" s="184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  <c r="Y873" s="184"/>
      <c r="Z873" s="184"/>
    </row>
    <row r="874">
      <c r="A874" s="184"/>
      <c r="B874" s="490"/>
      <c r="C874" s="184"/>
      <c r="D874" s="184"/>
      <c r="E874" s="184"/>
      <c r="F874" s="184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  <c r="Y874" s="184"/>
      <c r="Z874" s="184"/>
    </row>
    <row r="875">
      <c r="A875" s="184"/>
      <c r="B875" s="490"/>
      <c r="C875" s="184"/>
      <c r="D875" s="184"/>
      <c r="E875" s="184"/>
      <c r="F875" s="184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  <c r="Y875" s="184"/>
      <c r="Z875" s="184"/>
    </row>
    <row r="876">
      <c r="A876" s="184"/>
      <c r="B876" s="490"/>
      <c r="C876" s="184"/>
      <c r="D876" s="184"/>
      <c r="E876" s="184"/>
      <c r="F876" s="184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  <c r="Y876" s="184"/>
      <c r="Z876" s="184"/>
    </row>
    <row r="877">
      <c r="A877" s="184"/>
      <c r="B877" s="490"/>
      <c r="C877" s="184"/>
      <c r="D877" s="184"/>
      <c r="E877" s="184"/>
      <c r="F877" s="184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  <c r="Y877" s="184"/>
      <c r="Z877" s="184"/>
    </row>
    <row r="878">
      <c r="A878" s="184"/>
      <c r="B878" s="490"/>
      <c r="C878" s="184"/>
      <c r="D878" s="184"/>
      <c r="E878" s="184"/>
      <c r="F878" s="184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  <c r="Y878" s="184"/>
      <c r="Z878" s="184"/>
    </row>
    <row r="879">
      <c r="A879" s="184"/>
      <c r="B879" s="490"/>
      <c r="C879" s="184"/>
      <c r="D879" s="184"/>
      <c r="E879" s="184"/>
      <c r="F879" s="184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  <c r="Y879" s="184"/>
      <c r="Z879" s="184"/>
    </row>
    <row r="880">
      <c r="A880" s="184"/>
      <c r="B880" s="490"/>
      <c r="C880" s="184"/>
      <c r="D880" s="184"/>
      <c r="E880" s="184"/>
      <c r="F880" s="184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  <c r="Y880" s="184"/>
      <c r="Z880" s="184"/>
    </row>
    <row r="881">
      <c r="A881" s="184"/>
      <c r="B881" s="490"/>
      <c r="C881" s="184"/>
      <c r="D881" s="184"/>
      <c r="E881" s="184"/>
      <c r="F881" s="184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  <c r="Y881" s="184"/>
      <c r="Z881" s="184"/>
    </row>
    <row r="882">
      <c r="A882" s="184"/>
      <c r="B882" s="490"/>
      <c r="C882" s="184"/>
      <c r="D882" s="184"/>
      <c r="E882" s="184"/>
      <c r="F882" s="184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84"/>
      <c r="V882" s="184"/>
      <c r="W882" s="184"/>
      <c r="X882" s="184"/>
      <c r="Y882" s="184"/>
      <c r="Z882" s="184"/>
    </row>
    <row r="883">
      <c r="A883" s="184"/>
      <c r="B883" s="490"/>
      <c r="C883" s="184"/>
      <c r="D883" s="184"/>
      <c r="E883" s="184"/>
      <c r="F883" s="184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84"/>
      <c r="V883" s="184"/>
      <c r="W883" s="184"/>
      <c r="X883" s="184"/>
      <c r="Y883" s="184"/>
      <c r="Z883" s="184"/>
    </row>
    <row r="884">
      <c r="A884" s="184"/>
      <c r="B884" s="490"/>
      <c r="C884" s="184"/>
      <c r="D884" s="184"/>
      <c r="E884" s="184"/>
      <c r="F884" s="184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84"/>
      <c r="V884" s="184"/>
      <c r="W884" s="184"/>
      <c r="X884" s="184"/>
      <c r="Y884" s="184"/>
      <c r="Z884" s="184"/>
    </row>
    <row r="885">
      <c r="A885" s="184"/>
      <c r="B885" s="490"/>
      <c r="C885" s="184"/>
      <c r="D885" s="184"/>
      <c r="E885" s="184"/>
      <c r="F885" s="184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84"/>
      <c r="V885" s="184"/>
      <c r="W885" s="184"/>
      <c r="X885" s="184"/>
      <c r="Y885" s="184"/>
      <c r="Z885" s="184"/>
    </row>
    <row r="886">
      <c r="A886" s="184"/>
      <c r="B886" s="490"/>
      <c r="C886" s="184"/>
      <c r="D886" s="184"/>
      <c r="E886" s="184"/>
      <c r="F886" s="184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84"/>
      <c r="V886" s="184"/>
      <c r="W886" s="184"/>
      <c r="X886" s="184"/>
      <c r="Y886" s="184"/>
      <c r="Z886" s="184"/>
    </row>
    <row r="887">
      <c r="A887" s="184"/>
      <c r="B887" s="490"/>
      <c r="C887" s="184"/>
      <c r="D887" s="184"/>
      <c r="E887" s="184"/>
      <c r="F887" s="184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84"/>
      <c r="V887" s="184"/>
      <c r="W887" s="184"/>
      <c r="X887" s="184"/>
      <c r="Y887" s="184"/>
      <c r="Z887" s="184"/>
    </row>
    <row r="888">
      <c r="A888" s="184"/>
      <c r="B888" s="490"/>
      <c r="C888" s="184"/>
      <c r="D888" s="184"/>
      <c r="E888" s="184"/>
      <c r="F888" s="184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84"/>
      <c r="V888" s="184"/>
      <c r="W888" s="184"/>
      <c r="X888" s="184"/>
      <c r="Y888" s="184"/>
      <c r="Z888" s="184"/>
    </row>
    <row r="889">
      <c r="A889" s="184"/>
      <c r="B889" s="490"/>
      <c r="C889" s="184"/>
      <c r="D889" s="184"/>
      <c r="E889" s="184"/>
      <c r="F889" s="184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84"/>
      <c r="V889" s="184"/>
      <c r="W889" s="184"/>
      <c r="X889" s="184"/>
      <c r="Y889" s="184"/>
      <c r="Z889" s="184"/>
    </row>
    <row r="890">
      <c r="A890" s="184"/>
      <c r="B890" s="490"/>
      <c r="C890" s="184"/>
      <c r="D890" s="184"/>
      <c r="E890" s="184"/>
      <c r="F890" s="184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84"/>
      <c r="V890" s="184"/>
      <c r="W890" s="184"/>
      <c r="X890" s="184"/>
      <c r="Y890" s="184"/>
      <c r="Z890" s="184"/>
    </row>
    <row r="891">
      <c r="A891" s="184"/>
      <c r="B891" s="490"/>
      <c r="C891" s="184"/>
      <c r="D891" s="184"/>
      <c r="E891" s="184"/>
      <c r="F891" s="184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84"/>
      <c r="V891" s="184"/>
      <c r="W891" s="184"/>
      <c r="X891" s="184"/>
      <c r="Y891" s="184"/>
      <c r="Z891" s="184"/>
    </row>
    <row r="892">
      <c r="A892" s="184"/>
      <c r="B892" s="490"/>
      <c r="C892" s="184"/>
      <c r="D892" s="184"/>
      <c r="E892" s="184"/>
      <c r="F892" s="184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84"/>
      <c r="V892" s="184"/>
      <c r="W892" s="184"/>
      <c r="X892" s="184"/>
      <c r="Y892" s="184"/>
      <c r="Z892" s="184"/>
    </row>
    <row r="893">
      <c r="A893" s="184"/>
      <c r="B893" s="490"/>
      <c r="C893" s="184"/>
      <c r="D893" s="184"/>
      <c r="E893" s="184"/>
      <c r="F893" s="184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84"/>
      <c r="V893" s="184"/>
      <c r="W893" s="184"/>
      <c r="X893" s="184"/>
      <c r="Y893" s="184"/>
      <c r="Z893" s="184"/>
    </row>
    <row r="894">
      <c r="A894" s="184"/>
      <c r="B894" s="490"/>
      <c r="C894" s="184"/>
      <c r="D894" s="184"/>
      <c r="E894" s="184"/>
      <c r="F894" s="184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84"/>
      <c r="V894" s="184"/>
      <c r="W894" s="184"/>
      <c r="X894" s="184"/>
      <c r="Y894" s="184"/>
      <c r="Z894" s="184"/>
    </row>
    <row r="895">
      <c r="A895" s="184"/>
      <c r="B895" s="490"/>
      <c r="C895" s="184"/>
      <c r="D895" s="184"/>
      <c r="E895" s="184"/>
      <c r="F895" s="184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84"/>
      <c r="V895" s="184"/>
      <c r="W895" s="184"/>
      <c r="X895" s="184"/>
      <c r="Y895" s="184"/>
      <c r="Z895" s="184"/>
    </row>
    <row r="896">
      <c r="A896" s="184"/>
      <c r="B896" s="490"/>
      <c r="C896" s="184"/>
      <c r="D896" s="184"/>
      <c r="E896" s="184"/>
      <c r="F896" s="184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84"/>
      <c r="V896" s="184"/>
      <c r="W896" s="184"/>
      <c r="X896" s="184"/>
      <c r="Y896" s="184"/>
      <c r="Z896" s="184"/>
    </row>
    <row r="897">
      <c r="A897" s="184"/>
      <c r="B897" s="490"/>
      <c r="C897" s="184"/>
      <c r="D897" s="184"/>
      <c r="E897" s="184"/>
      <c r="F897" s="184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84"/>
      <c r="V897" s="184"/>
      <c r="W897" s="184"/>
      <c r="X897" s="184"/>
      <c r="Y897" s="184"/>
      <c r="Z897" s="184"/>
    </row>
    <row r="898">
      <c r="A898" s="184"/>
      <c r="B898" s="490"/>
      <c r="C898" s="184"/>
      <c r="D898" s="184"/>
      <c r="E898" s="184"/>
      <c r="F898" s="184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84"/>
      <c r="V898" s="184"/>
      <c r="W898" s="184"/>
      <c r="X898" s="184"/>
      <c r="Y898" s="184"/>
      <c r="Z898" s="184"/>
    </row>
    <row r="899">
      <c r="A899" s="184"/>
      <c r="B899" s="490"/>
      <c r="C899" s="184"/>
      <c r="D899" s="184"/>
      <c r="E899" s="184"/>
      <c r="F899" s="184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84"/>
      <c r="V899" s="184"/>
      <c r="W899" s="184"/>
      <c r="X899" s="184"/>
      <c r="Y899" s="184"/>
      <c r="Z899" s="184"/>
    </row>
    <row r="900">
      <c r="A900" s="184"/>
      <c r="B900" s="490"/>
      <c r="C900" s="184"/>
      <c r="D900" s="184"/>
      <c r="E900" s="184"/>
      <c r="F900" s="184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84"/>
      <c r="V900" s="184"/>
      <c r="W900" s="184"/>
      <c r="X900" s="184"/>
      <c r="Y900" s="184"/>
      <c r="Z900" s="184"/>
    </row>
    <row r="901">
      <c r="A901" s="184"/>
      <c r="B901" s="490"/>
      <c r="C901" s="184"/>
      <c r="D901" s="184"/>
      <c r="E901" s="184"/>
      <c r="F901" s="184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84"/>
      <c r="V901" s="184"/>
      <c r="W901" s="184"/>
      <c r="X901" s="184"/>
      <c r="Y901" s="184"/>
      <c r="Z901" s="184"/>
    </row>
    <row r="902">
      <c r="A902" s="184"/>
      <c r="B902" s="490"/>
      <c r="C902" s="184"/>
      <c r="D902" s="184"/>
      <c r="E902" s="184"/>
      <c r="F902" s="184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84"/>
      <c r="V902" s="184"/>
      <c r="W902" s="184"/>
      <c r="X902" s="184"/>
      <c r="Y902" s="184"/>
      <c r="Z902" s="184"/>
    </row>
    <row r="903">
      <c r="A903" s="184"/>
      <c r="B903" s="490"/>
      <c r="C903" s="184"/>
      <c r="D903" s="184"/>
      <c r="E903" s="184"/>
      <c r="F903" s="184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84"/>
      <c r="V903" s="184"/>
      <c r="W903" s="184"/>
      <c r="X903" s="184"/>
      <c r="Y903" s="184"/>
      <c r="Z903" s="184"/>
    </row>
    <row r="904">
      <c r="A904" s="184"/>
      <c r="B904" s="490"/>
      <c r="C904" s="184"/>
      <c r="D904" s="184"/>
      <c r="E904" s="184"/>
      <c r="F904" s="184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84"/>
      <c r="V904" s="184"/>
      <c r="W904" s="184"/>
      <c r="X904" s="184"/>
      <c r="Y904" s="184"/>
      <c r="Z904" s="184"/>
    </row>
    <row r="905">
      <c r="A905" s="184"/>
      <c r="B905" s="490"/>
      <c r="C905" s="184"/>
      <c r="D905" s="184"/>
      <c r="E905" s="184"/>
      <c r="F905" s="184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84"/>
      <c r="V905" s="184"/>
      <c r="W905" s="184"/>
      <c r="X905" s="184"/>
      <c r="Y905" s="184"/>
      <c r="Z905" s="184"/>
    </row>
    <row r="906">
      <c r="A906" s="184"/>
      <c r="B906" s="490"/>
      <c r="C906" s="184"/>
      <c r="D906" s="184"/>
      <c r="E906" s="184"/>
      <c r="F906" s="184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84"/>
      <c r="V906" s="184"/>
      <c r="W906" s="184"/>
      <c r="X906" s="184"/>
      <c r="Y906" s="184"/>
      <c r="Z906" s="184"/>
    </row>
    <row r="907">
      <c r="A907" s="184"/>
      <c r="B907" s="490"/>
      <c r="C907" s="184"/>
      <c r="D907" s="184"/>
      <c r="E907" s="184"/>
      <c r="F907" s="184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84"/>
      <c r="V907" s="184"/>
      <c r="W907" s="184"/>
      <c r="X907" s="184"/>
      <c r="Y907" s="184"/>
      <c r="Z907" s="184"/>
    </row>
    <row r="908">
      <c r="A908" s="184"/>
      <c r="B908" s="490"/>
      <c r="C908" s="184"/>
      <c r="D908" s="184"/>
      <c r="E908" s="184"/>
      <c r="F908" s="184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84"/>
      <c r="V908" s="184"/>
      <c r="W908" s="184"/>
      <c r="X908" s="184"/>
      <c r="Y908" s="184"/>
      <c r="Z908" s="184"/>
    </row>
    <row r="909">
      <c r="A909" s="184"/>
      <c r="B909" s="490"/>
      <c r="C909" s="184"/>
      <c r="D909" s="184"/>
      <c r="E909" s="184"/>
      <c r="F909" s="184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84"/>
      <c r="V909" s="184"/>
      <c r="W909" s="184"/>
      <c r="X909" s="184"/>
      <c r="Y909" s="184"/>
      <c r="Z909" s="184"/>
    </row>
    <row r="910">
      <c r="A910" s="184"/>
      <c r="B910" s="490"/>
      <c r="C910" s="184"/>
      <c r="D910" s="184"/>
      <c r="E910" s="184"/>
      <c r="F910" s="184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84"/>
      <c r="V910" s="184"/>
      <c r="W910" s="184"/>
      <c r="X910" s="184"/>
      <c r="Y910" s="184"/>
      <c r="Z910" s="184"/>
    </row>
    <row r="911">
      <c r="A911" s="184"/>
      <c r="B911" s="490"/>
      <c r="C911" s="184"/>
      <c r="D911" s="184"/>
      <c r="E911" s="184"/>
      <c r="F911" s="184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84"/>
      <c r="V911" s="184"/>
      <c r="W911" s="184"/>
      <c r="X911" s="184"/>
      <c r="Y911" s="184"/>
      <c r="Z911" s="184"/>
    </row>
    <row r="912">
      <c r="A912" s="184"/>
      <c r="B912" s="490"/>
      <c r="C912" s="184"/>
      <c r="D912" s="184"/>
      <c r="E912" s="184"/>
      <c r="F912" s="184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84"/>
      <c r="V912" s="184"/>
      <c r="W912" s="184"/>
      <c r="X912" s="184"/>
      <c r="Y912" s="184"/>
      <c r="Z912" s="184"/>
    </row>
    <row r="913">
      <c r="A913" s="184"/>
      <c r="B913" s="490"/>
      <c r="C913" s="184"/>
      <c r="D913" s="184"/>
      <c r="E913" s="184"/>
      <c r="F913" s="184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84"/>
      <c r="V913" s="184"/>
      <c r="W913" s="184"/>
      <c r="X913" s="184"/>
      <c r="Y913" s="184"/>
      <c r="Z913" s="184"/>
    </row>
    <row r="914">
      <c r="A914" s="184"/>
      <c r="B914" s="490"/>
      <c r="C914" s="184"/>
      <c r="D914" s="184"/>
      <c r="E914" s="184"/>
      <c r="F914" s="184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84"/>
      <c r="V914" s="184"/>
      <c r="W914" s="184"/>
      <c r="X914" s="184"/>
      <c r="Y914" s="184"/>
      <c r="Z914" s="184"/>
    </row>
    <row r="915">
      <c r="A915" s="184"/>
      <c r="B915" s="490"/>
      <c r="C915" s="184"/>
      <c r="D915" s="184"/>
      <c r="E915" s="184"/>
      <c r="F915" s="184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84"/>
      <c r="V915" s="184"/>
      <c r="W915" s="184"/>
      <c r="X915" s="184"/>
      <c r="Y915" s="184"/>
      <c r="Z915" s="184"/>
    </row>
    <row r="916">
      <c r="A916" s="184"/>
      <c r="B916" s="490"/>
      <c r="C916" s="184"/>
      <c r="D916" s="184"/>
      <c r="E916" s="184"/>
      <c r="F916" s="184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84"/>
      <c r="V916" s="184"/>
      <c r="W916" s="184"/>
      <c r="X916" s="184"/>
      <c r="Y916" s="184"/>
      <c r="Z916" s="184"/>
    </row>
    <row r="917">
      <c r="A917" s="184"/>
      <c r="B917" s="490"/>
      <c r="C917" s="184"/>
      <c r="D917" s="184"/>
      <c r="E917" s="184"/>
      <c r="F917" s="184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84"/>
      <c r="V917" s="184"/>
      <c r="W917" s="184"/>
      <c r="X917" s="184"/>
      <c r="Y917" s="184"/>
      <c r="Z917" s="184"/>
    </row>
    <row r="918">
      <c r="A918" s="184"/>
      <c r="B918" s="490"/>
      <c r="C918" s="184"/>
      <c r="D918" s="184"/>
      <c r="E918" s="184"/>
      <c r="F918" s="184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84"/>
      <c r="V918" s="184"/>
      <c r="W918" s="184"/>
      <c r="X918" s="184"/>
      <c r="Y918" s="184"/>
      <c r="Z918" s="184"/>
    </row>
    <row r="919">
      <c r="A919" s="184"/>
      <c r="B919" s="490"/>
      <c r="C919" s="184"/>
      <c r="D919" s="184"/>
      <c r="E919" s="184"/>
      <c r="F919" s="184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84"/>
      <c r="V919" s="184"/>
      <c r="W919" s="184"/>
      <c r="X919" s="184"/>
      <c r="Y919" s="184"/>
      <c r="Z919" s="184"/>
    </row>
    <row r="920">
      <c r="A920" s="184"/>
      <c r="B920" s="490"/>
      <c r="C920" s="184"/>
      <c r="D920" s="184"/>
      <c r="E920" s="184"/>
      <c r="F920" s="184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84"/>
      <c r="V920" s="184"/>
      <c r="W920" s="184"/>
      <c r="X920" s="184"/>
      <c r="Y920" s="184"/>
      <c r="Z920" s="184"/>
    </row>
    <row r="921">
      <c r="A921" s="184"/>
      <c r="B921" s="490"/>
      <c r="C921" s="184"/>
      <c r="D921" s="184"/>
      <c r="E921" s="184"/>
      <c r="F921" s="184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84"/>
      <c r="V921" s="184"/>
      <c r="W921" s="184"/>
      <c r="X921" s="184"/>
      <c r="Y921" s="184"/>
      <c r="Z921" s="184"/>
    </row>
    <row r="922">
      <c r="A922" s="184"/>
      <c r="B922" s="490"/>
      <c r="C922" s="184"/>
      <c r="D922" s="184"/>
      <c r="E922" s="184"/>
      <c r="F922" s="184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84"/>
      <c r="V922" s="184"/>
      <c r="W922" s="184"/>
      <c r="X922" s="184"/>
      <c r="Y922" s="184"/>
      <c r="Z922" s="184"/>
    </row>
    <row r="923">
      <c r="A923" s="184"/>
      <c r="B923" s="490"/>
      <c r="C923" s="184"/>
      <c r="D923" s="184"/>
      <c r="E923" s="184"/>
      <c r="F923" s="184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84"/>
      <c r="V923" s="184"/>
      <c r="W923" s="184"/>
      <c r="X923" s="184"/>
      <c r="Y923" s="184"/>
      <c r="Z923" s="184"/>
    </row>
    <row r="924">
      <c r="A924" s="184"/>
      <c r="B924" s="490"/>
      <c r="C924" s="184"/>
      <c r="D924" s="184"/>
      <c r="E924" s="184"/>
      <c r="F924" s="184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84"/>
      <c r="V924" s="184"/>
      <c r="W924" s="184"/>
      <c r="X924" s="184"/>
      <c r="Y924" s="184"/>
      <c r="Z924" s="184"/>
    </row>
    <row r="925">
      <c r="A925" s="184"/>
      <c r="B925" s="490"/>
      <c r="C925" s="184"/>
      <c r="D925" s="184"/>
      <c r="E925" s="184"/>
      <c r="F925" s="184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84"/>
      <c r="V925" s="184"/>
      <c r="W925" s="184"/>
      <c r="X925" s="184"/>
      <c r="Y925" s="184"/>
      <c r="Z925" s="184"/>
    </row>
    <row r="926">
      <c r="A926" s="184"/>
      <c r="B926" s="490"/>
      <c r="C926" s="184"/>
      <c r="D926" s="184"/>
      <c r="E926" s="184"/>
      <c r="F926" s="184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84"/>
      <c r="V926" s="184"/>
      <c r="W926" s="184"/>
      <c r="X926" s="184"/>
      <c r="Y926" s="184"/>
      <c r="Z926" s="184"/>
    </row>
    <row r="927">
      <c r="A927" s="184"/>
      <c r="B927" s="490"/>
      <c r="C927" s="184"/>
      <c r="D927" s="184"/>
      <c r="E927" s="184"/>
      <c r="F927" s="184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84"/>
      <c r="V927" s="184"/>
      <c r="W927" s="184"/>
      <c r="X927" s="184"/>
      <c r="Y927" s="184"/>
      <c r="Z927" s="184"/>
    </row>
    <row r="928">
      <c r="A928" s="184"/>
      <c r="B928" s="490"/>
      <c r="C928" s="184"/>
      <c r="D928" s="184"/>
      <c r="E928" s="184"/>
      <c r="F928" s="184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84"/>
      <c r="V928" s="184"/>
      <c r="W928" s="184"/>
      <c r="X928" s="184"/>
      <c r="Y928" s="184"/>
      <c r="Z928" s="184"/>
    </row>
    <row r="929">
      <c r="A929" s="184"/>
      <c r="B929" s="490"/>
      <c r="C929" s="184"/>
      <c r="D929" s="184"/>
      <c r="E929" s="184"/>
      <c r="F929" s="184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84"/>
      <c r="V929" s="184"/>
      <c r="W929" s="184"/>
      <c r="X929" s="184"/>
      <c r="Y929" s="184"/>
      <c r="Z929" s="184"/>
    </row>
    <row r="930">
      <c r="A930" s="184"/>
      <c r="B930" s="490"/>
      <c r="C930" s="184"/>
      <c r="D930" s="184"/>
      <c r="E930" s="184"/>
      <c r="F930" s="184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84"/>
      <c r="V930" s="184"/>
      <c r="W930" s="184"/>
      <c r="X930" s="184"/>
      <c r="Y930" s="184"/>
      <c r="Z930" s="184"/>
    </row>
    <row r="931">
      <c r="A931" s="184"/>
      <c r="B931" s="490"/>
      <c r="C931" s="184"/>
      <c r="D931" s="184"/>
      <c r="E931" s="184"/>
      <c r="F931" s="184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84"/>
      <c r="V931" s="184"/>
      <c r="W931" s="184"/>
      <c r="X931" s="184"/>
      <c r="Y931" s="184"/>
      <c r="Z931" s="184"/>
    </row>
    <row r="932">
      <c r="A932" s="184"/>
      <c r="B932" s="490"/>
      <c r="C932" s="184"/>
      <c r="D932" s="184"/>
      <c r="E932" s="184"/>
      <c r="F932" s="184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84"/>
      <c r="V932" s="184"/>
      <c r="W932" s="184"/>
      <c r="X932" s="184"/>
      <c r="Y932" s="184"/>
      <c r="Z932" s="184"/>
    </row>
    <row r="933">
      <c r="A933" s="184"/>
      <c r="B933" s="490"/>
      <c r="C933" s="184"/>
      <c r="D933" s="184"/>
      <c r="E933" s="184"/>
      <c r="F933" s="184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84"/>
      <c r="V933" s="184"/>
      <c r="W933" s="184"/>
      <c r="X933" s="184"/>
      <c r="Y933" s="184"/>
      <c r="Z933" s="184"/>
    </row>
    <row r="934">
      <c r="A934" s="184"/>
      <c r="B934" s="490"/>
      <c r="C934" s="184"/>
      <c r="D934" s="184"/>
      <c r="E934" s="184"/>
      <c r="F934" s="184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84"/>
      <c r="V934" s="184"/>
      <c r="W934" s="184"/>
      <c r="X934" s="184"/>
      <c r="Y934" s="184"/>
      <c r="Z934" s="184"/>
    </row>
    <row r="935">
      <c r="A935" s="184"/>
      <c r="B935" s="490"/>
      <c r="C935" s="184"/>
      <c r="D935" s="184"/>
      <c r="E935" s="184"/>
      <c r="F935" s="184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84"/>
      <c r="V935" s="184"/>
      <c r="W935" s="184"/>
      <c r="X935" s="184"/>
      <c r="Y935" s="184"/>
      <c r="Z935" s="184"/>
    </row>
    <row r="936">
      <c r="A936" s="184"/>
      <c r="B936" s="490"/>
      <c r="C936" s="184"/>
      <c r="D936" s="184"/>
      <c r="E936" s="184"/>
      <c r="F936" s="184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84"/>
      <c r="V936" s="184"/>
      <c r="W936" s="184"/>
      <c r="X936" s="184"/>
      <c r="Y936" s="184"/>
      <c r="Z936" s="184"/>
    </row>
    <row r="937">
      <c r="A937" s="184"/>
      <c r="B937" s="490"/>
      <c r="C937" s="184"/>
      <c r="D937" s="184"/>
      <c r="E937" s="184"/>
      <c r="F937" s="184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84"/>
      <c r="V937" s="184"/>
      <c r="W937" s="184"/>
      <c r="X937" s="184"/>
      <c r="Y937" s="184"/>
      <c r="Z937" s="184"/>
    </row>
    <row r="938">
      <c r="A938" s="184"/>
      <c r="B938" s="490"/>
      <c r="C938" s="184"/>
      <c r="D938" s="184"/>
      <c r="E938" s="184"/>
      <c r="F938" s="184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84"/>
      <c r="V938" s="184"/>
      <c r="W938" s="184"/>
      <c r="X938" s="184"/>
      <c r="Y938" s="184"/>
      <c r="Z938" s="184"/>
    </row>
    <row r="939">
      <c r="A939" s="184"/>
      <c r="B939" s="490"/>
      <c r="C939" s="184"/>
      <c r="D939" s="184"/>
      <c r="E939" s="184"/>
      <c r="F939" s="184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84"/>
      <c r="V939" s="184"/>
      <c r="W939" s="184"/>
      <c r="X939" s="184"/>
      <c r="Y939" s="184"/>
      <c r="Z939" s="184"/>
    </row>
    <row r="940">
      <c r="A940" s="184"/>
      <c r="B940" s="490"/>
      <c r="C940" s="184"/>
      <c r="D940" s="184"/>
      <c r="E940" s="184"/>
      <c r="F940" s="184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84"/>
      <c r="V940" s="184"/>
      <c r="W940" s="184"/>
      <c r="X940" s="184"/>
      <c r="Y940" s="184"/>
      <c r="Z940" s="184"/>
    </row>
    <row r="941">
      <c r="A941" s="184"/>
      <c r="B941" s="490"/>
      <c r="C941" s="184"/>
      <c r="D941" s="184"/>
      <c r="E941" s="184"/>
      <c r="F941" s="184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84"/>
      <c r="V941" s="184"/>
      <c r="W941" s="184"/>
      <c r="X941" s="184"/>
      <c r="Y941" s="184"/>
      <c r="Z941" s="184"/>
    </row>
    <row r="942">
      <c r="A942" s="184"/>
      <c r="B942" s="490"/>
      <c r="C942" s="184"/>
      <c r="D942" s="184"/>
      <c r="E942" s="184"/>
      <c r="F942" s="184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84"/>
      <c r="V942" s="184"/>
      <c r="W942" s="184"/>
      <c r="X942" s="184"/>
      <c r="Y942" s="184"/>
      <c r="Z942" s="184"/>
    </row>
    <row r="943">
      <c r="A943" s="184"/>
      <c r="B943" s="490"/>
      <c r="C943" s="184"/>
      <c r="D943" s="184"/>
      <c r="E943" s="184"/>
      <c r="F943" s="184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84"/>
      <c r="V943" s="184"/>
      <c r="W943" s="184"/>
      <c r="X943" s="184"/>
      <c r="Y943" s="184"/>
      <c r="Z943" s="184"/>
    </row>
    <row r="944">
      <c r="A944" s="184"/>
      <c r="B944" s="490"/>
      <c r="C944" s="184"/>
      <c r="D944" s="184"/>
      <c r="E944" s="184"/>
      <c r="F944" s="184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84"/>
      <c r="V944" s="184"/>
      <c r="W944" s="184"/>
      <c r="X944" s="184"/>
      <c r="Y944" s="184"/>
      <c r="Z944" s="184"/>
    </row>
    <row r="945">
      <c r="A945" s="184"/>
      <c r="B945" s="490"/>
      <c r="C945" s="184"/>
      <c r="D945" s="184"/>
      <c r="E945" s="184"/>
      <c r="F945" s="184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84"/>
      <c r="V945" s="184"/>
      <c r="W945" s="184"/>
      <c r="X945" s="184"/>
      <c r="Y945" s="184"/>
      <c r="Z945" s="184"/>
    </row>
    <row r="946">
      <c r="A946" s="184"/>
      <c r="B946" s="490"/>
      <c r="C946" s="184"/>
      <c r="D946" s="184"/>
      <c r="E946" s="184"/>
      <c r="F946" s="184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84"/>
      <c r="V946" s="184"/>
      <c r="W946" s="184"/>
      <c r="X946" s="184"/>
      <c r="Y946" s="184"/>
      <c r="Z946" s="184"/>
    </row>
    <row r="947">
      <c r="A947" s="184"/>
      <c r="B947" s="490"/>
      <c r="C947" s="184"/>
      <c r="D947" s="184"/>
      <c r="E947" s="184"/>
      <c r="F947" s="184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84"/>
      <c r="V947" s="184"/>
      <c r="W947" s="184"/>
      <c r="X947" s="184"/>
      <c r="Y947" s="184"/>
      <c r="Z947" s="184"/>
    </row>
    <row r="948">
      <c r="A948" s="184"/>
      <c r="B948" s="490"/>
      <c r="C948" s="184"/>
      <c r="D948" s="184"/>
      <c r="E948" s="184"/>
      <c r="F948" s="184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84"/>
      <c r="V948" s="184"/>
      <c r="W948" s="184"/>
      <c r="X948" s="184"/>
      <c r="Y948" s="184"/>
      <c r="Z948" s="184"/>
    </row>
    <row r="949">
      <c r="A949" s="184"/>
      <c r="B949" s="490"/>
      <c r="C949" s="184"/>
      <c r="D949" s="184"/>
      <c r="E949" s="184"/>
      <c r="F949" s="184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84"/>
      <c r="V949" s="184"/>
      <c r="W949" s="184"/>
      <c r="X949" s="184"/>
      <c r="Y949" s="184"/>
      <c r="Z949" s="184"/>
    </row>
    <row r="950">
      <c r="A950" s="184"/>
      <c r="B950" s="490"/>
      <c r="C950" s="184"/>
      <c r="D950" s="184"/>
      <c r="E950" s="184"/>
      <c r="F950" s="184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84"/>
      <c r="V950" s="184"/>
      <c r="W950" s="184"/>
      <c r="X950" s="184"/>
      <c r="Y950" s="184"/>
      <c r="Z950" s="184"/>
    </row>
    <row r="951">
      <c r="A951" s="184"/>
      <c r="B951" s="490"/>
      <c r="C951" s="184"/>
      <c r="D951" s="184"/>
      <c r="E951" s="184"/>
      <c r="F951" s="184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84"/>
      <c r="V951" s="184"/>
      <c r="W951" s="184"/>
      <c r="X951" s="184"/>
      <c r="Y951" s="184"/>
      <c r="Z951" s="184"/>
    </row>
    <row r="952">
      <c r="A952" s="184"/>
      <c r="B952" s="490"/>
      <c r="C952" s="184"/>
      <c r="D952" s="184"/>
      <c r="E952" s="184"/>
      <c r="F952" s="184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84"/>
      <c r="V952" s="184"/>
      <c r="W952" s="184"/>
      <c r="X952" s="184"/>
      <c r="Y952" s="184"/>
      <c r="Z952" s="184"/>
    </row>
    <row r="953">
      <c r="A953" s="184"/>
      <c r="B953" s="490"/>
      <c r="C953" s="184"/>
      <c r="D953" s="184"/>
      <c r="E953" s="184"/>
      <c r="F953" s="184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84"/>
      <c r="V953" s="184"/>
      <c r="W953" s="184"/>
      <c r="X953" s="184"/>
      <c r="Y953" s="184"/>
      <c r="Z953" s="184"/>
    </row>
    <row r="954">
      <c r="A954" s="184"/>
      <c r="B954" s="490"/>
      <c r="C954" s="184"/>
      <c r="D954" s="184"/>
      <c r="E954" s="184"/>
      <c r="F954" s="184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84"/>
      <c r="V954" s="184"/>
      <c r="W954" s="184"/>
      <c r="X954" s="184"/>
      <c r="Y954" s="184"/>
      <c r="Z954" s="184"/>
    </row>
    <row r="955">
      <c r="A955" s="184"/>
      <c r="B955" s="490"/>
      <c r="C955" s="184"/>
      <c r="D955" s="184"/>
      <c r="E955" s="184"/>
      <c r="F955" s="184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84"/>
      <c r="V955" s="184"/>
      <c r="W955" s="184"/>
      <c r="X955" s="184"/>
      <c r="Y955" s="184"/>
      <c r="Z955" s="184"/>
    </row>
    <row r="956">
      <c r="A956" s="184"/>
      <c r="B956" s="490"/>
      <c r="C956" s="184"/>
      <c r="D956" s="184"/>
      <c r="E956" s="184"/>
      <c r="F956" s="184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84"/>
      <c r="V956" s="184"/>
      <c r="W956" s="184"/>
      <c r="X956" s="184"/>
      <c r="Y956" s="184"/>
      <c r="Z956" s="184"/>
    </row>
    <row r="957">
      <c r="A957" s="184"/>
      <c r="B957" s="490"/>
      <c r="C957" s="184"/>
      <c r="D957" s="184"/>
      <c r="E957" s="184"/>
      <c r="F957" s="184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84"/>
      <c r="V957" s="184"/>
      <c r="W957" s="184"/>
      <c r="X957" s="184"/>
      <c r="Y957" s="184"/>
      <c r="Z957" s="184"/>
    </row>
    <row r="958">
      <c r="A958" s="184"/>
      <c r="B958" s="490"/>
      <c r="C958" s="184"/>
      <c r="D958" s="184"/>
      <c r="E958" s="184"/>
      <c r="F958" s="184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84"/>
      <c r="V958" s="184"/>
      <c r="W958" s="184"/>
      <c r="X958" s="184"/>
      <c r="Y958" s="184"/>
      <c r="Z958" s="184"/>
    </row>
    <row r="959">
      <c r="A959" s="184"/>
      <c r="B959" s="490"/>
      <c r="C959" s="184"/>
      <c r="D959" s="184"/>
      <c r="E959" s="184"/>
      <c r="F959" s="184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84"/>
      <c r="V959" s="184"/>
      <c r="W959" s="184"/>
      <c r="X959" s="184"/>
      <c r="Y959" s="184"/>
      <c r="Z959" s="184"/>
    </row>
    <row r="960">
      <c r="A960" s="184"/>
      <c r="B960" s="490"/>
      <c r="C960" s="184"/>
      <c r="D960" s="184"/>
      <c r="E960" s="184"/>
      <c r="F960" s="184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84"/>
      <c r="V960" s="184"/>
      <c r="W960" s="184"/>
      <c r="X960" s="184"/>
      <c r="Y960" s="184"/>
      <c r="Z960" s="184"/>
    </row>
    <row r="961">
      <c r="A961" s="184"/>
      <c r="B961" s="490"/>
      <c r="C961" s="184"/>
      <c r="D961" s="184"/>
      <c r="E961" s="184"/>
      <c r="F961" s="184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84"/>
      <c r="V961" s="184"/>
      <c r="W961" s="184"/>
      <c r="X961" s="184"/>
      <c r="Y961" s="184"/>
      <c r="Z961" s="184"/>
    </row>
    <row r="962">
      <c r="A962" s="184"/>
      <c r="B962" s="490"/>
      <c r="C962" s="184"/>
      <c r="D962" s="184"/>
      <c r="E962" s="184"/>
      <c r="F962" s="184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84"/>
      <c r="V962" s="184"/>
      <c r="W962" s="184"/>
      <c r="X962" s="184"/>
      <c r="Y962" s="184"/>
      <c r="Z962" s="184"/>
    </row>
    <row r="963">
      <c r="A963" s="184"/>
      <c r="B963" s="490"/>
      <c r="C963" s="184"/>
      <c r="D963" s="184"/>
      <c r="E963" s="184"/>
      <c r="F963" s="184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84"/>
      <c r="V963" s="184"/>
      <c r="W963" s="184"/>
      <c r="X963" s="184"/>
      <c r="Y963" s="184"/>
      <c r="Z963" s="184"/>
    </row>
    <row r="964">
      <c r="A964" s="184"/>
      <c r="B964" s="490"/>
      <c r="C964" s="184"/>
      <c r="D964" s="184"/>
      <c r="E964" s="184"/>
      <c r="F964" s="184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84"/>
      <c r="V964" s="184"/>
      <c r="W964" s="184"/>
      <c r="X964" s="184"/>
      <c r="Y964" s="184"/>
      <c r="Z964" s="184"/>
    </row>
    <row r="965">
      <c r="A965" s="184"/>
      <c r="B965" s="490"/>
      <c r="C965" s="184"/>
      <c r="D965" s="184"/>
      <c r="E965" s="184"/>
      <c r="F965" s="184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84"/>
      <c r="V965" s="184"/>
      <c r="W965" s="184"/>
      <c r="X965" s="184"/>
      <c r="Y965" s="184"/>
      <c r="Z965" s="184"/>
    </row>
    <row r="966">
      <c r="A966" s="184"/>
      <c r="B966" s="490"/>
      <c r="C966" s="184"/>
      <c r="D966" s="184"/>
      <c r="E966" s="184"/>
      <c r="F966" s="184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84"/>
      <c r="V966" s="184"/>
      <c r="W966" s="184"/>
      <c r="X966" s="184"/>
      <c r="Y966" s="184"/>
      <c r="Z966" s="184"/>
    </row>
    <row r="967">
      <c r="A967" s="184"/>
      <c r="B967" s="490"/>
      <c r="C967" s="184"/>
      <c r="D967" s="184"/>
      <c r="E967" s="184"/>
      <c r="F967" s="184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84"/>
      <c r="V967" s="184"/>
      <c r="W967" s="184"/>
      <c r="X967" s="184"/>
      <c r="Y967" s="184"/>
      <c r="Z967" s="184"/>
    </row>
    <row r="968">
      <c r="A968" s="184"/>
      <c r="B968" s="490"/>
      <c r="C968" s="184"/>
      <c r="D968" s="184"/>
      <c r="E968" s="184"/>
      <c r="F968" s="184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84"/>
      <c r="V968" s="184"/>
      <c r="W968" s="184"/>
      <c r="X968" s="184"/>
      <c r="Y968" s="184"/>
      <c r="Z968" s="184"/>
    </row>
    <row r="969">
      <c r="A969" s="184"/>
      <c r="B969" s="490"/>
      <c r="C969" s="184"/>
      <c r="D969" s="184"/>
      <c r="E969" s="184"/>
      <c r="F969" s="184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84"/>
      <c r="V969" s="184"/>
      <c r="W969" s="184"/>
      <c r="X969" s="184"/>
      <c r="Y969" s="184"/>
      <c r="Z969" s="184"/>
    </row>
    <row r="970">
      <c r="A970" s="184"/>
      <c r="B970" s="490"/>
      <c r="C970" s="184"/>
      <c r="D970" s="184"/>
      <c r="E970" s="184"/>
      <c r="F970" s="184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84"/>
      <c r="V970" s="184"/>
      <c r="W970" s="184"/>
      <c r="X970" s="184"/>
      <c r="Y970" s="184"/>
      <c r="Z970" s="184"/>
    </row>
    <row r="971">
      <c r="A971" s="184"/>
      <c r="B971" s="490"/>
      <c r="C971" s="184"/>
      <c r="D971" s="184"/>
      <c r="E971" s="184"/>
      <c r="F971" s="184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84"/>
      <c r="V971" s="184"/>
      <c r="W971" s="184"/>
      <c r="X971" s="184"/>
      <c r="Y971" s="184"/>
      <c r="Z971" s="184"/>
    </row>
    <row r="972">
      <c r="A972" s="184"/>
      <c r="B972" s="490"/>
      <c r="C972" s="184"/>
      <c r="D972" s="184"/>
      <c r="E972" s="184"/>
      <c r="F972" s="184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84"/>
      <c r="V972" s="184"/>
      <c r="W972" s="184"/>
      <c r="X972" s="184"/>
      <c r="Y972" s="184"/>
      <c r="Z972" s="184"/>
    </row>
    <row r="973">
      <c r="A973" s="184"/>
      <c r="B973" s="490"/>
      <c r="C973" s="184"/>
      <c r="D973" s="184"/>
      <c r="E973" s="184"/>
      <c r="F973" s="184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84"/>
      <c r="V973" s="184"/>
      <c r="W973" s="184"/>
      <c r="X973" s="184"/>
      <c r="Y973" s="184"/>
      <c r="Z973" s="184"/>
    </row>
    <row r="974">
      <c r="A974" s="184"/>
      <c r="B974" s="490"/>
      <c r="C974" s="184"/>
      <c r="D974" s="184"/>
      <c r="E974" s="184"/>
      <c r="F974" s="184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84"/>
      <c r="V974" s="184"/>
      <c r="W974" s="184"/>
      <c r="X974" s="184"/>
      <c r="Y974" s="184"/>
      <c r="Z974" s="184"/>
    </row>
    <row r="975">
      <c r="A975" s="184"/>
      <c r="B975" s="490"/>
      <c r="C975" s="184"/>
      <c r="D975" s="184"/>
      <c r="E975" s="184"/>
      <c r="F975" s="184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84"/>
      <c r="V975" s="184"/>
      <c r="W975" s="184"/>
      <c r="X975" s="184"/>
      <c r="Y975" s="184"/>
      <c r="Z975" s="184"/>
    </row>
    <row r="976">
      <c r="A976" s="184"/>
      <c r="B976" s="490"/>
      <c r="C976" s="184"/>
      <c r="D976" s="184"/>
      <c r="E976" s="184"/>
      <c r="F976" s="184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84"/>
      <c r="V976" s="184"/>
      <c r="W976" s="184"/>
      <c r="X976" s="184"/>
      <c r="Y976" s="184"/>
      <c r="Z976" s="184"/>
    </row>
    <row r="977">
      <c r="A977" s="184"/>
      <c r="B977" s="490"/>
      <c r="C977" s="184"/>
      <c r="D977" s="184"/>
      <c r="E977" s="184"/>
      <c r="F977" s="184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84"/>
      <c r="V977" s="184"/>
      <c r="W977" s="184"/>
      <c r="X977" s="184"/>
      <c r="Y977" s="184"/>
      <c r="Z977" s="184"/>
    </row>
    <row r="978">
      <c r="A978" s="184"/>
      <c r="B978" s="490"/>
      <c r="C978" s="184"/>
      <c r="D978" s="184"/>
      <c r="E978" s="184"/>
      <c r="F978" s="184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84"/>
      <c r="V978" s="184"/>
      <c r="W978" s="184"/>
      <c r="X978" s="184"/>
      <c r="Y978" s="184"/>
      <c r="Z978" s="184"/>
    </row>
    <row r="979">
      <c r="A979" s="184"/>
      <c r="B979" s="490"/>
      <c r="C979" s="184"/>
      <c r="D979" s="184"/>
      <c r="E979" s="184"/>
      <c r="F979" s="184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84"/>
      <c r="V979" s="184"/>
      <c r="W979" s="184"/>
      <c r="X979" s="184"/>
      <c r="Y979" s="184"/>
      <c r="Z979" s="184"/>
    </row>
    <row r="980">
      <c r="A980" s="184"/>
      <c r="B980" s="490"/>
      <c r="C980" s="184"/>
      <c r="D980" s="184"/>
      <c r="E980" s="184"/>
      <c r="F980" s="184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84"/>
      <c r="V980" s="184"/>
      <c r="W980" s="184"/>
      <c r="X980" s="184"/>
      <c r="Y980" s="184"/>
      <c r="Z980" s="184"/>
    </row>
    <row r="981">
      <c r="A981" s="184"/>
      <c r="B981" s="490"/>
      <c r="C981" s="184"/>
      <c r="D981" s="184"/>
      <c r="E981" s="184"/>
      <c r="F981" s="184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84"/>
      <c r="V981" s="184"/>
      <c r="W981" s="184"/>
      <c r="X981" s="184"/>
      <c r="Y981" s="184"/>
      <c r="Z981" s="184"/>
    </row>
    <row r="982">
      <c r="A982" s="184"/>
      <c r="B982" s="490"/>
      <c r="C982" s="184"/>
      <c r="D982" s="184"/>
      <c r="E982" s="184"/>
      <c r="F982" s="184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84"/>
      <c r="V982" s="184"/>
      <c r="W982" s="184"/>
      <c r="X982" s="184"/>
      <c r="Y982" s="184"/>
      <c r="Z982" s="184"/>
    </row>
    <row r="983">
      <c r="A983" s="184"/>
      <c r="B983" s="490"/>
      <c r="C983" s="184"/>
      <c r="D983" s="184"/>
      <c r="E983" s="184"/>
      <c r="F983" s="184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84"/>
      <c r="V983" s="184"/>
      <c r="W983" s="184"/>
      <c r="X983" s="184"/>
      <c r="Y983" s="184"/>
      <c r="Z983" s="184"/>
    </row>
    <row r="984">
      <c r="A984" s="184"/>
      <c r="B984" s="490"/>
      <c r="C984" s="184"/>
      <c r="D984" s="184"/>
      <c r="E984" s="184"/>
      <c r="F984" s="184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84"/>
      <c r="V984" s="184"/>
      <c r="W984" s="184"/>
      <c r="X984" s="184"/>
      <c r="Y984" s="184"/>
      <c r="Z984" s="184"/>
    </row>
    <row r="985">
      <c r="A985" s="184"/>
      <c r="B985" s="490"/>
      <c r="C985" s="184"/>
      <c r="D985" s="184"/>
      <c r="E985" s="184"/>
      <c r="F985" s="184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84"/>
      <c r="V985" s="184"/>
      <c r="W985" s="184"/>
      <c r="X985" s="184"/>
      <c r="Y985" s="184"/>
      <c r="Z985" s="184"/>
    </row>
    <row r="986">
      <c r="A986" s="184"/>
      <c r="B986" s="490"/>
      <c r="C986" s="184"/>
      <c r="D986" s="184"/>
      <c r="E986" s="184"/>
      <c r="F986" s="184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84"/>
      <c r="V986" s="184"/>
      <c r="W986" s="184"/>
      <c r="X986" s="184"/>
      <c r="Y986" s="184"/>
      <c r="Z986" s="184"/>
    </row>
    <row r="987">
      <c r="A987" s="184"/>
      <c r="B987" s="490"/>
      <c r="C987" s="184"/>
      <c r="D987" s="184"/>
      <c r="E987" s="184"/>
      <c r="F987" s="184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84"/>
      <c r="V987" s="184"/>
      <c r="W987" s="184"/>
      <c r="X987" s="184"/>
      <c r="Y987" s="184"/>
      <c r="Z987" s="184"/>
    </row>
    <row r="988">
      <c r="A988" s="184"/>
      <c r="B988" s="490"/>
      <c r="C988" s="184"/>
      <c r="D988" s="184"/>
      <c r="E988" s="184"/>
      <c r="F988" s="184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84"/>
      <c r="V988" s="184"/>
      <c r="W988" s="184"/>
      <c r="X988" s="184"/>
      <c r="Y988" s="184"/>
      <c r="Z988" s="184"/>
    </row>
    <row r="989">
      <c r="A989" s="184"/>
      <c r="B989" s="490"/>
      <c r="C989" s="184"/>
      <c r="D989" s="184"/>
      <c r="E989" s="184"/>
      <c r="F989" s="184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84"/>
      <c r="V989" s="184"/>
      <c r="W989" s="184"/>
      <c r="X989" s="184"/>
      <c r="Y989" s="184"/>
      <c r="Z989" s="184"/>
    </row>
    <row r="990">
      <c r="A990" s="184"/>
      <c r="B990" s="490"/>
      <c r="C990" s="184"/>
      <c r="D990" s="184"/>
      <c r="E990" s="184"/>
      <c r="F990" s="184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84"/>
      <c r="V990" s="184"/>
      <c r="W990" s="184"/>
      <c r="X990" s="184"/>
      <c r="Y990" s="184"/>
      <c r="Z990" s="184"/>
    </row>
    <row r="991">
      <c r="A991" s="184"/>
      <c r="B991" s="490"/>
      <c r="C991" s="184"/>
      <c r="D991" s="184"/>
      <c r="E991" s="184"/>
      <c r="F991" s="184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84"/>
      <c r="V991" s="184"/>
      <c r="W991" s="184"/>
      <c r="X991" s="184"/>
      <c r="Y991" s="184"/>
      <c r="Z991" s="184"/>
    </row>
    <row r="992">
      <c r="A992" s="184"/>
      <c r="B992" s="490"/>
      <c r="C992" s="184"/>
      <c r="D992" s="184"/>
      <c r="E992" s="184"/>
      <c r="F992" s="184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84"/>
      <c r="V992" s="184"/>
      <c r="W992" s="184"/>
      <c r="X992" s="184"/>
      <c r="Y992" s="184"/>
      <c r="Z992" s="184"/>
    </row>
    <row r="993">
      <c r="A993" s="184"/>
      <c r="B993" s="490"/>
      <c r="C993" s="184"/>
      <c r="D993" s="184"/>
      <c r="E993" s="184"/>
      <c r="F993" s="184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84"/>
      <c r="V993" s="184"/>
      <c r="W993" s="184"/>
      <c r="X993" s="184"/>
      <c r="Y993" s="184"/>
      <c r="Z993" s="184"/>
    </row>
    <row r="994">
      <c r="A994" s="184"/>
      <c r="B994" s="490"/>
      <c r="C994" s="184"/>
      <c r="D994" s="184"/>
      <c r="E994" s="184"/>
      <c r="F994" s="184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84"/>
      <c r="V994" s="184"/>
      <c r="W994" s="184"/>
      <c r="X994" s="184"/>
      <c r="Y994" s="184"/>
      <c r="Z994" s="184"/>
    </row>
    <row r="995">
      <c r="A995" s="184"/>
      <c r="B995" s="490"/>
      <c r="C995" s="184"/>
      <c r="D995" s="184"/>
      <c r="E995" s="184"/>
      <c r="F995" s="184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84"/>
      <c r="V995" s="184"/>
      <c r="W995" s="184"/>
      <c r="X995" s="184"/>
      <c r="Y995" s="184"/>
      <c r="Z995" s="184"/>
    </row>
    <row r="996">
      <c r="A996" s="184"/>
      <c r="B996" s="490"/>
      <c r="C996" s="184"/>
      <c r="D996" s="184"/>
      <c r="E996" s="184"/>
      <c r="F996" s="184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84"/>
      <c r="V996" s="184"/>
      <c r="W996" s="184"/>
      <c r="X996" s="184"/>
      <c r="Y996" s="184"/>
      <c r="Z996" s="184"/>
    </row>
    <row r="997">
      <c r="A997" s="184"/>
      <c r="B997" s="490"/>
      <c r="C997" s="184"/>
      <c r="D997" s="184"/>
      <c r="E997" s="184"/>
      <c r="F997" s="184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84"/>
      <c r="V997" s="184"/>
      <c r="W997" s="184"/>
      <c r="X997" s="184"/>
      <c r="Y997" s="184"/>
      <c r="Z997" s="184"/>
    </row>
    <row r="998">
      <c r="A998" s="184"/>
      <c r="B998" s="490"/>
      <c r="C998" s="184"/>
      <c r="D998" s="184"/>
      <c r="E998" s="184"/>
      <c r="F998" s="184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84"/>
      <c r="V998" s="184"/>
      <c r="W998" s="184"/>
      <c r="X998" s="184"/>
      <c r="Y998" s="184"/>
      <c r="Z998" s="184"/>
    </row>
    <row r="999">
      <c r="A999" s="184"/>
      <c r="B999" s="490"/>
      <c r="C999" s="184"/>
      <c r="D999" s="184"/>
      <c r="E999" s="184"/>
      <c r="F999" s="184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84"/>
      <c r="V999" s="184"/>
      <c r="W999" s="184"/>
      <c r="X999" s="184"/>
      <c r="Y999" s="184"/>
      <c r="Z999" s="184"/>
    </row>
    <row r="1000">
      <c r="A1000" s="184"/>
      <c r="B1000" s="490"/>
      <c r="C1000" s="184"/>
      <c r="D1000" s="184"/>
      <c r="E1000" s="184"/>
      <c r="F1000" s="184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84"/>
      <c r="V1000" s="184"/>
      <c r="W1000" s="184"/>
      <c r="X1000" s="184"/>
      <c r="Y1000" s="184"/>
      <c r="Z1000" s="184"/>
    </row>
    <row r="1001">
      <c r="A1001" s="184"/>
      <c r="B1001" s="490"/>
      <c r="C1001" s="184"/>
      <c r="D1001" s="184"/>
      <c r="E1001" s="184"/>
      <c r="F1001" s="184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84"/>
      <c r="V1001" s="184"/>
      <c r="W1001" s="184"/>
      <c r="X1001" s="184"/>
      <c r="Y1001" s="184"/>
      <c r="Z1001" s="184"/>
    </row>
    <row r="1002">
      <c r="A1002" s="184"/>
      <c r="B1002" s="490"/>
      <c r="C1002" s="184"/>
      <c r="D1002" s="184"/>
      <c r="E1002" s="184"/>
      <c r="F1002" s="184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84"/>
      <c r="V1002" s="184"/>
      <c r="W1002" s="184"/>
      <c r="X1002" s="184"/>
      <c r="Y1002" s="184"/>
      <c r="Z1002" s="184"/>
    </row>
  </sheetData>
  <mergeCells count="14">
    <mergeCell ref="I4:J4"/>
    <mergeCell ref="I5:J5"/>
    <mergeCell ref="I6:J6"/>
    <mergeCell ref="I7:J7"/>
    <mergeCell ref="K5:L5"/>
    <mergeCell ref="K6:L6"/>
    <mergeCell ref="K7:L7"/>
    <mergeCell ref="I1:J1"/>
    <mergeCell ref="K1:L1"/>
    <mergeCell ref="I2:J2"/>
    <mergeCell ref="K2:L2"/>
    <mergeCell ref="I3:J3"/>
    <mergeCell ref="K3:L3"/>
    <mergeCell ref="K4:L4"/>
  </mergeCells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6" width="11.38"/>
  </cols>
  <sheetData>
    <row r="1">
      <c r="A1" s="4" t="s">
        <v>824</v>
      </c>
      <c r="B1" s="4" t="s">
        <v>826</v>
      </c>
    </row>
    <row r="2">
      <c r="B2" s="504">
        <v>45940.0</v>
      </c>
    </row>
    <row r="3">
      <c r="A3" s="145" t="s">
        <v>828</v>
      </c>
      <c r="B3" s="4" t="b">
        <v>1</v>
      </c>
    </row>
    <row r="4">
      <c r="A4" s="145" t="s">
        <v>829</v>
      </c>
      <c r="B4" s="4" t="b">
        <v>1</v>
      </c>
    </row>
    <row r="5">
      <c r="A5" s="233" t="s">
        <v>830</v>
      </c>
      <c r="B5" s="4" t="b">
        <v>1</v>
      </c>
    </row>
    <row r="6">
      <c r="A6" s="233" t="s">
        <v>831</v>
      </c>
      <c r="B6" s="4" t="b">
        <v>0</v>
      </c>
    </row>
    <row r="7">
      <c r="A7" s="233" t="s">
        <v>832</v>
      </c>
      <c r="B7" s="4" t="b">
        <v>1</v>
      </c>
    </row>
    <row r="8">
      <c r="A8" s="233" t="s">
        <v>833</v>
      </c>
      <c r="B8" s="4" t="b">
        <v>1</v>
      </c>
    </row>
    <row r="9">
      <c r="A9" s="233" t="s">
        <v>834</v>
      </c>
      <c r="B9" s="66" t="b">
        <v>0</v>
      </c>
    </row>
    <row r="10">
      <c r="A10" s="233" t="s">
        <v>835</v>
      </c>
      <c r="B10" s="4" t="b">
        <v>1</v>
      </c>
    </row>
    <row r="11">
      <c r="A11" s="233" t="s">
        <v>836</v>
      </c>
      <c r="B11" s="66" t="b">
        <v>0</v>
      </c>
    </row>
    <row r="12">
      <c r="A12" s="508" t="s">
        <v>837</v>
      </c>
      <c r="B12" s="66" t="b">
        <v>0</v>
      </c>
    </row>
    <row r="13">
      <c r="A13" s="508" t="s">
        <v>838</v>
      </c>
      <c r="B13" s="4" t="b">
        <v>1</v>
      </c>
    </row>
    <row r="14">
      <c r="A14" s="509" t="s">
        <v>839</v>
      </c>
      <c r="B14" s="4" t="b">
        <v>1</v>
      </c>
    </row>
    <row r="15">
      <c r="A15" s="511" t="s">
        <v>840</v>
      </c>
      <c r="B15" s="66" t="b">
        <v>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6" width="11.25"/>
  </cols>
  <sheetData>
    <row r="1">
      <c r="A1" s="516" t="s">
        <v>842</v>
      </c>
      <c r="B1" s="517" t="s">
        <v>843</v>
      </c>
      <c r="C1" s="19"/>
    </row>
    <row r="2">
      <c r="A2" s="518"/>
      <c r="B2" s="519">
        <v>45889.0</v>
      </c>
      <c r="C2" s="19"/>
    </row>
    <row r="3" ht="18.0" customHeight="1">
      <c r="A3" s="145" t="s">
        <v>844</v>
      </c>
      <c r="B3" s="520">
        <v>1.0</v>
      </c>
      <c r="C3" s="19"/>
    </row>
    <row r="4">
      <c r="A4" s="145" t="s">
        <v>845</v>
      </c>
      <c r="B4" s="26">
        <v>0.0</v>
      </c>
      <c r="C4" s="19"/>
    </row>
    <row r="5">
      <c r="A5" s="233" t="s">
        <v>846</v>
      </c>
      <c r="B5" s="26">
        <v>1.0</v>
      </c>
      <c r="C5" s="19"/>
    </row>
    <row r="6">
      <c r="A6" s="233" t="s">
        <v>847</v>
      </c>
      <c r="B6" s="26">
        <v>1.0</v>
      </c>
      <c r="C6" s="19"/>
    </row>
    <row r="7">
      <c r="A7" s="233" t="s">
        <v>848</v>
      </c>
      <c r="B7" s="26">
        <v>0.0</v>
      </c>
      <c r="C7" s="19"/>
    </row>
    <row r="8">
      <c r="A8" s="233" t="s">
        <v>849</v>
      </c>
      <c r="B8" s="26">
        <v>1.0</v>
      </c>
      <c r="C8" s="19"/>
    </row>
    <row r="9">
      <c r="A9" s="233" t="s">
        <v>850</v>
      </c>
      <c r="B9" s="26">
        <v>1.0</v>
      </c>
      <c r="C9" s="19"/>
    </row>
    <row r="10">
      <c r="A10" s="233" t="s">
        <v>851</v>
      </c>
      <c r="B10" s="26">
        <v>1.0</v>
      </c>
      <c r="C10" s="19"/>
    </row>
    <row r="11">
      <c r="A11" s="233" t="s">
        <v>852</v>
      </c>
      <c r="B11" s="26">
        <v>1.0</v>
      </c>
      <c r="C11" s="19"/>
    </row>
    <row r="12">
      <c r="A12" s="233" t="s">
        <v>853</v>
      </c>
      <c r="B12" s="26">
        <v>0.0</v>
      </c>
      <c r="C12" s="19"/>
    </row>
    <row r="13">
      <c r="A13" s="145" t="s">
        <v>854</v>
      </c>
      <c r="B13" s="26">
        <v>1.0</v>
      </c>
      <c r="C13" s="19"/>
    </row>
    <row r="14">
      <c r="A14" s="175" t="s">
        <v>705</v>
      </c>
      <c r="B14" s="26">
        <v>1.0</v>
      </c>
      <c r="C14" s="19"/>
    </row>
    <row r="15">
      <c r="A15" s="175" t="s">
        <v>855</v>
      </c>
      <c r="B15" s="26">
        <v>1.0</v>
      </c>
      <c r="C15" s="19"/>
    </row>
    <row r="16">
      <c r="A16" s="521" t="s">
        <v>856</v>
      </c>
      <c r="B16" s="26">
        <v>1.0</v>
      </c>
      <c r="C16" s="19"/>
    </row>
    <row r="17">
      <c r="A17" s="174" t="s">
        <v>857</v>
      </c>
      <c r="B17" s="26">
        <v>1.0</v>
      </c>
      <c r="C17" s="19"/>
    </row>
    <row r="18" ht="18.75" customHeight="1">
      <c r="A18" s="145" t="s">
        <v>858</v>
      </c>
      <c r="B18" s="26">
        <v>1.0</v>
      </c>
      <c r="C18" s="19"/>
    </row>
    <row r="19">
      <c r="A19" s="233" t="s">
        <v>859</v>
      </c>
      <c r="B19" s="26">
        <v>1.0</v>
      </c>
      <c r="C19" s="19"/>
    </row>
    <row r="20">
      <c r="A20" s="522" t="s">
        <v>781</v>
      </c>
      <c r="B20" s="26"/>
    </row>
    <row r="21">
      <c r="A21" s="161" t="s">
        <v>860</v>
      </c>
      <c r="B21" s="11"/>
    </row>
    <row r="22">
      <c r="A22" s="161" t="s">
        <v>862</v>
      </c>
      <c r="B22" s="7"/>
    </row>
    <row r="23">
      <c r="A23" s="161" t="s">
        <v>863</v>
      </c>
      <c r="B23" s="7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6" width="10.25"/>
  </cols>
  <sheetData>
    <row r="1">
      <c r="A1" s="4" t="s">
        <v>864</v>
      </c>
      <c r="B1" s="4" t="s">
        <v>217</v>
      </c>
    </row>
    <row r="2">
      <c r="B2" s="525">
        <v>45888.0</v>
      </c>
    </row>
    <row r="3">
      <c r="A3" s="233" t="s">
        <v>865</v>
      </c>
      <c r="B3" s="4">
        <v>1.0</v>
      </c>
    </row>
    <row r="4">
      <c r="A4" s="233" t="s">
        <v>866</v>
      </c>
      <c r="B4" s="4">
        <v>1.0</v>
      </c>
    </row>
    <row r="5">
      <c r="A5" s="175" t="s">
        <v>867</v>
      </c>
      <c r="B5" s="4">
        <v>1.0</v>
      </c>
    </row>
    <row r="6">
      <c r="A6" s="145" t="s">
        <v>868</v>
      </c>
      <c r="B6" s="4">
        <v>1.0</v>
      </c>
    </row>
    <row r="7">
      <c r="A7" s="233" t="s">
        <v>869</v>
      </c>
      <c r="B7" s="4">
        <v>1.0</v>
      </c>
    </row>
    <row r="8">
      <c r="A8" s="233" t="s">
        <v>870</v>
      </c>
      <c r="B8" s="4">
        <v>1.0</v>
      </c>
    </row>
    <row r="9">
      <c r="A9" s="233" t="s">
        <v>871</v>
      </c>
      <c r="B9" s="4">
        <v>1.0</v>
      </c>
    </row>
    <row r="10">
      <c r="A10" s="233" t="s">
        <v>469</v>
      </c>
      <c r="B10" s="4">
        <v>1.0</v>
      </c>
    </row>
    <row r="11">
      <c r="A11" s="233" t="s">
        <v>872</v>
      </c>
      <c r="B11" s="4">
        <v>1.0</v>
      </c>
    </row>
    <row r="12">
      <c r="A12" s="233" t="s">
        <v>588</v>
      </c>
      <c r="B12" s="4">
        <v>1.0</v>
      </c>
    </row>
    <row r="13">
      <c r="A13" s="233" t="s">
        <v>873</v>
      </c>
      <c r="B13" s="4">
        <v>1.0</v>
      </c>
    </row>
    <row r="14">
      <c r="A14" s="233" t="s">
        <v>875</v>
      </c>
      <c r="B14" s="4">
        <v>1.0</v>
      </c>
    </row>
    <row r="15">
      <c r="A15" s="233" t="s">
        <v>876</v>
      </c>
      <c r="B15" s="4">
        <v>1.0</v>
      </c>
    </row>
    <row r="16">
      <c r="A16" s="233" t="s">
        <v>877</v>
      </c>
      <c r="B16" s="4">
        <v>1.0</v>
      </c>
    </row>
    <row r="17">
      <c r="A17" s="233" t="s">
        <v>878</v>
      </c>
      <c r="B17" s="4">
        <v>1.0</v>
      </c>
    </row>
    <row r="18">
      <c r="A18" s="233" t="s">
        <v>879</v>
      </c>
      <c r="B18" s="4">
        <v>1.0</v>
      </c>
    </row>
    <row r="19">
      <c r="A19" s="233" t="s">
        <v>880</v>
      </c>
      <c r="B19" s="4">
        <v>0.0</v>
      </c>
    </row>
    <row r="20">
      <c r="A20" s="145" t="s">
        <v>881</v>
      </c>
      <c r="B20" s="4">
        <v>1.0</v>
      </c>
    </row>
    <row r="21">
      <c r="A21" s="521" t="s">
        <v>882</v>
      </c>
      <c r="B21" s="4">
        <v>1.0</v>
      </c>
    </row>
    <row r="22">
      <c r="A22" s="521" t="s">
        <v>884</v>
      </c>
      <c r="B22" s="4">
        <v>1.0</v>
      </c>
    </row>
    <row r="23">
      <c r="A23" s="233" t="s">
        <v>885</v>
      </c>
      <c r="B23" s="4">
        <v>0.0</v>
      </c>
    </row>
    <row r="24">
      <c r="A24" s="508" t="s">
        <v>886</v>
      </c>
      <c r="B24" s="4">
        <v>1.0</v>
      </c>
    </row>
    <row r="25">
      <c r="A25" s="531" t="s">
        <v>887</v>
      </c>
      <c r="B25" s="4">
        <v>1.0</v>
      </c>
    </row>
    <row r="26">
      <c r="A26" s="531" t="s">
        <v>888</v>
      </c>
      <c r="B26" s="4">
        <v>1.0</v>
      </c>
    </row>
  </sheetData>
  <drawing r:id="rId1"/>
</worksheet>
</file>